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0. TAR TIMUR ADI DAYA - PERTAMINA R4\0. PERTAMINA R4 SIFP\0. Observation\"/>
    </mc:Choice>
  </mc:AlternateContent>
  <xr:revisionPtr revIDLastSave="0" documentId="13_ncr:1_{2CBF0DE1-C72D-45D7-BA77-7CAFCEC88E35}" xr6:coauthVersionLast="47" xr6:coauthVersionMax="47" xr10:uidLastSave="{00000000-0000-0000-0000-000000000000}"/>
  <bookViews>
    <workbookView xWindow="-98" yWindow="-98" windowWidth="19396" windowHeight="11475" xr2:uid="{00000000-000D-0000-FFFF-FFFF00000000}"/>
  </bookViews>
  <sheets>
    <sheet name="INPUT-SIF_Questions" sheetId="1" r:id="rId1"/>
    <sheet name="INPUT-Error_Traps" sheetId="2" r:id="rId2"/>
    <sheet name="INPUT-HP_Tools" sheetId="3" r:id="rId3"/>
    <sheet name="INPUT-Drift_Conditions" sheetId="4" r:id="rId4"/>
    <sheet name="INPUT-Latent_Conditions" sheetId="5" r:id="rId5"/>
    <sheet name="DATABASE_PSEC_CCVC" sheetId="6" r:id="rId6"/>
    <sheet name="DATABASE-DRIFT_LATENT_HP_ERROR" sheetId="7" r:id="rId7"/>
    <sheet name="ANALYZE-CONFORMANCE_SCORE" sheetId="8" r:id="rId8"/>
    <sheet name="ANALYZE-EXECUTIVE_MEASURES" sheetId="9" r:id="rId9"/>
    <sheet name="ANALYZE-QUICK_FACTS" sheetId="10" r:id="rId10"/>
    <sheet name="ANALYZE-CLSR_HEALTH_MAP" sheetId="11" r:id="rId11"/>
    <sheet name="ANALYZE-TOP5" sheetId="12" r:id="rId12"/>
    <sheet name="ANALYZE-TREND_ZONE" sheetId="13" r:id="rId13"/>
    <sheet name="ANALYZE-IMPROVEMENT_INITIATIVES" sheetId="14" r:id="rId14"/>
    <sheet name="CONFIG-DASHBOARD_TEXT" sheetId="15" r:id="rId15"/>
    <sheet name="ReadMe" sheetId="16" r:id="rId16"/>
    <sheet name="Helper_Drift" sheetId="17" r:id="rId17"/>
    <sheet name="Helper_Latent" sheetId="18" r:id="rId18"/>
    <sheet name="SOURCE_OBS06_10" sheetId="19" r:id="rId19"/>
    <sheet name="AUDIT_OBS013_023" sheetId="20" r:id="rId20"/>
    <sheet name="Helper_Exposure" sheetId="21" r:id="rId21"/>
    <sheet name="Helper_Gaps" sheetId="22" r:id="rId22"/>
    <sheet name="AUDIT-DATA_QUALITY" sheetId="23" r:id="rId23"/>
    <sheet name="Helper_Protocol_Map" sheetId="24" r:id="rId24"/>
    <sheet name="AUDIT-ACTIVE_LINKAGE" sheetId="25" r:id="rId25"/>
  </sheets>
  <definedNames>
    <definedName name="Drift.1">'DATABASE-DRIFT_LATENT_HP_ERROR'!$B$16:$B$23</definedName>
    <definedName name="Drift.10">'DATABASE-DRIFT_LATENT_HP_ERROR'!$B$71:$B$76</definedName>
    <definedName name="Drift.2">'DATABASE-DRIFT_LATENT_HP_ERROR'!$B$24:$B$28</definedName>
    <definedName name="Drift.3">'DATABASE-DRIFT_LATENT_HP_ERROR'!$B$29:$B$34</definedName>
    <definedName name="Drift.4">'DATABASE-DRIFT_LATENT_HP_ERROR'!$B$35:$B$40</definedName>
    <definedName name="Drift.5">'DATABASE-DRIFT_LATENT_HP_ERROR'!$B$41:$B$46</definedName>
    <definedName name="Drift.6">'DATABASE-DRIFT_LATENT_HP_ERROR'!$B$47:$B$52</definedName>
    <definedName name="Drift.7">'DATABASE-DRIFT_LATENT_HP_ERROR'!$B$53:$B$58</definedName>
    <definedName name="Drift.8">'DATABASE-DRIFT_LATENT_HP_ERROR'!$B$59:$B$64</definedName>
    <definedName name="Drift.9">'DATABASE-DRIFT_LATENT_HP_ERROR'!$B$65:$B$70</definedName>
    <definedName name="Drift.Code">'DATABASE-DRIFT_LATENT_HP_ERROR'!$B$4:$B$13</definedName>
    <definedName name="DRIFT_LEVEL_1">'DATABASE-DRIFT_LATENT_HP_ERROR'!$A$4:$A$13</definedName>
    <definedName name="Error_Traps.L1">'DATABASE-DRIFT_LATENT_HP_ERROR'!$K$5:$K$8</definedName>
    <definedName name="ErrorTrap.1">'DATABASE-DRIFT_LATENT_HP_ERROR'!$L$14:$L$20</definedName>
    <definedName name="ErrorTrap.2">'DATABASE-DRIFT_LATENT_HP_ERROR'!$L$21:$L$27</definedName>
    <definedName name="ErrorTrap.3">'DATABASE-DRIFT_LATENT_HP_ERROR'!$L$28:$L$32</definedName>
    <definedName name="ErrorTrap.4">'DATABASE-DRIFT_LATENT_HP_ERROR'!$L$33:$L$37</definedName>
    <definedName name="HP.tools">'DATABASE-DRIFT_LATENT_HP_ERROR'!$F$14:$F$77</definedName>
    <definedName name="Latent.1">'DATABASE-DRIFT_LATENT_HP_ERROR'!$B$89:$B$100</definedName>
    <definedName name="Latent.2">'DATABASE-DRIFT_LATENT_HP_ERROR'!$B$101:$B$111</definedName>
    <definedName name="Latent.3">'DATABASE-DRIFT_LATENT_HP_ERROR'!$B$112:$B$120</definedName>
    <definedName name="Latent.4">'DATABASE-DRIFT_LATENT_HP_ERROR'!$B$121:$B$129</definedName>
    <definedName name="Latent.5">'DATABASE-DRIFT_LATENT_HP_ERROR'!$B$130:$B$137</definedName>
    <definedName name="Latent_Level.1">'DATABASE-DRIFT_LATENT_HP_ERROR'!$A$81:$A$85</definedName>
    <definedName name="VV_Protocols">'DATABASE-DRIFT_LATENT_HP_ERROR'!$A$143:$A$155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F3" i="13" l="1" a="1"/>
  <c r="F3" i="13" s="1"/>
  <c r="F4" i="13" a="1"/>
  <c r="F4" i="13" s="1"/>
  <c r="F5" i="13" a="1"/>
  <c r="F5" i="13" s="1"/>
  <c r="F6" i="13" a="1"/>
  <c r="F6" i="13" s="1"/>
  <c r="F7" i="13" a="1"/>
  <c r="F7" i="13" s="1"/>
  <c r="F8" i="13" a="1"/>
  <c r="F8" i="13" s="1"/>
  <c r="F9" i="13" a="1"/>
  <c r="F9" i="13" s="1"/>
  <c r="F10" i="13" a="1"/>
  <c r="F10" i="13" s="1"/>
  <c r="F11" i="13" a="1"/>
  <c r="F11" i="13" s="1"/>
  <c r="F12" i="13" a="1"/>
  <c r="F12" i="13" s="1"/>
  <c r="F13" i="13" a="1"/>
  <c r="F13" i="13" s="1"/>
  <c r="F2" i="13" a="1"/>
  <c r="F2" i="13" s="1"/>
  <c r="C7" i="25"/>
  <c r="A250" i="23"/>
  <c r="L250" i="23" s="1"/>
  <c r="E249" i="23"/>
  <c r="D249" i="23"/>
  <c r="F249" i="23" s="1"/>
  <c r="C249" i="23"/>
  <c r="B249" i="23"/>
  <c r="A249" i="23"/>
  <c r="L249" i="23" s="1"/>
  <c r="D248" i="23"/>
  <c r="F248" i="23" s="1"/>
  <c r="A248" i="23"/>
  <c r="L248" i="23" s="1"/>
  <c r="I247" i="23"/>
  <c r="E247" i="23"/>
  <c r="D247" i="23"/>
  <c r="F247" i="23" s="1"/>
  <c r="C247" i="23"/>
  <c r="B247" i="23"/>
  <c r="A247" i="23"/>
  <c r="L247" i="23" s="1"/>
  <c r="D246" i="23"/>
  <c r="F246" i="23" s="1"/>
  <c r="A246" i="23"/>
  <c r="L246" i="23" s="1"/>
  <c r="I245" i="23"/>
  <c r="F245" i="23"/>
  <c r="E245" i="23"/>
  <c r="D245" i="23"/>
  <c r="C245" i="23"/>
  <c r="B245" i="23"/>
  <c r="A245" i="23"/>
  <c r="L245" i="23" s="1"/>
  <c r="D244" i="23"/>
  <c r="F244" i="23" s="1"/>
  <c r="A244" i="23"/>
  <c r="L244" i="23" s="1"/>
  <c r="I243" i="23"/>
  <c r="F243" i="23"/>
  <c r="E243" i="23"/>
  <c r="D243" i="23"/>
  <c r="C243" i="23"/>
  <c r="B243" i="23"/>
  <c r="A243" i="23"/>
  <c r="L243" i="23" s="1"/>
  <c r="D242" i="23"/>
  <c r="F242" i="23" s="1"/>
  <c r="A242" i="23"/>
  <c r="L242" i="23" s="1"/>
  <c r="I241" i="23"/>
  <c r="E241" i="23"/>
  <c r="D241" i="23"/>
  <c r="F241" i="23" s="1"/>
  <c r="C241" i="23"/>
  <c r="B241" i="23"/>
  <c r="A241" i="23"/>
  <c r="L241" i="23" s="1"/>
  <c r="D240" i="23"/>
  <c r="F240" i="23" s="1"/>
  <c r="A240" i="23"/>
  <c r="L240" i="23" s="1"/>
  <c r="I239" i="23"/>
  <c r="F239" i="23"/>
  <c r="E239" i="23"/>
  <c r="D239" i="23"/>
  <c r="C239" i="23"/>
  <c r="B239" i="23"/>
  <c r="A239" i="23"/>
  <c r="L239" i="23" s="1"/>
  <c r="D238" i="23"/>
  <c r="F238" i="23" s="1"/>
  <c r="A238" i="23"/>
  <c r="L238" i="23" s="1"/>
  <c r="I237" i="23"/>
  <c r="E237" i="23"/>
  <c r="D237" i="23"/>
  <c r="F237" i="23" s="1"/>
  <c r="C237" i="23"/>
  <c r="B237" i="23"/>
  <c r="A237" i="23"/>
  <c r="L237" i="23" s="1"/>
  <c r="D236" i="23"/>
  <c r="F236" i="23" s="1"/>
  <c r="A236" i="23"/>
  <c r="L236" i="23" s="1"/>
  <c r="I235" i="23"/>
  <c r="E235" i="23"/>
  <c r="D235" i="23"/>
  <c r="F235" i="23" s="1"/>
  <c r="C235" i="23"/>
  <c r="B235" i="23"/>
  <c r="A235" i="23"/>
  <c r="L235" i="23" s="1"/>
  <c r="D234" i="23"/>
  <c r="F234" i="23" s="1"/>
  <c r="A234" i="23"/>
  <c r="L234" i="23" s="1"/>
  <c r="I233" i="23"/>
  <c r="E233" i="23"/>
  <c r="D233" i="23"/>
  <c r="F233" i="23" s="1"/>
  <c r="C233" i="23"/>
  <c r="B233" i="23"/>
  <c r="A233" i="23"/>
  <c r="L233" i="23" s="1"/>
  <c r="D232" i="23"/>
  <c r="F232" i="23" s="1"/>
  <c r="A232" i="23"/>
  <c r="L232" i="23" s="1"/>
  <c r="I231" i="23"/>
  <c r="E231" i="23"/>
  <c r="D231" i="23"/>
  <c r="F231" i="23" s="1"/>
  <c r="C231" i="23"/>
  <c r="B231" i="23"/>
  <c r="A231" i="23"/>
  <c r="L231" i="23" s="1"/>
  <c r="D230" i="23"/>
  <c r="F230" i="23" s="1"/>
  <c r="A230" i="23"/>
  <c r="L230" i="23" s="1"/>
  <c r="I229" i="23"/>
  <c r="F229" i="23"/>
  <c r="E229" i="23"/>
  <c r="D229" i="23"/>
  <c r="C229" i="23"/>
  <c r="B229" i="23"/>
  <c r="A229" i="23"/>
  <c r="L229" i="23" s="1"/>
  <c r="D228" i="23"/>
  <c r="F228" i="23" s="1"/>
  <c r="A228" i="23"/>
  <c r="L228" i="23" s="1"/>
  <c r="I227" i="23"/>
  <c r="F227" i="23"/>
  <c r="E227" i="23"/>
  <c r="D227" i="23"/>
  <c r="C227" i="23"/>
  <c r="B227" i="23"/>
  <c r="A227" i="23"/>
  <c r="L227" i="23" s="1"/>
  <c r="D226" i="23"/>
  <c r="F226" i="23" s="1"/>
  <c r="A226" i="23"/>
  <c r="L226" i="23" s="1"/>
  <c r="I225" i="23"/>
  <c r="E225" i="23"/>
  <c r="D225" i="23"/>
  <c r="F225" i="23" s="1"/>
  <c r="C225" i="23"/>
  <c r="B225" i="23"/>
  <c r="A225" i="23"/>
  <c r="L225" i="23" s="1"/>
  <c r="D224" i="23"/>
  <c r="F224" i="23" s="1"/>
  <c r="A224" i="23"/>
  <c r="L224" i="23" s="1"/>
  <c r="I223" i="23"/>
  <c r="F223" i="23"/>
  <c r="E223" i="23"/>
  <c r="D223" i="23"/>
  <c r="C223" i="23"/>
  <c r="B223" i="23"/>
  <c r="A223" i="23"/>
  <c r="L223" i="23" s="1"/>
  <c r="D222" i="23"/>
  <c r="F222" i="23" s="1"/>
  <c r="A222" i="23"/>
  <c r="L222" i="23" s="1"/>
  <c r="I221" i="23"/>
  <c r="E221" i="23"/>
  <c r="D221" i="23"/>
  <c r="F221" i="23" s="1"/>
  <c r="C221" i="23"/>
  <c r="B221" i="23"/>
  <c r="A221" i="23"/>
  <c r="L221" i="23" s="1"/>
  <c r="D220" i="23"/>
  <c r="F220" i="23" s="1"/>
  <c r="A220" i="23"/>
  <c r="L220" i="23" s="1"/>
  <c r="I219" i="23"/>
  <c r="E219" i="23"/>
  <c r="D219" i="23"/>
  <c r="F219" i="23" s="1"/>
  <c r="C219" i="23"/>
  <c r="B219" i="23"/>
  <c r="A219" i="23"/>
  <c r="L219" i="23" s="1"/>
  <c r="D218" i="23"/>
  <c r="F218" i="23" s="1"/>
  <c r="A218" i="23"/>
  <c r="L218" i="23" s="1"/>
  <c r="I217" i="23"/>
  <c r="E217" i="23"/>
  <c r="D217" i="23"/>
  <c r="F217" i="23" s="1"/>
  <c r="C217" i="23"/>
  <c r="B217" i="23"/>
  <c r="A217" i="23"/>
  <c r="L217" i="23" s="1"/>
  <c r="D216" i="23"/>
  <c r="F216" i="23" s="1"/>
  <c r="A216" i="23"/>
  <c r="L216" i="23" s="1"/>
  <c r="I215" i="23"/>
  <c r="E215" i="23"/>
  <c r="D215" i="23"/>
  <c r="F215" i="23" s="1"/>
  <c r="C215" i="23"/>
  <c r="B215" i="23"/>
  <c r="A215" i="23"/>
  <c r="L215" i="23" s="1"/>
  <c r="D214" i="23"/>
  <c r="F214" i="23" s="1"/>
  <c r="A214" i="23"/>
  <c r="L214" i="23" s="1"/>
  <c r="I213" i="23"/>
  <c r="F213" i="23"/>
  <c r="E213" i="23"/>
  <c r="D213" i="23"/>
  <c r="C213" i="23"/>
  <c r="B213" i="23"/>
  <c r="A213" i="23"/>
  <c r="L213" i="23" s="1"/>
  <c r="D212" i="23"/>
  <c r="F212" i="23" s="1"/>
  <c r="A212" i="23"/>
  <c r="L212" i="23" s="1"/>
  <c r="I211" i="23"/>
  <c r="F211" i="23"/>
  <c r="E211" i="23"/>
  <c r="D211" i="23"/>
  <c r="C211" i="23"/>
  <c r="B211" i="23"/>
  <c r="A211" i="23"/>
  <c r="L211" i="23" s="1"/>
  <c r="D210" i="23"/>
  <c r="F210" i="23" s="1"/>
  <c r="A210" i="23"/>
  <c r="L210" i="23" s="1"/>
  <c r="I209" i="23"/>
  <c r="E209" i="23"/>
  <c r="D209" i="23"/>
  <c r="F209" i="23" s="1"/>
  <c r="C209" i="23"/>
  <c r="B209" i="23"/>
  <c r="A209" i="23"/>
  <c r="L209" i="23" s="1"/>
  <c r="D208" i="23"/>
  <c r="F208" i="23" s="1"/>
  <c r="A208" i="23"/>
  <c r="L208" i="23" s="1"/>
  <c r="I207" i="23"/>
  <c r="F207" i="23"/>
  <c r="E207" i="23"/>
  <c r="D207" i="23"/>
  <c r="C207" i="23"/>
  <c r="B207" i="23"/>
  <c r="A207" i="23"/>
  <c r="L207" i="23" s="1"/>
  <c r="D206" i="23"/>
  <c r="F206" i="23" s="1"/>
  <c r="A206" i="23"/>
  <c r="L206" i="23" s="1"/>
  <c r="I205" i="23"/>
  <c r="E205" i="23"/>
  <c r="D205" i="23"/>
  <c r="F205" i="23" s="1"/>
  <c r="C205" i="23"/>
  <c r="B205" i="23"/>
  <c r="A205" i="23"/>
  <c r="L205" i="23" s="1"/>
  <c r="D204" i="23"/>
  <c r="F204" i="23" s="1"/>
  <c r="A204" i="23"/>
  <c r="L204" i="23" s="1"/>
  <c r="I203" i="23"/>
  <c r="F203" i="23"/>
  <c r="E203" i="23"/>
  <c r="D203" i="23"/>
  <c r="C203" i="23"/>
  <c r="B203" i="23"/>
  <c r="A203" i="23"/>
  <c r="L203" i="23" s="1"/>
  <c r="D202" i="23"/>
  <c r="F202" i="23" s="1"/>
  <c r="A202" i="23"/>
  <c r="L202" i="23" s="1"/>
  <c r="I201" i="23"/>
  <c r="E201" i="23"/>
  <c r="D201" i="23"/>
  <c r="F201" i="23" s="1"/>
  <c r="C201" i="23"/>
  <c r="B201" i="23"/>
  <c r="A201" i="23"/>
  <c r="L201" i="23" s="1"/>
  <c r="D200" i="23"/>
  <c r="F200" i="23" s="1"/>
  <c r="A200" i="23"/>
  <c r="L200" i="23" s="1"/>
  <c r="I199" i="23"/>
  <c r="E199" i="23"/>
  <c r="D199" i="23"/>
  <c r="F199" i="23" s="1"/>
  <c r="C199" i="23"/>
  <c r="B199" i="23"/>
  <c r="A199" i="23"/>
  <c r="L199" i="23" s="1"/>
  <c r="D198" i="23"/>
  <c r="F198" i="23" s="1"/>
  <c r="A198" i="23"/>
  <c r="L198" i="23" s="1"/>
  <c r="I197" i="23"/>
  <c r="F197" i="23"/>
  <c r="E197" i="23"/>
  <c r="D197" i="23"/>
  <c r="C197" i="23"/>
  <c r="B197" i="23"/>
  <c r="A197" i="23"/>
  <c r="L197" i="23" s="1"/>
  <c r="D196" i="23"/>
  <c r="F196" i="23" s="1"/>
  <c r="A196" i="23"/>
  <c r="L196" i="23" s="1"/>
  <c r="I195" i="23"/>
  <c r="F195" i="23"/>
  <c r="E195" i="23"/>
  <c r="D195" i="23"/>
  <c r="C195" i="23"/>
  <c r="B195" i="23"/>
  <c r="A195" i="23"/>
  <c r="L195" i="23" s="1"/>
  <c r="D194" i="23"/>
  <c r="F194" i="23" s="1"/>
  <c r="A194" i="23"/>
  <c r="L194" i="23" s="1"/>
  <c r="I193" i="23"/>
  <c r="F193" i="23"/>
  <c r="E193" i="23"/>
  <c r="D193" i="23"/>
  <c r="C193" i="23"/>
  <c r="B193" i="23"/>
  <c r="A193" i="23"/>
  <c r="L193" i="23" s="1"/>
  <c r="D192" i="23"/>
  <c r="F192" i="23" s="1"/>
  <c r="A192" i="23"/>
  <c r="I191" i="23"/>
  <c r="F191" i="23"/>
  <c r="E191" i="23"/>
  <c r="D191" i="23"/>
  <c r="C191" i="23"/>
  <c r="B191" i="23"/>
  <c r="A191" i="23"/>
  <c r="L191" i="23" s="1"/>
  <c r="D190" i="23"/>
  <c r="F190" i="23" s="1"/>
  <c r="A190" i="23"/>
  <c r="I189" i="23"/>
  <c r="F189" i="23"/>
  <c r="E189" i="23"/>
  <c r="D189" i="23"/>
  <c r="C189" i="23"/>
  <c r="B189" i="23"/>
  <c r="A189" i="23"/>
  <c r="L189" i="23" s="1"/>
  <c r="A188" i="23"/>
  <c r="I187" i="23"/>
  <c r="F187" i="23"/>
  <c r="E187" i="23"/>
  <c r="D187" i="23"/>
  <c r="C187" i="23"/>
  <c r="B187" i="23"/>
  <c r="A187" i="23"/>
  <c r="L187" i="23" s="1"/>
  <c r="D186" i="23"/>
  <c r="F186" i="23" s="1"/>
  <c r="A186" i="23"/>
  <c r="I185" i="23"/>
  <c r="E185" i="23"/>
  <c r="D185" i="23"/>
  <c r="F185" i="23" s="1"/>
  <c r="C185" i="23"/>
  <c r="B185" i="23"/>
  <c r="A185" i="23"/>
  <c r="L185" i="23" s="1"/>
  <c r="D184" i="23"/>
  <c r="F184" i="23" s="1"/>
  <c r="A184" i="23"/>
  <c r="D183" i="23"/>
  <c r="F183" i="23" s="1"/>
  <c r="A183" i="23"/>
  <c r="A182" i="23"/>
  <c r="I181" i="23"/>
  <c r="F181" i="23"/>
  <c r="E181" i="23"/>
  <c r="D181" i="23"/>
  <c r="C181" i="23"/>
  <c r="A181" i="23"/>
  <c r="A180" i="23"/>
  <c r="I179" i="23"/>
  <c r="F179" i="23"/>
  <c r="E179" i="23"/>
  <c r="D179" i="23"/>
  <c r="C179" i="23"/>
  <c r="A179" i="23"/>
  <c r="A178" i="23"/>
  <c r="D177" i="23"/>
  <c r="F177" i="23" s="1"/>
  <c r="C177" i="23"/>
  <c r="A177" i="23"/>
  <c r="A176" i="23"/>
  <c r="B175" i="23"/>
  <c r="A175" i="23"/>
  <c r="D174" i="23"/>
  <c r="F174" i="23" s="1"/>
  <c r="A174" i="23"/>
  <c r="D173" i="23"/>
  <c r="F173" i="23" s="1"/>
  <c r="A173" i="23"/>
  <c r="D172" i="23"/>
  <c r="F172" i="23" s="1"/>
  <c r="A172" i="23"/>
  <c r="E171" i="23"/>
  <c r="D171" i="23"/>
  <c r="F171" i="23" s="1"/>
  <c r="B171" i="23"/>
  <c r="A171" i="23"/>
  <c r="A170" i="23"/>
  <c r="A169" i="23"/>
  <c r="A168" i="23"/>
  <c r="D167" i="23"/>
  <c r="F167" i="23" s="1"/>
  <c r="A167" i="23"/>
  <c r="D166" i="23"/>
  <c r="F166" i="23" s="1"/>
  <c r="A166" i="23"/>
  <c r="F165" i="23"/>
  <c r="E165" i="23"/>
  <c r="D165" i="23"/>
  <c r="C165" i="23"/>
  <c r="B165" i="23"/>
  <c r="A165" i="23"/>
  <c r="A164" i="23"/>
  <c r="E163" i="23"/>
  <c r="D163" i="23"/>
  <c r="F163" i="23" s="1"/>
  <c r="C163" i="23"/>
  <c r="B163" i="23"/>
  <c r="A163" i="23"/>
  <c r="D162" i="23"/>
  <c r="F162" i="23" s="1"/>
  <c r="A162" i="23"/>
  <c r="E161" i="23"/>
  <c r="D161" i="23"/>
  <c r="F161" i="23" s="1"/>
  <c r="C161" i="23"/>
  <c r="A161" i="23"/>
  <c r="A160" i="23"/>
  <c r="C159" i="23"/>
  <c r="B159" i="23"/>
  <c r="A159" i="23"/>
  <c r="F158" i="23"/>
  <c r="D158" i="23"/>
  <c r="A158" i="23"/>
  <c r="F157" i="23"/>
  <c r="D157" i="23"/>
  <c r="C157" i="23"/>
  <c r="B157" i="23"/>
  <c r="A157" i="23"/>
  <c r="D156" i="23"/>
  <c r="F156" i="23" s="1"/>
  <c r="A156" i="23"/>
  <c r="A155" i="23"/>
  <c r="A154" i="23"/>
  <c r="D153" i="23"/>
  <c r="F153" i="23" s="1"/>
  <c r="A153" i="23"/>
  <c r="F152" i="23"/>
  <c r="D152" i="23"/>
  <c r="A152" i="23"/>
  <c r="C151" i="23"/>
  <c r="A151" i="23"/>
  <c r="D150" i="23"/>
  <c r="F150" i="23" s="1"/>
  <c r="A150" i="23"/>
  <c r="E149" i="23"/>
  <c r="D149" i="23"/>
  <c r="F149" i="23" s="1"/>
  <c r="B149" i="23"/>
  <c r="A149" i="23"/>
  <c r="A148" i="23"/>
  <c r="A147" i="23"/>
  <c r="A146" i="23"/>
  <c r="A145" i="23"/>
  <c r="A144" i="23"/>
  <c r="A143" i="23"/>
  <c r="A142" i="23"/>
  <c r="A141" i="23"/>
  <c r="A140" i="23"/>
  <c r="A139" i="23"/>
  <c r="A138" i="23"/>
  <c r="A137" i="23"/>
  <c r="A136" i="23"/>
  <c r="A135" i="23"/>
  <c r="A134" i="23"/>
  <c r="A133" i="23"/>
  <c r="A132" i="23"/>
  <c r="A131" i="23"/>
  <c r="A130" i="23"/>
  <c r="A129" i="23"/>
  <c r="A128" i="23"/>
  <c r="A127" i="23"/>
  <c r="A126" i="23"/>
  <c r="G125" i="23"/>
  <c r="I125" i="23" s="1"/>
  <c r="E125" i="23"/>
  <c r="D125" i="23"/>
  <c r="F125" i="23" s="1"/>
  <c r="B125" i="23"/>
  <c r="A125" i="23"/>
  <c r="G124" i="23"/>
  <c r="D124" i="23"/>
  <c r="F124" i="23" s="1"/>
  <c r="A124" i="23"/>
  <c r="D123" i="23"/>
  <c r="F123" i="23" s="1"/>
  <c r="A123" i="23"/>
  <c r="A122" i="23"/>
  <c r="F121" i="23"/>
  <c r="D121" i="23"/>
  <c r="C121" i="23"/>
  <c r="B121" i="23"/>
  <c r="A121" i="23"/>
  <c r="A120" i="23"/>
  <c r="J119" i="23"/>
  <c r="G119" i="23"/>
  <c r="I119" i="23" s="1"/>
  <c r="F119" i="23"/>
  <c r="E119" i="23"/>
  <c r="D119" i="23"/>
  <c r="C119" i="23"/>
  <c r="B119" i="23"/>
  <c r="A119" i="23"/>
  <c r="G118" i="23"/>
  <c r="E118" i="23"/>
  <c r="A118" i="23"/>
  <c r="D117" i="23"/>
  <c r="F117" i="23" s="1"/>
  <c r="A117" i="23"/>
  <c r="E116" i="23"/>
  <c r="B116" i="23"/>
  <c r="A116" i="23"/>
  <c r="J116" i="23" s="1"/>
  <c r="A115" i="23"/>
  <c r="J114" i="23"/>
  <c r="G114" i="23"/>
  <c r="E114" i="23"/>
  <c r="B114" i="23"/>
  <c r="A114" i="23"/>
  <c r="D114" i="23" s="1"/>
  <c r="F114" i="23" s="1"/>
  <c r="H114" i="23" s="1"/>
  <c r="J113" i="23"/>
  <c r="G113" i="23"/>
  <c r="I113" i="23" s="1"/>
  <c r="F113" i="23"/>
  <c r="D113" i="23"/>
  <c r="A113" i="23"/>
  <c r="E112" i="23"/>
  <c r="D112" i="23"/>
  <c r="F112" i="23" s="1"/>
  <c r="B112" i="23"/>
  <c r="A112" i="23"/>
  <c r="J111" i="23"/>
  <c r="G111" i="23"/>
  <c r="I111" i="23" s="1"/>
  <c r="E111" i="23"/>
  <c r="D111" i="23"/>
  <c r="F111" i="23" s="1"/>
  <c r="C111" i="23"/>
  <c r="B111" i="23"/>
  <c r="A111" i="23"/>
  <c r="A110" i="23"/>
  <c r="A109" i="23"/>
  <c r="J108" i="23"/>
  <c r="G108" i="23"/>
  <c r="B108" i="23"/>
  <c r="A108" i="23"/>
  <c r="G107" i="23"/>
  <c r="I107" i="23" s="1"/>
  <c r="A107" i="23"/>
  <c r="J106" i="23"/>
  <c r="G106" i="23"/>
  <c r="E106" i="23"/>
  <c r="D106" i="23"/>
  <c r="F106" i="23" s="1"/>
  <c r="B106" i="23"/>
  <c r="A106" i="23"/>
  <c r="D105" i="23"/>
  <c r="F105" i="23" s="1"/>
  <c r="C105" i="23"/>
  <c r="B105" i="23"/>
  <c r="A105" i="23"/>
  <c r="G104" i="23"/>
  <c r="E104" i="23"/>
  <c r="B104" i="23"/>
  <c r="A104" i="23"/>
  <c r="J104" i="23" s="1"/>
  <c r="J103" i="23"/>
  <c r="E103" i="23"/>
  <c r="A103" i="23"/>
  <c r="J102" i="23"/>
  <c r="H102" i="23"/>
  <c r="G102" i="23"/>
  <c r="F102" i="23"/>
  <c r="E102" i="23"/>
  <c r="D102" i="23"/>
  <c r="B102" i="23"/>
  <c r="A102" i="23"/>
  <c r="J101" i="23"/>
  <c r="G101" i="23"/>
  <c r="I101" i="23" s="1"/>
  <c r="E101" i="23"/>
  <c r="A101" i="23"/>
  <c r="E100" i="23"/>
  <c r="D100" i="23"/>
  <c r="F100" i="23" s="1"/>
  <c r="B100" i="23"/>
  <c r="A100" i="23"/>
  <c r="G99" i="23"/>
  <c r="A99" i="23"/>
  <c r="A98" i="23"/>
  <c r="C97" i="23"/>
  <c r="A97" i="23"/>
  <c r="J96" i="23"/>
  <c r="G96" i="23"/>
  <c r="B96" i="23"/>
  <c r="A96" i="23"/>
  <c r="G95" i="23"/>
  <c r="I95" i="23" s="1"/>
  <c r="A95" i="23"/>
  <c r="J94" i="23"/>
  <c r="G94" i="23"/>
  <c r="E94" i="23"/>
  <c r="D94" i="23"/>
  <c r="F94" i="23" s="1"/>
  <c r="B94" i="23"/>
  <c r="A94" i="23"/>
  <c r="D93" i="23"/>
  <c r="F93" i="23" s="1"/>
  <c r="C93" i="23"/>
  <c r="B93" i="23"/>
  <c r="A93" i="23"/>
  <c r="G92" i="23"/>
  <c r="E92" i="23"/>
  <c r="B92" i="23"/>
  <c r="A92" i="23"/>
  <c r="J92" i="23" s="1"/>
  <c r="J91" i="23"/>
  <c r="E91" i="23"/>
  <c r="A91" i="23"/>
  <c r="J90" i="23"/>
  <c r="H90" i="23"/>
  <c r="G90" i="23"/>
  <c r="F90" i="23"/>
  <c r="E90" i="23"/>
  <c r="D90" i="23"/>
  <c r="B90" i="23"/>
  <c r="A90" i="23"/>
  <c r="J89" i="23"/>
  <c r="G89" i="23"/>
  <c r="I89" i="23" s="1"/>
  <c r="E89" i="23"/>
  <c r="A89" i="23"/>
  <c r="E88" i="23"/>
  <c r="D88" i="23"/>
  <c r="F88" i="23" s="1"/>
  <c r="A88" i="23"/>
  <c r="A87" i="23"/>
  <c r="A86" i="23"/>
  <c r="C85" i="23"/>
  <c r="A85" i="23"/>
  <c r="J84" i="23"/>
  <c r="G84" i="23"/>
  <c r="B84" i="23"/>
  <c r="A84" i="23"/>
  <c r="G83" i="23"/>
  <c r="I83" i="23" s="1"/>
  <c r="A83" i="23"/>
  <c r="K82" i="23"/>
  <c r="J82" i="23"/>
  <c r="G82" i="23"/>
  <c r="E82" i="23"/>
  <c r="D82" i="23"/>
  <c r="F82" i="23" s="1"/>
  <c r="B82" i="23"/>
  <c r="A82" i="23"/>
  <c r="D81" i="23"/>
  <c r="F81" i="23" s="1"/>
  <c r="C81" i="23"/>
  <c r="B81" i="23"/>
  <c r="A81" i="23"/>
  <c r="A80" i="23"/>
  <c r="D79" i="23"/>
  <c r="F79" i="23" s="1"/>
  <c r="C79" i="23"/>
  <c r="B79" i="23"/>
  <c r="A79" i="23"/>
  <c r="A78" i="23"/>
  <c r="D77" i="23"/>
  <c r="F77" i="23" s="1"/>
  <c r="C77" i="23"/>
  <c r="B77" i="23"/>
  <c r="A77" i="23"/>
  <c r="A76" i="23"/>
  <c r="D75" i="23"/>
  <c r="F75" i="23" s="1"/>
  <c r="C75" i="23"/>
  <c r="B75" i="23"/>
  <c r="A75" i="23"/>
  <c r="A74" i="23"/>
  <c r="D73" i="23"/>
  <c r="F73" i="23" s="1"/>
  <c r="C73" i="23"/>
  <c r="B73" i="23"/>
  <c r="A73" i="23"/>
  <c r="A72" i="23"/>
  <c r="D71" i="23"/>
  <c r="F71" i="23" s="1"/>
  <c r="C71" i="23"/>
  <c r="B71" i="23"/>
  <c r="A71" i="23"/>
  <c r="A70" i="23"/>
  <c r="D69" i="23"/>
  <c r="F69" i="23" s="1"/>
  <c r="C69" i="23"/>
  <c r="B69" i="23"/>
  <c r="A69" i="23"/>
  <c r="A68" i="23"/>
  <c r="D67" i="23"/>
  <c r="F67" i="23" s="1"/>
  <c r="C67" i="23"/>
  <c r="B67" i="23"/>
  <c r="A67" i="23"/>
  <c r="A66" i="23"/>
  <c r="D65" i="23"/>
  <c r="F65" i="23" s="1"/>
  <c r="C65" i="23"/>
  <c r="B65" i="23"/>
  <c r="A65" i="23"/>
  <c r="A64" i="23"/>
  <c r="D63" i="23"/>
  <c r="F63" i="23" s="1"/>
  <c r="C63" i="23"/>
  <c r="B63" i="23"/>
  <c r="A63" i="23"/>
  <c r="A62" i="23"/>
  <c r="D61" i="23"/>
  <c r="F61" i="23" s="1"/>
  <c r="C61" i="23"/>
  <c r="B61" i="23"/>
  <c r="A61" i="23"/>
  <c r="A60" i="23"/>
  <c r="D59" i="23"/>
  <c r="F59" i="23" s="1"/>
  <c r="C59" i="23"/>
  <c r="B59" i="23"/>
  <c r="A59" i="23"/>
  <c r="A58" i="23"/>
  <c r="D57" i="23"/>
  <c r="F57" i="23" s="1"/>
  <c r="C57" i="23"/>
  <c r="B57" i="23"/>
  <c r="A57" i="23"/>
  <c r="A56" i="23"/>
  <c r="D55" i="23"/>
  <c r="F55" i="23" s="1"/>
  <c r="C55" i="23"/>
  <c r="B55" i="23"/>
  <c r="A55" i="23"/>
  <c r="A54" i="23"/>
  <c r="D53" i="23"/>
  <c r="F53" i="23" s="1"/>
  <c r="C53" i="23"/>
  <c r="B53" i="23"/>
  <c r="A53" i="23"/>
  <c r="A52" i="23"/>
  <c r="D51" i="23"/>
  <c r="F51" i="23" s="1"/>
  <c r="C51" i="23"/>
  <c r="B51" i="23"/>
  <c r="A51" i="23"/>
  <c r="A50" i="23"/>
  <c r="D49" i="23"/>
  <c r="F49" i="23" s="1"/>
  <c r="C49" i="23"/>
  <c r="B49" i="23"/>
  <c r="A49" i="23"/>
  <c r="A48" i="23"/>
  <c r="D47" i="23"/>
  <c r="F47" i="23" s="1"/>
  <c r="C47" i="23"/>
  <c r="B47" i="23"/>
  <c r="A47" i="23"/>
  <c r="A46" i="23"/>
  <c r="D45" i="23"/>
  <c r="F45" i="23" s="1"/>
  <c r="C45" i="23"/>
  <c r="B45" i="23"/>
  <c r="A45" i="23"/>
  <c r="A44" i="23"/>
  <c r="D43" i="23"/>
  <c r="F43" i="23" s="1"/>
  <c r="C43" i="23"/>
  <c r="B43" i="23"/>
  <c r="A43" i="23"/>
  <c r="A42" i="23"/>
  <c r="D41" i="23"/>
  <c r="F41" i="23" s="1"/>
  <c r="C41" i="23"/>
  <c r="B41" i="23"/>
  <c r="A41" i="23"/>
  <c r="A40" i="23"/>
  <c r="D39" i="23"/>
  <c r="F39" i="23" s="1"/>
  <c r="C39" i="23"/>
  <c r="B39" i="23"/>
  <c r="A39" i="23"/>
  <c r="A38" i="23"/>
  <c r="D37" i="23"/>
  <c r="F37" i="23" s="1"/>
  <c r="C37" i="23"/>
  <c r="B37" i="23"/>
  <c r="A37" i="23"/>
  <c r="A36" i="23"/>
  <c r="D35" i="23"/>
  <c r="F35" i="23" s="1"/>
  <c r="C35" i="23"/>
  <c r="B35" i="23"/>
  <c r="A35" i="23"/>
  <c r="A34" i="23"/>
  <c r="D33" i="23"/>
  <c r="F33" i="23" s="1"/>
  <c r="C33" i="23"/>
  <c r="B33" i="23"/>
  <c r="A33" i="23"/>
  <c r="A32" i="23"/>
  <c r="D31" i="23"/>
  <c r="F31" i="23" s="1"/>
  <c r="C31" i="23"/>
  <c r="B31" i="23"/>
  <c r="A31" i="23"/>
  <c r="A30" i="23"/>
  <c r="D29" i="23"/>
  <c r="F29" i="23" s="1"/>
  <c r="C29" i="23"/>
  <c r="B29" i="23"/>
  <c r="A29" i="23"/>
  <c r="A28" i="23"/>
  <c r="D27" i="23"/>
  <c r="F27" i="23" s="1"/>
  <c r="C27" i="23"/>
  <c r="B27" i="23"/>
  <c r="A27" i="23"/>
  <c r="A26" i="23"/>
  <c r="D25" i="23"/>
  <c r="F25" i="23" s="1"/>
  <c r="C25" i="23"/>
  <c r="B25" i="23"/>
  <c r="A25" i="23"/>
  <c r="A24" i="23"/>
  <c r="D23" i="23"/>
  <c r="F23" i="23" s="1"/>
  <c r="C23" i="23"/>
  <c r="B23" i="23"/>
  <c r="A23" i="23"/>
  <c r="A22" i="23"/>
  <c r="D21" i="23"/>
  <c r="F21" i="23" s="1"/>
  <c r="C21" i="23"/>
  <c r="B21" i="23"/>
  <c r="A21" i="23"/>
  <c r="A20" i="23"/>
  <c r="D19" i="23"/>
  <c r="F19" i="23" s="1"/>
  <c r="C19" i="23"/>
  <c r="B19" i="23"/>
  <c r="A19" i="23"/>
  <c r="A18" i="23"/>
  <c r="D17" i="23"/>
  <c r="F17" i="23" s="1"/>
  <c r="C17" i="23"/>
  <c r="B17" i="23"/>
  <c r="A17" i="23"/>
  <c r="A16" i="23"/>
  <c r="D15" i="23"/>
  <c r="F15" i="23" s="1"/>
  <c r="C15" i="23"/>
  <c r="B15" i="23"/>
  <c r="A15" i="23"/>
  <c r="A14" i="23"/>
  <c r="D13" i="23"/>
  <c r="F13" i="23" s="1"/>
  <c r="C13" i="23"/>
  <c r="B13" i="23"/>
  <c r="A13" i="23"/>
  <c r="A12" i="23"/>
  <c r="D11" i="23"/>
  <c r="F11" i="23" s="1"/>
  <c r="C11" i="23"/>
  <c r="B11" i="23"/>
  <c r="A11" i="23"/>
  <c r="A10" i="23"/>
  <c r="D9" i="23"/>
  <c r="F9" i="23" s="1"/>
  <c r="C9" i="23"/>
  <c r="B9" i="23"/>
  <c r="A9" i="23"/>
  <c r="A8" i="23"/>
  <c r="D7" i="23"/>
  <c r="F7" i="23" s="1"/>
  <c r="C7" i="23"/>
  <c r="B7" i="23"/>
  <c r="A7" i="23"/>
  <c r="A6" i="23"/>
  <c r="D5" i="23"/>
  <c r="F5" i="23" s="1"/>
  <c r="C5" i="23"/>
  <c r="B5" i="23"/>
  <c r="A5" i="23"/>
  <c r="A4" i="23"/>
  <c r="D3" i="23"/>
  <c r="F3" i="23" s="1"/>
  <c r="C3" i="23"/>
  <c r="B3" i="23"/>
  <c r="A3" i="23"/>
  <c r="A2" i="23"/>
  <c r="C100" i="22"/>
  <c r="B100" i="22"/>
  <c r="C99" i="22"/>
  <c r="B99" i="22"/>
  <c r="C98" i="22"/>
  <c r="B98" i="22"/>
  <c r="C97" i="22"/>
  <c r="B97" i="22"/>
  <c r="C96" i="22"/>
  <c r="B96" i="22"/>
  <c r="C95" i="22"/>
  <c r="B95" i="22"/>
  <c r="C94" i="22"/>
  <c r="B94" i="22"/>
  <c r="C93" i="22"/>
  <c r="B93" i="22"/>
  <c r="C92" i="22"/>
  <c r="B92" i="22"/>
  <c r="C91" i="22"/>
  <c r="B91" i="22"/>
  <c r="C90" i="22"/>
  <c r="B90" i="22"/>
  <c r="C89" i="22"/>
  <c r="B89" i="22"/>
  <c r="C88" i="22"/>
  <c r="B88" i="22"/>
  <c r="C87" i="22"/>
  <c r="B87" i="22"/>
  <c r="C86" i="22"/>
  <c r="B86" i="22"/>
  <c r="C85" i="22"/>
  <c r="B85" i="22"/>
  <c r="C84" i="22"/>
  <c r="B84" i="22"/>
  <c r="C83" i="22"/>
  <c r="B83" i="22"/>
  <c r="C82" i="22"/>
  <c r="B82" i="22"/>
  <c r="C81" i="22"/>
  <c r="B81" i="22"/>
  <c r="C80" i="22"/>
  <c r="B80" i="22"/>
  <c r="C79" i="22"/>
  <c r="B79" i="22"/>
  <c r="C78" i="22"/>
  <c r="B78" i="22"/>
  <c r="C77" i="22"/>
  <c r="B77" i="22"/>
  <c r="C76" i="22"/>
  <c r="B76" i="22"/>
  <c r="C75" i="22"/>
  <c r="B75" i="22"/>
  <c r="C74" i="22"/>
  <c r="B74" i="22"/>
  <c r="C73" i="22"/>
  <c r="B73" i="22"/>
  <c r="C72" i="22"/>
  <c r="B72" i="22"/>
  <c r="C71" i="22"/>
  <c r="B71" i="22"/>
  <c r="C70" i="22"/>
  <c r="B70" i="22"/>
  <c r="C69" i="22"/>
  <c r="B69" i="22"/>
  <c r="C68" i="22"/>
  <c r="B68" i="22"/>
  <c r="C67" i="22"/>
  <c r="B67" i="22"/>
  <c r="C66" i="22"/>
  <c r="B66" i="22"/>
  <c r="C65" i="22"/>
  <c r="B65" i="22"/>
  <c r="C64" i="22"/>
  <c r="B64" i="22"/>
  <c r="C63" i="22"/>
  <c r="B63" i="22"/>
  <c r="C62" i="22"/>
  <c r="B62" i="22"/>
  <c r="C61" i="22"/>
  <c r="B61" i="22"/>
  <c r="C60" i="22"/>
  <c r="B60" i="22"/>
  <c r="C59" i="22"/>
  <c r="B59" i="22"/>
  <c r="C58" i="22"/>
  <c r="B58" i="22"/>
  <c r="C57" i="22"/>
  <c r="B57" i="22"/>
  <c r="C56" i="22"/>
  <c r="B56" i="22"/>
  <c r="C55" i="22"/>
  <c r="B55" i="22"/>
  <c r="C54" i="22"/>
  <c r="B54" i="22"/>
  <c r="C53" i="22"/>
  <c r="B53" i="22"/>
  <c r="C52" i="22"/>
  <c r="B52" i="22"/>
  <c r="C51" i="22"/>
  <c r="B51" i="22"/>
  <c r="C50" i="22"/>
  <c r="B50" i="22"/>
  <c r="C49" i="22"/>
  <c r="B49" i="22"/>
  <c r="C48" i="22"/>
  <c r="B48" i="22"/>
  <c r="C47" i="22"/>
  <c r="B47" i="22"/>
  <c r="C46" i="22"/>
  <c r="B46" i="22"/>
  <c r="C45" i="22"/>
  <c r="B45" i="22"/>
  <c r="B43" i="22"/>
  <c r="B41" i="22"/>
  <c r="B38" i="22"/>
  <c r="B37" i="22"/>
  <c r="B35" i="22"/>
  <c r="B32" i="22"/>
  <c r="B27" i="22"/>
  <c r="B26" i="22"/>
  <c r="B25" i="22"/>
  <c r="B24" i="22"/>
  <c r="B23" i="22"/>
  <c r="B22" i="22"/>
  <c r="B21" i="22"/>
  <c r="B17" i="22"/>
  <c r="B16" i="22"/>
  <c r="B8" i="22"/>
  <c r="B3" i="22"/>
  <c r="C11" i="21"/>
  <c r="D11" i="21" s="1"/>
  <c r="C10" i="21"/>
  <c r="D10" i="21" s="1"/>
  <c r="C7" i="21"/>
  <c r="D7" i="21" s="1"/>
  <c r="C100" i="18"/>
  <c r="B100" i="18"/>
  <c r="C99" i="18"/>
  <c r="B99" i="18"/>
  <c r="C98" i="18"/>
  <c r="B98" i="18"/>
  <c r="C97" i="18"/>
  <c r="B97" i="18"/>
  <c r="C96" i="18"/>
  <c r="B96" i="18"/>
  <c r="C95" i="18"/>
  <c r="B95" i="18"/>
  <c r="C94" i="18"/>
  <c r="B94" i="18"/>
  <c r="C93" i="18"/>
  <c r="B93" i="18"/>
  <c r="C92" i="18"/>
  <c r="B92" i="18"/>
  <c r="C91" i="18"/>
  <c r="B91" i="18"/>
  <c r="C90" i="18"/>
  <c r="B90" i="18"/>
  <c r="C89" i="18"/>
  <c r="B89" i="18"/>
  <c r="C88" i="18"/>
  <c r="B88" i="18"/>
  <c r="C87" i="18"/>
  <c r="B87" i="18"/>
  <c r="C86" i="18"/>
  <c r="B86" i="18"/>
  <c r="C85" i="18"/>
  <c r="B85" i="18"/>
  <c r="C84" i="18"/>
  <c r="B84" i="18"/>
  <c r="C83" i="18"/>
  <c r="B83" i="18"/>
  <c r="C82" i="18"/>
  <c r="B82" i="18"/>
  <c r="C81" i="18"/>
  <c r="B81" i="18"/>
  <c r="C80" i="18"/>
  <c r="B80" i="18"/>
  <c r="C79" i="18"/>
  <c r="B79" i="18"/>
  <c r="C78" i="18"/>
  <c r="B78" i="18"/>
  <c r="C77" i="18"/>
  <c r="B77" i="18"/>
  <c r="C76" i="18"/>
  <c r="B76" i="18"/>
  <c r="C75" i="18"/>
  <c r="B75" i="18"/>
  <c r="C74" i="18"/>
  <c r="B74" i="18"/>
  <c r="C73" i="18"/>
  <c r="B73" i="18"/>
  <c r="C72" i="18"/>
  <c r="B72" i="18"/>
  <c r="C71" i="18"/>
  <c r="B71" i="18"/>
  <c r="C70" i="18"/>
  <c r="B70" i="18"/>
  <c r="C69" i="18"/>
  <c r="B69" i="18"/>
  <c r="C68" i="18"/>
  <c r="B68" i="18"/>
  <c r="C67" i="18"/>
  <c r="B67" i="18"/>
  <c r="C66" i="18"/>
  <c r="B66" i="18"/>
  <c r="C65" i="18"/>
  <c r="B65" i="18"/>
  <c r="C64" i="18"/>
  <c r="B64" i="18"/>
  <c r="C63" i="18"/>
  <c r="B63" i="18"/>
  <c r="C62" i="18"/>
  <c r="B62" i="18"/>
  <c r="C61" i="18"/>
  <c r="B61" i="18"/>
  <c r="C60" i="18"/>
  <c r="B60" i="18"/>
  <c r="C59" i="18"/>
  <c r="B59" i="18"/>
  <c r="C58" i="18"/>
  <c r="B58" i="18"/>
  <c r="C57" i="18"/>
  <c r="B57" i="18"/>
  <c r="C56" i="18"/>
  <c r="B56" i="18"/>
  <c r="C55" i="18"/>
  <c r="B55" i="18"/>
  <c r="C54" i="18"/>
  <c r="B54" i="18"/>
  <c r="C53" i="18"/>
  <c r="B53" i="18"/>
  <c r="C52" i="18"/>
  <c r="B52" i="18"/>
  <c r="C51" i="18"/>
  <c r="B51" i="18"/>
  <c r="C50" i="18"/>
  <c r="B50" i="18"/>
  <c r="C49" i="18"/>
  <c r="B49" i="18"/>
  <c r="C48" i="18"/>
  <c r="B48" i="18"/>
  <c r="C47" i="18"/>
  <c r="B47" i="18"/>
  <c r="C46" i="18"/>
  <c r="B46" i="18"/>
  <c r="C45" i="18"/>
  <c r="B45" i="18"/>
  <c r="C44" i="18"/>
  <c r="B44" i="18"/>
  <c r="C43" i="18"/>
  <c r="B43" i="18"/>
  <c r="C42" i="18"/>
  <c r="B42" i="18"/>
  <c r="C41" i="18"/>
  <c r="B41" i="18"/>
  <c r="C40" i="18"/>
  <c r="B40" i="18"/>
  <c r="C39" i="18"/>
  <c r="B39" i="18"/>
  <c r="C38" i="18"/>
  <c r="B38" i="18"/>
  <c r="C37" i="18"/>
  <c r="B37" i="18"/>
  <c r="C36" i="18"/>
  <c r="B36" i="18"/>
  <c r="C35" i="18"/>
  <c r="B35" i="18"/>
  <c r="C34" i="18"/>
  <c r="B34" i="18"/>
  <c r="C33" i="18"/>
  <c r="B33" i="18"/>
  <c r="C32" i="18"/>
  <c r="B32" i="18"/>
  <c r="C31" i="18"/>
  <c r="B31" i="18"/>
  <c r="C30" i="18"/>
  <c r="B30" i="18"/>
  <c r="C29" i="18"/>
  <c r="B29" i="18"/>
  <c r="C28" i="18"/>
  <c r="B28" i="18"/>
  <c r="C27" i="18"/>
  <c r="B27" i="18"/>
  <c r="C26" i="18"/>
  <c r="B26" i="18"/>
  <c r="C25" i="18"/>
  <c r="B25" i="18"/>
  <c r="C24" i="18"/>
  <c r="B24" i="18"/>
  <c r="C23" i="18"/>
  <c r="B23" i="18"/>
  <c r="C22" i="18"/>
  <c r="B22" i="18"/>
  <c r="C21" i="18"/>
  <c r="B21" i="18"/>
  <c r="C20" i="18"/>
  <c r="B20" i="18"/>
  <c r="C19" i="18"/>
  <c r="B19" i="18"/>
  <c r="C18" i="18"/>
  <c r="B18" i="18"/>
  <c r="C17" i="18"/>
  <c r="B17" i="18"/>
  <c r="C16" i="18"/>
  <c r="B16" i="18"/>
  <c r="C15" i="18"/>
  <c r="B15" i="18"/>
  <c r="C14" i="18"/>
  <c r="B14" i="18"/>
  <c r="C13" i="18"/>
  <c r="B13" i="18"/>
  <c r="C12" i="18"/>
  <c r="B12" i="18"/>
  <c r="C11" i="18"/>
  <c r="B11" i="18"/>
  <c r="C10" i="18"/>
  <c r="B10" i="18"/>
  <c r="C9" i="18"/>
  <c r="B9" i="18"/>
  <c r="C100" i="17"/>
  <c r="B100" i="17"/>
  <c r="C99" i="17"/>
  <c r="B99" i="17"/>
  <c r="C98" i="17"/>
  <c r="B98" i="17"/>
  <c r="C97" i="17"/>
  <c r="B97" i="17"/>
  <c r="C96" i="17"/>
  <c r="B96" i="17"/>
  <c r="C95" i="17"/>
  <c r="B95" i="17"/>
  <c r="C94" i="17"/>
  <c r="B94" i="17"/>
  <c r="C93" i="17"/>
  <c r="B93" i="17"/>
  <c r="C92" i="17"/>
  <c r="B92" i="17"/>
  <c r="C91" i="17"/>
  <c r="B91" i="17"/>
  <c r="C90" i="17"/>
  <c r="B90" i="17"/>
  <c r="C89" i="17"/>
  <c r="B89" i="17"/>
  <c r="C88" i="17"/>
  <c r="B88" i="17"/>
  <c r="C87" i="17"/>
  <c r="B87" i="17"/>
  <c r="C86" i="17"/>
  <c r="B86" i="17"/>
  <c r="C85" i="17"/>
  <c r="B85" i="17"/>
  <c r="C84" i="17"/>
  <c r="B84" i="17"/>
  <c r="C83" i="17"/>
  <c r="B83" i="17"/>
  <c r="C82" i="17"/>
  <c r="B82" i="17"/>
  <c r="C81" i="17"/>
  <c r="B81" i="17"/>
  <c r="C80" i="17"/>
  <c r="B80" i="17"/>
  <c r="C79" i="17"/>
  <c r="B79" i="17"/>
  <c r="C78" i="17"/>
  <c r="B78" i="17"/>
  <c r="C77" i="17"/>
  <c r="B77" i="17"/>
  <c r="C76" i="17"/>
  <c r="B76" i="17"/>
  <c r="C75" i="17"/>
  <c r="B75" i="17"/>
  <c r="C74" i="17"/>
  <c r="B74" i="17"/>
  <c r="C73" i="17"/>
  <c r="B73" i="17"/>
  <c r="C72" i="17"/>
  <c r="B72" i="17"/>
  <c r="C71" i="17"/>
  <c r="B71" i="17"/>
  <c r="C70" i="17"/>
  <c r="B70" i="17"/>
  <c r="C69" i="17"/>
  <c r="B69" i="17"/>
  <c r="C68" i="17"/>
  <c r="B68" i="17"/>
  <c r="C67" i="17"/>
  <c r="B67" i="17"/>
  <c r="C66" i="17"/>
  <c r="B66" i="17"/>
  <c r="C65" i="17"/>
  <c r="B65" i="17"/>
  <c r="C64" i="17"/>
  <c r="B64" i="17"/>
  <c r="C63" i="17"/>
  <c r="B63" i="17"/>
  <c r="C62" i="17"/>
  <c r="B62" i="17"/>
  <c r="C61" i="17"/>
  <c r="B61" i="17"/>
  <c r="C60" i="17"/>
  <c r="B60" i="17"/>
  <c r="C59" i="17"/>
  <c r="B59" i="17"/>
  <c r="C58" i="17"/>
  <c r="B58" i="17"/>
  <c r="C57" i="17"/>
  <c r="B57" i="17"/>
  <c r="C56" i="17"/>
  <c r="B56" i="17"/>
  <c r="C55" i="17"/>
  <c r="B55" i="17"/>
  <c r="C54" i="17"/>
  <c r="B54" i="17"/>
  <c r="C53" i="17"/>
  <c r="B53" i="17"/>
  <c r="C52" i="17"/>
  <c r="B52" i="17"/>
  <c r="C51" i="17"/>
  <c r="B51" i="17"/>
  <c r="C50" i="17"/>
  <c r="B50" i="17"/>
  <c r="C49" i="17"/>
  <c r="B49" i="17"/>
  <c r="C48" i="17"/>
  <c r="B48" i="17"/>
  <c r="C47" i="17"/>
  <c r="B47" i="17"/>
  <c r="C46" i="17"/>
  <c r="B46" i="17"/>
  <c r="C45" i="17"/>
  <c r="B45" i="17"/>
  <c r="C44" i="17"/>
  <c r="B44" i="17"/>
  <c r="C43" i="17"/>
  <c r="B43" i="17"/>
  <c r="C42" i="17"/>
  <c r="B42" i="17"/>
  <c r="C41" i="17"/>
  <c r="B41" i="17"/>
  <c r="C40" i="17"/>
  <c r="B40" i="17"/>
  <c r="C39" i="17"/>
  <c r="B39" i="17"/>
  <c r="C38" i="17"/>
  <c r="B38" i="17"/>
  <c r="C37" i="17"/>
  <c r="B37" i="17"/>
  <c r="C36" i="17"/>
  <c r="B36" i="17"/>
  <c r="C35" i="17"/>
  <c r="B35" i="17"/>
  <c r="C34" i="17"/>
  <c r="B34" i="17"/>
  <c r="C33" i="17"/>
  <c r="B33" i="17"/>
  <c r="C32" i="17"/>
  <c r="B32" i="17"/>
  <c r="C31" i="17"/>
  <c r="B31" i="17"/>
  <c r="C30" i="17"/>
  <c r="B30" i="17"/>
  <c r="C29" i="17"/>
  <c r="B29" i="17"/>
  <c r="C28" i="17"/>
  <c r="B28" i="17"/>
  <c r="C27" i="17"/>
  <c r="B27" i="17"/>
  <c r="C26" i="17"/>
  <c r="B26" i="17"/>
  <c r="C25" i="17"/>
  <c r="B25" i="17"/>
  <c r="C24" i="17"/>
  <c r="B24" i="17"/>
  <c r="C23" i="17"/>
  <c r="B23" i="17"/>
  <c r="C22" i="17"/>
  <c r="B22" i="17"/>
  <c r="C21" i="17"/>
  <c r="B21" i="17"/>
  <c r="C20" i="17"/>
  <c r="B20" i="17"/>
  <c r="C19" i="17"/>
  <c r="B19" i="17"/>
  <c r="C18" i="17"/>
  <c r="B18" i="17"/>
  <c r="C17" i="17"/>
  <c r="B17" i="17"/>
  <c r="C16" i="17"/>
  <c r="B16" i="17"/>
  <c r="C15" i="17"/>
  <c r="B15" i="17"/>
  <c r="C14" i="17"/>
  <c r="B14" i="17"/>
  <c r="C13" i="17"/>
  <c r="B13" i="17"/>
  <c r="G13" i="13"/>
  <c r="C13" i="13"/>
  <c r="B13" i="13"/>
  <c r="G12" i="13"/>
  <c r="C12" i="13"/>
  <c r="B12" i="13"/>
  <c r="D12" i="13" s="1"/>
  <c r="G11" i="13"/>
  <c r="C11" i="13"/>
  <c r="B11" i="13"/>
  <c r="G10" i="13"/>
  <c r="C10" i="13"/>
  <c r="B10" i="13"/>
  <c r="G9" i="13"/>
  <c r="C9" i="13"/>
  <c r="B9" i="13"/>
  <c r="G8" i="13"/>
  <c r="C8" i="13"/>
  <c r="D8" i="13" s="1"/>
  <c r="B8" i="13"/>
  <c r="G7" i="13"/>
  <c r="C7" i="13"/>
  <c r="B7" i="13"/>
  <c r="G6" i="13"/>
  <c r="C6" i="13"/>
  <c r="B6" i="13"/>
  <c r="N5" i="13"/>
  <c r="K5" i="13"/>
  <c r="J5" i="13"/>
  <c r="G5" i="13"/>
  <c r="C5" i="13"/>
  <c r="B5" i="13"/>
  <c r="G4" i="13"/>
  <c r="C4" i="13"/>
  <c r="B4" i="13"/>
  <c r="D4" i="13" s="1"/>
  <c r="E4" i="13" s="1"/>
  <c r="G3" i="13"/>
  <c r="C3" i="13"/>
  <c r="B3" i="13"/>
  <c r="D3" i="13" s="1"/>
  <c r="E3" i="13" s="1"/>
  <c r="G2" i="13"/>
  <c r="C2" i="13"/>
  <c r="B2" i="13"/>
  <c r="F21" i="12"/>
  <c r="F20" i="12"/>
  <c r="F19" i="12"/>
  <c r="F18" i="12"/>
  <c r="F17" i="12"/>
  <c r="F16" i="12"/>
  <c r="F15" i="12"/>
  <c r="F14" i="12"/>
  <c r="F13" i="12"/>
  <c r="F12" i="12"/>
  <c r="H11" i="12"/>
  <c r="F11" i="12"/>
  <c r="H10" i="12"/>
  <c r="F10" i="12"/>
  <c r="H9" i="12"/>
  <c r="F9" i="12"/>
  <c r="H8" i="12"/>
  <c r="F8" i="12"/>
  <c r="H7" i="12"/>
  <c r="F7" i="12"/>
  <c r="H6" i="12"/>
  <c r="F6" i="12"/>
  <c r="H5" i="12"/>
  <c r="F5" i="12"/>
  <c r="H4" i="12"/>
  <c r="F4" i="12"/>
  <c r="H3" i="12"/>
  <c r="F3" i="12"/>
  <c r="H2" i="12"/>
  <c r="F2" i="12"/>
  <c r="L11" i="11"/>
  <c r="M11" i="11" s="1"/>
  <c r="K11" i="11"/>
  <c r="J11" i="11"/>
  <c r="H11" i="11"/>
  <c r="I11" i="11" s="1"/>
  <c r="F11" i="11"/>
  <c r="G11" i="11" s="1"/>
  <c r="E11" i="11"/>
  <c r="D11" i="11"/>
  <c r="L10" i="11"/>
  <c r="M10" i="11" s="1"/>
  <c r="J10" i="11"/>
  <c r="K10" i="11" s="1"/>
  <c r="H10" i="11"/>
  <c r="I10" i="11" s="1"/>
  <c r="G10" i="11"/>
  <c r="F10" i="11"/>
  <c r="D10" i="11"/>
  <c r="E10" i="11" s="1"/>
  <c r="J9" i="11"/>
  <c r="K9" i="11" s="1"/>
  <c r="D9" i="11"/>
  <c r="E9" i="11" s="1"/>
  <c r="J8" i="11"/>
  <c r="K8" i="11" s="1"/>
  <c r="L7" i="11"/>
  <c r="M7" i="11" s="1"/>
  <c r="J7" i="11"/>
  <c r="K7" i="11" s="1"/>
  <c r="H7" i="11"/>
  <c r="I7" i="11" s="1"/>
  <c r="G7" i="11"/>
  <c r="F7" i="11"/>
  <c r="D7" i="11"/>
  <c r="E7" i="11" s="1"/>
  <c r="K6" i="11"/>
  <c r="J6" i="11"/>
  <c r="E6" i="11"/>
  <c r="D6" i="11"/>
  <c r="J5" i="11"/>
  <c r="K5" i="11" s="1"/>
  <c r="H5" i="11"/>
  <c r="I5" i="11" s="1"/>
  <c r="J4" i="11"/>
  <c r="K4" i="11" s="1"/>
  <c r="H4" i="11"/>
  <c r="I4" i="11" s="1"/>
  <c r="K3" i="11"/>
  <c r="J3" i="11"/>
  <c r="H3" i="11"/>
  <c r="I3" i="11" s="1"/>
  <c r="D3" i="11"/>
  <c r="E3" i="11" s="1"/>
  <c r="J2" i="11"/>
  <c r="K2" i="11" s="1"/>
  <c r="H2" i="11"/>
  <c r="I2" i="11" s="1"/>
  <c r="D2" i="11"/>
  <c r="E2" i="11" s="1"/>
  <c r="B10" i="10"/>
  <c r="B4" i="10"/>
  <c r="H3" i="9"/>
  <c r="G3" i="9"/>
  <c r="E3" i="9"/>
  <c r="U100" i="8"/>
  <c r="T100" i="8"/>
  <c r="S100" i="8"/>
  <c r="R100" i="8"/>
  <c r="Q100" i="8"/>
  <c r="P100" i="8"/>
  <c r="O100" i="8"/>
  <c r="N100" i="8"/>
  <c r="M100" i="8"/>
  <c r="L100" i="8"/>
  <c r="K100" i="8"/>
  <c r="J100" i="8"/>
  <c r="I100" i="8"/>
  <c r="H100" i="8"/>
  <c r="G100" i="8"/>
  <c r="F100" i="8"/>
  <c r="E100" i="8"/>
  <c r="D100" i="8"/>
  <c r="C100" i="8"/>
  <c r="B100" i="8"/>
  <c r="U99" i="8"/>
  <c r="T99" i="8"/>
  <c r="S99" i="8"/>
  <c r="R99" i="8"/>
  <c r="Q99" i="8"/>
  <c r="P99" i="8"/>
  <c r="O99" i="8"/>
  <c r="N99" i="8"/>
  <c r="M99" i="8"/>
  <c r="L99" i="8"/>
  <c r="K99" i="8"/>
  <c r="J99" i="8"/>
  <c r="I99" i="8"/>
  <c r="H99" i="8"/>
  <c r="G99" i="8"/>
  <c r="F99" i="8"/>
  <c r="E99" i="8"/>
  <c r="D99" i="8"/>
  <c r="C99" i="8"/>
  <c r="B99" i="8"/>
  <c r="U98" i="8"/>
  <c r="T98" i="8"/>
  <c r="S98" i="8"/>
  <c r="R98" i="8"/>
  <c r="Q98" i="8"/>
  <c r="P98" i="8"/>
  <c r="O98" i="8"/>
  <c r="N98" i="8"/>
  <c r="M98" i="8"/>
  <c r="L98" i="8"/>
  <c r="K98" i="8"/>
  <c r="J98" i="8"/>
  <c r="I98" i="8"/>
  <c r="H98" i="8"/>
  <c r="G98" i="8"/>
  <c r="F98" i="8"/>
  <c r="E98" i="8"/>
  <c r="D98" i="8"/>
  <c r="C98" i="8"/>
  <c r="B98" i="8"/>
  <c r="U97" i="8"/>
  <c r="T97" i="8"/>
  <c r="S97" i="8"/>
  <c r="R97" i="8"/>
  <c r="Q97" i="8"/>
  <c r="P97" i="8"/>
  <c r="O97" i="8"/>
  <c r="N97" i="8"/>
  <c r="M97" i="8"/>
  <c r="L97" i="8"/>
  <c r="K97" i="8"/>
  <c r="J97" i="8"/>
  <c r="I97" i="8"/>
  <c r="H97" i="8"/>
  <c r="G97" i="8"/>
  <c r="F97" i="8"/>
  <c r="E97" i="8"/>
  <c r="D97" i="8"/>
  <c r="C97" i="8"/>
  <c r="B97" i="8"/>
  <c r="U96" i="8"/>
  <c r="T96" i="8"/>
  <c r="S96" i="8"/>
  <c r="R96" i="8"/>
  <c r="Q96" i="8"/>
  <c r="P96" i="8"/>
  <c r="O96" i="8"/>
  <c r="N96" i="8"/>
  <c r="M96" i="8"/>
  <c r="L96" i="8"/>
  <c r="K96" i="8"/>
  <c r="J96" i="8"/>
  <c r="I96" i="8"/>
  <c r="H96" i="8"/>
  <c r="G96" i="8"/>
  <c r="F96" i="8"/>
  <c r="E96" i="8"/>
  <c r="D96" i="8"/>
  <c r="C96" i="8"/>
  <c r="B96" i="8"/>
  <c r="U95" i="8"/>
  <c r="T95" i="8"/>
  <c r="S95" i="8"/>
  <c r="R95" i="8"/>
  <c r="Q95" i="8"/>
  <c r="P95" i="8"/>
  <c r="O95" i="8"/>
  <c r="N95" i="8"/>
  <c r="M95" i="8"/>
  <c r="L95" i="8"/>
  <c r="K95" i="8"/>
  <c r="J95" i="8"/>
  <c r="I95" i="8"/>
  <c r="H95" i="8"/>
  <c r="G95" i="8"/>
  <c r="F95" i="8"/>
  <c r="E95" i="8"/>
  <c r="D95" i="8"/>
  <c r="C95" i="8"/>
  <c r="B95" i="8"/>
  <c r="U94" i="8"/>
  <c r="T94" i="8"/>
  <c r="S94" i="8"/>
  <c r="R94" i="8"/>
  <c r="Q94" i="8"/>
  <c r="P94" i="8"/>
  <c r="O94" i="8"/>
  <c r="N94" i="8"/>
  <c r="M94" i="8"/>
  <c r="L94" i="8"/>
  <c r="K94" i="8"/>
  <c r="J94" i="8"/>
  <c r="I94" i="8"/>
  <c r="H94" i="8"/>
  <c r="G94" i="8"/>
  <c r="F94" i="8"/>
  <c r="E94" i="8"/>
  <c r="D94" i="8"/>
  <c r="C94" i="8"/>
  <c r="B94" i="8"/>
  <c r="U93" i="8"/>
  <c r="T93" i="8"/>
  <c r="S93" i="8"/>
  <c r="R93" i="8"/>
  <c r="Q93" i="8"/>
  <c r="P93" i="8"/>
  <c r="O93" i="8"/>
  <c r="N93" i="8"/>
  <c r="M93" i="8"/>
  <c r="L93" i="8"/>
  <c r="K93" i="8"/>
  <c r="J93" i="8"/>
  <c r="I93" i="8"/>
  <c r="H93" i="8"/>
  <c r="G93" i="8"/>
  <c r="F93" i="8"/>
  <c r="E93" i="8"/>
  <c r="D93" i="8"/>
  <c r="C93" i="8"/>
  <c r="B93" i="8"/>
  <c r="U92" i="8"/>
  <c r="T92" i="8"/>
  <c r="S92" i="8"/>
  <c r="R92" i="8"/>
  <c r="Q92" i="8"/>
  <c r="P92" i="8"/>
  <c r="O92" i="8"/>
  <c r="N92" i="8"/>
  <c r="M92" i="8"/>
  <c r="L92" i="8"/>
  <c r="K92" i="8"/>
  <c r="J92" i="8"/>
  <c r="I92" i="8"/>
  <c r="H92" i="8"/>
  <c r="G92" i="8"/>
  <c r="F92" i="8"/>
  <c r="E92" i="8"/>
  <c r="D92" i="8"/>
  <c r="C92" i="8"/>
  <c r="B92" i="8"/>
  <c r="U91" i="8"/>
  <c r="T91" i="8"/>
  <c r="S91" i="8"/>
  <c r="R91" i="8"/>
  <c r="Q91" i="8"/>
  <c r="P91" i="8"/>
  <c r="O91" i="8"/>
  <c r="N91" i="8"/>
  <c r="M91" i="8"/>
  <c r="L91" i="8"/>
  <c r="K91" i="8"/>
  <c r="J91" i="8"/>
  <c r="I91" i="8"/>
  <c r="H91" i="8"/>
  <c r="G91" i="8"/>
  <c r="F91" i="8"/>
  <c r="E91" i="8"/>
  <c r="D91" i="8"/>
  <c r="C91" i="8"/>
  <c r="B91" i="8"/>
  <c r="U90" i="8"/>
  <c r="T90" i="8"/>
  <c r="S90" i="8"/>
  <c r="R90" i="8"/>
  <c r="Q90" i="8"/>
  <c r="P90" i="8"/>
  <c r="O90" i="8"/>
  <c r="N90" i="8"/>
  <c r="M90" i="8"/>
  <c r="L90" i="8"/>
  <c r="K90" i="8"/>
  <c r="J90" i="8"/>
  <c r="I90" i="8"/>
  <c r="H90" i="8"/>
  <c r="G90" i="8"/>
  <c r="F90" i="8"/>
  <c r="E90" i="8"/>
  <c r="D90" i="8"/>
  <c r="C90" i="8"/>
  <c r="B90" i="8"/>
  <c r="U89" i="8"/>
  <c r="T89" i="8"/>
  <c r="S89" i="8"/>
  <c r="R89" i="8"/>
  <c r="Q89" i="8"/>
  <c r="P89" i="8"/>
  <c r="O89" i="8"/>
  <c r="N89" i="8"/>
  <c r="M89" i="8"/>
  <c r="L89" i="8"/>
  <c r="K89" i="8"/>
  <c r="J89" i="8"/>
  <c r="I89" i="8"/>
  <c r="H89" i="8"/>
  <c r="G89" i="8"/>
  <c r="F89" i="8"/>
  <c r="E89" i="8"/>
  <c r="D89" i="8"/>
  <c r="C89" i="8"/>
  <c r="B89" i="8"/>
  <c r="U88" i="8"/>
  <c r="T88" i="8"/>
  <c r="S88" i="8"/>
  <c r="R88" i="8"/>
  <c r="Q88" i="8"/>
  <c r="P88" i="8"/>
  <c r="O88" i="8"/>
  <c r="N88" i="8"/>
  <c r="M88" i="8"/>
  <c r="L88" i="8"/>
  <c r="K88" i="8"/>
  <c r="J88" i="8"/>
  <c r="I88" i="8"/>
  <c r="H88" i="8"/>
  <c r="G88" i="8"/>
  <c r="F88" i="8"/>
  <c r="E88" i="8"/>
  <c r="D88" i="8"/>
  <c r="C88" i="8"/>
  <c r="B88" i="8"/>
  <c r="U87" i="8"/>
  <c r="T87" i="8"/>
  <c r="S87" i="8"/>
  <c r="R87" i="8"/>
  <c r="Q87" i="8"/>
  <c r="P87" i="8"/>
  <c r="O87" i="8"/>
  <c r="N87" i="8"/>
  <c r="M87" i="8"/>
  <c r="L87" i="8"/>
  <c r="K87" i="8"/>
  <c r="J87" i="8"/>
  <c r="I87" i="8"/>
  <c r="H87" i="8"/>
  <c r="G87" i="8"/>
  <c r="F87" i="8"/>
  <c r="E87" i="8"/>
  <c r="D87" i="8"/>
  <c r="C87" i="8"/>
  <c r="B87" i="8"/>
  <c r="U86" i="8"/>
  <c r="T86" i="8"/>
  <c r="S86" i="8"/>
  <c r="R86" i="8"/>
  <c r="Q86" i="8"/>
  <c r="P86" i="8"/>
  <c r="O86" i="8"/>
  <c r="N86" i="8"/>
  <c r="M86" i="8"/>
  <c r="L86" i="8"/>
  <c r="K86" i="8"/>
  <c r="J86" i="8"/>
  <c r="I86" i="8"/>
  <c r="H86" i="8"/>
  <c r="G86" i="8"/>
  <c r="F86" i="8"/>
  <c r="E86" i="8"/>
  <c r="D86" i="8"/>
  <c r="C86" i="8"/>
  <c r="B86" i="8"/>
  <c r="U85" i="8"/>
  <c r="T85" i="8"/>
  <c r="S85" i="8"/>
  <c r="R85" i="8"/>
  <c r="Q85" i="8"/>
  <c r="P85" i="8"/>
  <c r="O85" i="8"/>
  <c r="N85" i="8"/>
  <c r="M85" i="8"/>
  <c r="L85" i="8"/>
  <c r="K85" i="8"/>
  <c r="J85" i="8"/>
  <c r="I85" i="8"/>
  <c r="H85" i="8"/>
  <c r="G85" i="8"/>
  <c r="F85" i="8"/>
  <c r="E85" i="8"/>
  <c r="D85" i="8"/>
  <c r="C85" i="8"/>
  <c r="B85" i="8"/>
  <c r="U84" i="8"/>
  <c r="T84" i="8"/>
  <c r="S84" i="8"/>
  <c r="R84" i="8"/>
  <c r="Q84" i="8"/>
  <c r="P84" i="8"/>
  <c r="O84" i="8"/>
  <c r="N84" i="8"/>
  <c r="M84" i="8"/>
  <c r="L84" i="8"/>
  <c r="K84" i="8"/>
  <c r="J84" i="8"/>
  <c r="I84" i="8"/>
  <c r="H84" i="8"/>
  <c r="G84" i="8"/>
  <c r="F84" i="8"/>
  <c r="E84" i="8"/>
  <c r="D84" i="8"/>
  <c r="C84" i="8"/>
  <c r="B84" i="8"/>
  <c r="U83" i="8"/>
  <c r="T83" i="8"/>
  <c r="S83" i="8"/>
  <c r="R83" i="8"/>
  <c r="Q83" i="8"/>
  <c r="P83" i="8"/>
  <c r="O83" i="8"/>
  <c r="N83" i="8"/>
  <c r="M83" i="8"/>
  <c r="L83" i="8"/>
  <c r="K83" i="8"/>
  <c r="J83" i="8"/>
  <c r="I83" i="8"/>
  <c r="H83" i="8"/>
  <c r="G83" i="8"/>
  <c r="F83" i="8"/>
  <c r="E83" i="8"/>
  <c r="D83" i="8"/>
  <c r="C83" i="8"/>
  <c r="B83" i="8"/>
  <c r="U82" i="8"/>
  <c r="T82" i="8"/>
  <c r="S82" i="8"/>
  <c r="R82" i="8"/>
  <c r="Q82" i="8"/>
  <c r="P82" i="8"/>
  <c r="O82" i="8"/>
  <c r="N82" i="8"/>
  <c r="M82" i="8"/>
  <c r="L82" i="8"/>
  <c r="K82" i="8"/>
  <c r="J82" i="8"/>
  <c r="I82" i="8"/>
  <c r="H82" i="8"/>
  <c r="G82" i="8"/>
  <c r="F82" i="8"/>
  <c r="E82" i="8"/>
  <c r="D82" i="8"/>
  <c r="C82" i="8"/>
  <c r="B82" i="8"/>
  <c r="U81" i="8"/>
  <c r="T81" i="8"/>
  <c r="S81" i="8"/>
  <c r="R81" i="8"/>
  <c r="Q81" i="8"/>
  <c r="P81" i="8"/>
  <c r="O81" i="8"/>
  <c r="N81" i="8"/>
  <c r="M81" i="8"/>
  <c r="L81" i="8"/>
  <c r="K81" i="8"/>
  <c r="J81" i="8"/>
  <c r="I81" i="8"/>
  <c r="H81" i="8"/>
  <c r="G81" i="8"/>
  <c r="F81" i="8"/>
  <c r="E81" i="8"/>
  <c r="D81" i="8"/>
  <c r="C81" i="8"/>
  <c r="B81" i="8"/>
  <c r="U80" i="8"/>
  <c r="T80" i="8"/>
  <c r="S80" i="8"/>
  <c r="R80" i="8"/>
  <c r="Q80" i="8"/>
  <c r="P80" i="8"/>
  <c r="O80" i="8"/>
  <c r="N80" i="8"/>
  <c r="M80" i="8"/>
  <c r="L80" i="8"/>
  <c r="K80" i="8"/>
  <c r="J80" i="8"/>
  <c r="I80" i="8"/>
  <c r="H80" i="8"/>
  <c r="G80" i="8"/>
  <c r="F80" i="8"/>
  <c r="E80" i="8"/>
  <c r="D80" i="8"/>
  <c r="C80" i="8"/>
  <c r="B80" i="8"/>
  <c r="U79" i="8"/>
  <c r="T79" i="8"/>
  <c r="S79" i="8"/>
  <c r="R79" i="8"/>
  <c r="Q79" i="8"/>
  <c r="P79" i="8"/>
  <c r="O79" i="8"/>
  <c r="N79" i="8"/>
  <c r="M79" i="8"/>
  <c r="L79" i="8"/>
  <c r="K79" i="8"/>
  <c r="J79" i="8"/>
  <c r="I79" i="8"/>
  <c r="H79" i="8"/>
  <c r="G79" i="8"/>
  <c r="F79" i="8"/>
  <c r="E79" i="8"/>
  <c r="D79" i="8"/>
  <c r="C79" i="8"/>
  <c r="B79" i="8"/>
  <c r="U78" i="8"/>
  <c r="T78" i="8"/>
  <c r="S78" i="8"/>
  <c r="R78" i="8"/>
  <c r="Q78" i="8"/>
  <c r="P78" i="8"/>
  <c r="O78" i="8"/>
  <c r="N78" i="8"/>
  <c r="M78" i="8"/>
  <c r="L78" i="8"/>
  <c r="K78" i="8"/>
  <c r="J78" i="8"/>
  <c r="I78" i="8"/>
  <c r="H78" i="8"/>
  <c r="G78" i="8"/>
  <c r="F78" i="8"/>
  <c r="E78" i="8"/>
  <c r="D78" i="8"/>
  <c r="C78" i="8"/>
  <c r="B78" i="8"/>
  <c r="U77" i="8"/>
  <c r="T77" i="8"/>
  <c r="S77" i="8"/>
  <c r="R77" i="8"/>
  <c r="Q77" i="8"/>
  <c r="P77" i="8"/>
  <c r="O77" i="8"/>
  <c r="N77" i="8"/>
  <c r="M77" i="8"/>
  <c r="L77" i="8"/>
  <c r="K77" i="8"/>
  <c r="J77" i="8"/>
  <c r="I77" i="8"/>
  <c r="H77" i="8"/>
  <c r="G77" i="8"/>
  <c r="F77" i="8"/>
  <c r="E77" i="8"/>
  <c r="D77" i="8"/>
  <c r="C77" i="8"/>
  <c r="B77" i="8"/>
  <c r="U76" i="8"/>
  <c r="T76" i="8"/>
  <c r="S76" i="8"/>
  <c r="R76" i="8"/>
  <c r="Q76" i="8"/>
  <c r="P76" i="8"/>
  <c r="O76" i="8"/>
  <c r="N76" i="8"/>
  <c r="M76" i="8"/>
  <c r="L76" i="8"/>
  <c r="K76" i="8"/>
  <c r="J76" i="8"/>
  <c r="I76" i="8"/>
  <c r="H76" i="8"/>
  <c r="G76" i="8"/>
  <c r="F76" i="8"/>
  <c r="E76" i="8"/>
  <c r="D76" i="8"/>
  <c r="C76" i="8"/>
  <c r="B76" i="8"/>
  <c r="U75" i="8"/>
  <c r="T75" i="8"/>
  <c r="S75" i="8"/>
  <c r="R75" i="8"/>
  <c r="Q75" i="8"/>
  <c r="P75" i="8"/>
  <c r="O75" i="8"/>
  <c r="N75" i="8"/>
  <c r="M75" i="8"/>
  <c r="L75" i="8"/>
  <c r="K75" i="8"/>
  <c r="J75" i="8"/>
  <c r="I75" i="8"/>
  <c r="H75" i="8"/>
  <c r="G75" i="8"/>
  <c r="F75" i="8"/>
  <c r="E75" i="8"/>
  <c r="D75" i="8"/>
  <c r="C75" i="8"/>
  <c r="B75" i="8"/>
  <c r="U74" i="8"/>
  <c r="T74" i="8"/>
  <c r="S74" i="8"/>
  <c r="R74" i="8"/>
  <c r="Q74" i="8"/>
  <c r="P74" i="8"/>
  <c r="O74" i="8"/>
  <c r="N74" i="8"/>
  <c r="M74" i="8"/>
  <c r="L74" i="8"/>
  <c r="K74" i="8"/>
  <c r="J74" i="8"/>
  <c r="I74" i="8"/>
  <c r="H74" i="8"/>
  <c r="G74" i="8"/>
  <c r="F74" i="8"/>
  <c r="E74" i="8"/>
  <c r="D74" i="8"/>
  <c r="C74" i="8"/>
  <c r="B74" i="8"/>
  <c r="U73" i="8"/>
  <c r="T73" i="8"/>
  <c r="S73" i="8"/>
  <c r="R73" i="8"/>
  <c r="Q73" i="8"/>
  <c r="P73" i="8"/>
  <c r="O73" i="8"/>
  <c r="N73" i="8"/>
  <c r="M73" i="8"/>
  <c r="L73" i="8"/>
  <c r="K73" i="8"/>
  <c r="J73" i="8"/>
  <c r="I73" i="8"/>
  <c r="H73" i="8"/>
  <c r="G73" i="8"/>
  <c r="F73" i="8"/>
  <c r="E73" i="8"/>
  <c r="D73" i="8"/>
  <c r="C73" i="8"/>
  <c r="B73" i="8"/>
  <c r="U72" i="8"/>
  <c r="T72" i="8"/>
  <c r="S72" i="8"/>
  <c r="R72" i="8"/>
  <c r="Q72" i="8"/>
  <c r="P72" i="8"/>
  <c r="O72" i="8"/>
  <c r="N72" i="8"/>
  <c r="M72" i="8"/>
  <c r="L72" i="8"/>
  <c r="K72" i="8"/>
  <c r="J72" i="8"/>
  <c r="I72" i="8"/>
  <c r="H72" i="8"/>
  <c r="G72" i="8"/>
  <c r="F72" i="8"/>
  <c r="E72" i="8"/>
  <c r="D72" i="8"/>
  <c r="C72" i="8"/>
  <c r="B72" i="8"/>
  <c r="U71" i="8"/>
  <c r="T71" i="8"/>
  <c r="S71" i="8"/>
  <c r="R71" i="8"/>
  <c r="Q71" i="8"/>
  <c r="P71" i="8"/>
  <c r="O71" i="8"/>
  <c r="N71" i="8"/>
  <c r="M71" i="8"/>
  <c r="L71" i="8"/>
  <c r="K71" i="8"/>
  <c r="J71" i="8"/>
  <c r="I71" i="8"/>
  <c r="H71" i="8"/>
  <c r="G71" i="8"/>
  <c r="F71" i="8"/>
  <c r="E71" i="8"/>
  <c r="D71" i="8"/>
  <c r="C71" i="8"/>
  <c r="B71" i="8"/>
  <c r="U70" i="8"/>
  <c r="T70" i="8"/>
  <c r="S70" i="8"/>
  <c r="R70" i="8"/>
  <c r="Q70" i="8"/>
  <c r="P70" i="8"/>
  <c r="O70" i="8"/>
  <c r="N70" i="8"/>
  <c r="M70" i="8"/>
  <c r="L70" i="8"/>
  <c r="K70" i="8"/>
  <c r="J70" i="8"/>
  <c r="I70" i="8"/>
  <c r="H70" i="8"/>
  <c r="G70" i="8"/>
  <c r="F70" i="8"/>
  <c r="E70" i="8"/>
  <c r="D70" i="8"/>
  <c r="C70" i="8"/>
  <c r="B70" i="8"/>
  <c r="U69" i="8"/>
  <c r="T69" i="8"/>
  <c r="S69" i="8"/>
  <c r="R69" i="8"/>
  <c r="Q69" i="8"/>
  <c r="P69" i="8"/>
  <c r="O69" i="8"/>
  <c r="N69" i="8"/>
  <c r="M69" i="8"/>
  <c r="L69" i="8"/>
  <c r="K69" i="8"/>
  <c r="J69" i="8"/>
  <c r="I69" i="8"/>
  <c r="H69" i="8"/>
  <c r="G69" i="8"/>
  <c r="F69" i="8"/>
  <c r="E69" i="8"/>
  <c r="D69" i="8"/>
  <c r="C69" i="8"/>
  <c r="B69" i="8"/>
  <c r="U68" i="8"/>
  <c r="T68" i="8"/>
  <c r="S68" i="8"/>
  <c r="R68" i="8"/>
  <c r="Q68" i="8"/>
  <c r="P68" i="8"/>
  <c r="O68" i="8"/>
  <c r="N68" i="8"/>
  <c r="M68" i="8"/>
  <c r="L68" i="8"/>
  <c r="K68" i="8"/>
  <c r="J68" i="8"/>
  <c r="I68" i="8"/>
  <c r="H68" i="8"/>
  <c r="G68" i="8"/>
  <c r="F68" i="8"/>
  <c r="E68" i="8"/>
  <c r="D68" i="8"/>
  <c r="C68" i="8"/>
  <c r="B68" i="8"/>
  <c r="U67" i="8"/>
  <c r="T67" i="8"/>
  <c r="S67" i="8"/>
  <c r="R67" i="8"/>
  <c r="Q67" i="8"/>
  <c r="P67" i="8"/>
  <c r="O67" i="8"/>
  <c r="N67" i="8"/>
  <c r="M67" i="8"/>
  <c r="L67" i="8"/>
  <c r="K67" i="8"/>
  <c r="J67" i="8"/>
  <c r="I67" i="8"/>
  <c r="H67" i="8"/>
  <c r="G67" i="8"/>
  <c r="F67" i="8"/>
  <c r="E67" i="8"/>
  <c r="D67" i="8"/>
  <c r="C67" i="8"/>
  <c r="B67" i="8"/>
  <c r="U66" i="8"/>
  <c r="T66" i="8"/>
  <c r="S66" i="8"/>
  <c r="R66" i="8"/>
  <c r="Q66" i="8"/>
  <c r="P66" i="8"/>
  <c r="O66" i="8"/>
  <c r="N66" i="8"/>
  <c r="M66" i="8"/>
  <c r="L66" i="8"/>
  <c r="K66" i="8"/>
  <c r="J66" i="8"/>
  <c r="I66" i="8"/>
  <c r="H66" i="8"/>
  <c r="G66" i="8"/>
  <c r="F66" i="8"/>
  <c r="E66" i="8"/>
  <c r="D66" i="8"/>
  <c r="C66" i="8"/>
  <c r="B66" i="8"/>
  <c r="U65" i="8"/>
  <c r="T65" i="8"/>
  <c r="S65" i="8"/>
  <c r="R65" i="8"/>
  <c r="Q65" i="8"/>
  <c r="P65" i="8"/>
  <c r="O65" i="8"/>
  <c r="N65" i="8"/>
  <c r="M65" i="8"/>
  <c r="L65" i="8"/>
  <c r="K65" i="8"/>
  <c r="J65" i="8"/>
  <c r="I65" i="8"/>
  <c r="H65" i="8"/>
  <c r="G65" i="8"/>
  <c r="F65" i="8"/>
  <c r="E65" i="8"/>
  <c r="D65" i="8"/>
  <c r="C65" i="8"/>
  <c r="B65" i="8"/>
  <c r="U64" i="8"/>
  <c r="T64" i="8"/>
  <c r="S64" i="8"/>
  <c r="R64" i="8"/>
  <c r="Q64" i="8"/>
  <c r="P64" i="8"/>
  <c r="O64" i="8"/>
  <c r="N64" i="8"/>
  <c r="M64" i="8"/>
  <c r="L64" i="8"/>
  <c r="K64" i="8"/>
  <c r="J64" i="8"/>
  <c r="I64" i="8"/>
  <c r="H64" i="8"/>
  <c r="G64" i="8"/>
  <c r="F64" i="8"/>
  <c r="E64" i="8"/>
  <c r="D64" i="8"/>
  <c r="C64" i="8"/>
  <c r="B64" i="8"/>
  <c r="U63" i="8"/>
  <c r="T63" i="8"/>
  <c r="S63" i="8"/>
  <c r="R63" i="8"/>
  <c r="Q63" i="8"/>
  <c r="P63" i="8"/>
  <c r="O63" i="8"/>
  <c r="N63" i="8"/>
  <c r="M63" i="8"/>
  <c r="L63" i="8"/>
  <c r="K63" i="8"/>
  <c r="J63" i="8"/>
  <c r="I63" i="8"/>
  <c r="H63" i="8"/>
  <c r="G63" i="8"/>
  <c r="F63" i="8"/>
  <c r="E63" i="8"/>
  <c r="D63" i="8"/>
  <c r="C63" i="8"/>
  <c r="B63" i="8"/>
  <c r="U62" i="8"/>
  <c r="T62" i="8"/>
  <c r="S62" i="8"/>
  <c r="R62" i="8"/>
  <c r="Q62" i="8"/>
  <c r="P62" i="8"/>
  <c r="O62" i="8"/>
  <c r="N62" i="8"/>
  <c r="M62" i="8"/>
  <c r="L62" i="8"/>
  <c r="K62" i="8"/>
  <c r="J62" i="8"/>
  <c r="I62" i="8"/>
  <c r="H62" i="8"/>
  <c r="G62" i="8"/>
  <c r="F62" i="8"/>
  <c r="E62" i="8"/>
  <c r="D62" i="8"/>
  <c r="C62" i="8"/>
  <c r="B62" i="8"/>
  <c r="U61" i="8"/>
  <c r="T61" i="8"/>
  <c r="S61" i="8"/>
  <c r="R61" i="8"/>
  <c r="Q61" i="8"/>
  <c r="P61" i="8"/>
  <c r="O61" i="8"/>
  <c r="N61" i="8"/>
  <c r="M61" i="8"/>
  <c r="L61" i="8"/>
  <c r="K61" i="8"/>
  <c r="J61" i="8"/>
  <c r="I61" i="8"/>
  <c r="H61" i="8"/>
  <c r="G61" i="8"/>
  <c r="F61" i="8"/>
  <c r="E61" i="8"/>
  <c r="D61" i="8"/>
  <c r="C61" i="8"/>
  <c r="B61" i="8"/>
  <c r="U60" i="8"/>
  <c r="T60" i="8"/>
  <c r="S60" i="8"/>
  <c r="R60" i="8"/>
  <c r="Q60" i="8"/>
  <c r="P60" i="8"/>
  <c r="O60" i="8"/>
  <c r="N60" i="8"/>
  <c r="M60" i="8"/>
  <c r="L60" i="8"/>
  <c r="K60" i="8"/>
  <c r="J60" i="8"/>
  <c r="I60" i="8"/>
  <c r="H60" i="8"/>
  <c r="G60" i="8"/>
  <c r="F60" i="8"/>
  <c r="E60" i="8"/>
  <c r="D60" i="8"/>
  <c r="C60" i="8"/>
  <c r="B60" i="8"/>
  <c r="U59" i="8"/>
  <c r="T59" i="8"/>
  <c r="S59" i="8"/>
  <c r="R59" i="8"/>
  <c r="Q59" i="8"/>
  <c r="P59" i="8"/>
  <c r="O59" i="8"/>
  <c r="N59" i="8"/>
  <c r="M59" i="8"/>
  <c r="L59" i="8"/>
  <c r="K59" i="8"/>
  <c r="J59" i="8"/>
  <c r="I59" i="8"/>
  <c r="H59" i="8"/>
  <c r="G59" i="8"/>
  <c r="F59" i="8"/>
  <c r="E59" i="8"/>
  <c r="D59" i="8"/>
  <c r="C59" i="8"/>
  <c r="B59" i="8"/>
  <c r="U58" i="8"/>
  <c r="T58" i="8"/>
  <c r="S58" i="8"/>
  <c r="R58" i="8"/>
  <c r="Q58" i="8"/>
  <c r="P58" i="8"/>
  <c r="O58" i="8"/>
  <c r="N58" i="8"/>
  <c r="M58" i="8"/>
  <c r="L58" i="8"/>
  <c r="K58" i="8"/>
  <c r="J58" i="8"/>
  <c r="I58" i="8"/>
  <c r="H58" i="8"/>
  <c r="G58" i="8"/>
  <c r="F58" i="8"/>
  <c r="E58" i="8"/>
  <c r="D58" i="8"/>
  <c r="C58" i="8"/>
  <c r="B58" i="8"/>
  <c r="U57" i="8"/>
  <c r="T57" i="8"/>
  <c r="S57" i="8"/>
  <c r="R57" i="8"/>
  <c r="Q57" i="8"/>
  <c r="P57" i="8"/>
  <c r="O57" i="8"/>
  <c r="N57" i="8"/>
  <c r="M57" i="8"/>
  <c r="L57" i="8"/>
  <c r="K57" i="8"/>
  <c r="J57" i="8"/>
  <c r="I57" i="8"/>
  <c r="H57" i="8"/>
  <c r="G57" i="8"/>
  <c r="F57" i="8"/>
  <c r="E57" i="8"/>
  <c r="D57" i="8"/>
  <c r="C57" i="8"/>
  <c r="B57" i="8"/>
  <c r="U56" i="8"/>
  <c r="T56" i="8"/>
  <c r="S56" i="8"/>
  <c r="R56" i="8"/>
  <c r="Q56" i="8"/>
  <c r="P56" i="8"/>
  <c r="O56" i="8"/>
  <c r="N56" i="8"/>
  <c r="M56" i="8"/>
  <c r="L56" i="8"/>
  <c r="K56" i="8"/>
  <c r="J56" i="8"/>
  <c r="I56" i="8"/>
  <c r="H56" i="8"/>
  <c r="G56" i="8"/>
  <c r="F56" i="8"/>
  <c r="E56" i="8"/>
  <c r="D56" i="8"/>
  <c r="C56" i="8"/>
  <c r="B56" i="8"/>
  <c r="U55" i="8"/>
  <c r="T55" i="8"/>
  <c r="S55" i="8"/>
  <c r="R55" i="8"/>
  <c r="Q55" i="8"/>
  <c r="P55" i="8"/>
  <c r="O55" i="8"/>
  <c r="N55" i="8"/>
  <c r="M55" i="8"/>
  <c r="L55" i="8"/>
  <c r="K55" i="8"/>
  <c r="J55" i="8"/>
  <c r="I55" i="8"/>
  <c r="H55" i="8"/>
  <c r="G55" i="8"/>
  <c r="F55" i="8"/>
  <c r="E55" i="8"/>
  <c r="D55" i="8"/>
  <c r="C55" i="8"/>
  <c r="B55" i="8"/>
  <c r="U54" i="8"/>
  <c r="T54" i="8"/>
  <c r="S54" i="8"/>
  <c r="R54" i="8"/>
  <c r="Q54" i="8"/>
  <c r="P54" i="8"/>
  <c r="O54" i="8"/>
  <c r="N54" i="8"/>
  <c r="M54" i="8"/>
  <c r="L54" i="8"/>
  <c r="K54" i="8"/>
  <c r="J54" i="8"/>
  <c r="I54" i="8"/>
  <c r="H54" i="8"/>
  <c r="G54" i="8"/>
  <c r="F54" i="8"/>
  <c r="E54" i="8"/>
  <c r="D54" i="8"/>
  <c r="C54" i="8"/>
  <c r="B54" i="8"/>
  <c r="U53" i="8"/>
  <c r="T53" i="8"/>
  <c r="S53" i="8"/>
  <c r="R53" i="8"/>
  <c r="Q53" i="8"/>
  <c r="P53" i="8"/>
  <c r="O53" i="8"/>
  <c r="N53" i="8"/>
  <c r="M53" i="8"/>
  <c r="L53" i="8"/>
  <c r="K53" i="8"/>
  <c r="J53" i="8"/>
  <c r="I53" i="8"/>
  <c r="H53" i="8"/>
  <c r="G53" i="8"/>
  <c r="F53" i="8"/>
  <c r="E53" i="8"/>
  <c r="D53" i="8"/>
  <c r="C53" i="8"/>
  <c r="B53" i="8"/>
  <c r="U52" i="8"/>
  <c r="T52" i="8"/>
  <c r="S52" i="8"/>
  <c r="R52" i="8"/>
  <c r="Q52" i="8"/>
  <c r="P52" i="8"/>
  <c r="O52" i="8"/>
  <c r="N52" i="8"/>
  <c r="M52" i="8"/>
  <c r="L52" i="8"/>
  <c r="K52" i="8"/>
  <c r="J52" i="8"/>
  <c r="I52" i="8"/>
  <c r="H52" i="8"/>
  <c r="G52" i="8"/>
  <c r="F52" i="8"/>
  <c r="E52" i="8"/>
  <c r="D52" i="8"/>
  <c r="C52" i="8"/>
  <c r="B52" i="8"/>
  <c r="U51" i="8"/>
  <c r="T51" i="8"/>
  <c r="S51" i="8"/>
  <c r="R51" i="8"/>
  <c r="Q51" i="8"/>
  <c r="P51" i="8"/>
  <c r="O51" i="8"/>
  <c r="N51" i="8"/>
  <c r="M51" i="8"/>
  <c r="L51" i="8"/>
  <c r="K51" i="8"/>
  <c r="J51" i="8"/>
  <c r="I51" i="8"/>
  <c r="H51" i="8"/>
  <c r="G51" i="8"/>
  <c r="F51" i="8"/>
  <c r="E51" i="8"/>
  <c r="D51" i="8"/>
  <c r="C51" i="8"/>
  <c r="B51" i="8"/>
  <c r="U50" i="8"/>
  <c r="T50" i="8"/>
  <c r="S50" i="8"/>
  <c r="R50" i="8"/>
  <c r="Q50" i="8"/>
  <c r="P50" i="8"/>
  <c r="O50" i="8"/>
  <c r="N50" i="8"/>
  <c r="M50" i="8"/>
  <c r="L50" i="8"/>
  <c r="K50" i="8"/>
  <c r="J50" i="8"/>
  <c r="I50" i="8"/>
  <c r="H50" i="8"/>
  <c r="G50" i="8"/>
  <c r="F50" i="8"/>
  <c r="E50" i="8"/>
  <c r="D50" i="8"/>
  <c r="C50" i="8"/>
  <c r="B50" i="8"/>
  <c r="U49" i="8"/>
  <c r="T49" i="8"/>
  <c r="S49" i="8"/>
  <c r="R49" i="8"/>
  <c r="Q49" i="8"/>
  <c r="P49" i="8"/>
  <c r="O49" i="8"/>
  <c r="N49" i="8"/>
  <c r="M49" i="8"/>
  <c r="L49" i="8"/>
  <c r="K49" i="8"/>
  <c r="J49" i="8"/>
  <c r="I49" i="8"/>
  <c r="H49" i="8"/>
  <c r="G49" i="8"/>
  <c r="F49" i="8"/>
  <c r="E49" i="8"/>
  <c r="D49" i="8"/>
  <c r="C49" i="8"/>
  <c r="B49" i="8"/>
  <c r="U48" i="8"/>
  <c r="T48" i="8"/>
  <c r="S48" i="8"/>
  <c r="R48" i="8"/>
  <c r="Q48" i="8"/>
  <c r="P48" i="8"/>
  <c r="O48" i="8"/>
  <c r="N48" i="8"/>
  <c r="M48" i="8"/>
  <c r="L48" i="8"/>
  <c r="K48" i="8"/>
  <c r="J48" i="8"/>
  <c r="I48" i="8"/>
  <c r="H48" i="8"/>
  <c r="G48" i="8"/>
  <c r="F48" i="8"/>
  <c r="E48" i="8"/>
  <c r="D48" i="8"/>
  <c r="C48" i="8"/>
  <c r="B48" i="8"/>
  <c r="U47" i="8"/>
  <c r="T47" i="8"/>
  <c r="S47" i="8"/>
  <c r="R47" i="8"/>
  <c r="Q47" i="8"/>
  <c r="P47" i="8"/>
  <c r="O47" i="8"/>
  <c r="N47" i="8"/>
  <c r="M47" i="8"/>
  <c r="L47" i="8"/>
  <c r="K47" i="8"/>
  <c r="J47" i="8"/>
  <c r="I47" i="8"/>
  <c r="H47" i="8"/>
  <c r="G47" i="8"/>
  <c r="F47" i="8"/>
  <c r="E47" i="8"/>
  <c r="D47" i="8"/>
  <c r="C47" i="8"/>
  <c r="B47" i="8"/>
  <c r="U46" i="8"/>
  <c r="T46" i="8"/>
  <c r="S46" i="8"/>
  <c r="R46" i="8"/>
  <c r="Q46" i="8"/>
  <c r="P46" i="8"/>
  <c r="O46" i="8"/>
  <c r="N46" i="8"/>
  <c r="M46" i="8"/>
  <c r="L46" i="8"/>
  <c r="K46" i="8"/>
  <c r="J46" i="8"/>
  <c r="I46" i="8"/>
  <c r="H46" i="8"/>
  <c r="G46" i="8"/>
  <c r="F46" i="8"/>
  <c r="E46" i="8"/>
  <c r="D46" i="8"/>
  <c r="C46" i="8"/>
  <c r="B46" i="8"/>
  <c r="U45" i="8"/>
  <c r="T45" i="8"/>
  <c r="S45" i="8"/>
  <c r="R45" i="8"/>
  <c r="Q45" i="8"/>
  <c r="P45" i="8"/>
  <c r="O45" i="8"/>
  <c r="N45" i="8"/>
  <c r="M45" i="8"/>
  <c r="L45" i="8"/>
  <c r="K45" i="8"/>
  <c r="J45" i="8"/>
  <c r="I45" i="8"/>
  <c r="H45" i="8"/>
  <c r="G45" i="8"/>
  <c r="F45" i="8"/>
  <c r="E45" i="8"/>
  <c r="D45" i="8"/>
  <c r="C45" i="8"/>
  <c r="B45" i="8"/>
  <c r="U44" i="8"/>
  <c r="T44" i="8"/>
  <c r="S44" i="8"/>
  <c r="R44" i="8"/>
  <c r="Q44" i="8"/>
  <c r="P44" i="8"/>
  <c r="O44" i="8"/>
  <c r="N44" i="8"/>
  <c r="M44" i="8"/>
  <c r="L44" i="8"/>
  <c r="K44" i="8"/>
  <c r="J44" i="8"/>
  <c r="I44" i="8"/>
  <c r="H44" i="8"/>
  <c r="G44" i="8"/>
  <c r="F44" i="8"/>
  <c r="E44" i="8"/>
  <c r="D44" i="8"/>
  <c r="C44" i="8"/>
  <c r="B44" i="8"/>
  <c r="U43" i="8"/>
  <c r="T43" i="8"/>
  <c r="S43" i="8"/>
  <c r="R43" i="8"/>
  <c r="Q43" i="8"/>
  <c r="P43" i="8"/>
  <c r="O43" i="8"/>
  <c r="N43" i="8"/>
  <c r="M43" i="8"/>
  <c r="L43" i="8"/>
  <c r="K43" i="8"/>
  <c r="J43" i="8"/>
  <c r="I43" i="8"/>
  <c r="H43" i="8"/>
  <c r="G43" i="8"/>
  <c r="F43" i="8"/>
  <c r="E43" i="8"/>
  <c r="D43" i="8"/>
  <c r="C43" i="8"/>
  <c r="B43" i="8"/>
  <c r="U42" i="8"/>
  <c r="T42" i="8"/>
  <c r="S42" i="8"/>
  <c r="R42" i="8"/>
  <c r="Q42" i="8"/>
  <c r="P42" i="8"/>
  <c r="O42" i="8"/>
  <c r="N42" i="8"/>
  <c r="M42" i="8"/>
  <c r="L42" i="8"/>
  <c r="K42" i="8"/>
  <c r="J42" i="8"/>
  <c r="I42" i="8"/>
  <c r="H42" i="8"/>
  <c r="G42" i="8"/>
  <c r="F42" i="8"/>
  <c r="E42" i="8"/>
  <c r="D42" i="8"/>
  <c r="C42" i="8"/>
  <c r="B42" i="8"/>
  <c r="U41" i="8"/>
  <c r="T41" i="8"/>
  <c r="S41" i="8"/>
  <c r="R41" i="8"/>
  <c r="Q41" i="8"/>
  <c r="P41" i="8"/>
  <c r="O41" i="8"/>
  <c r="N41" i="8"/>
  <c r="M41" i="8"/>
  <c r="L41" i="8"/>
  <c r="K41" i="8"/>
  <c r="J41" i="8"/>
  <c r="I41" i="8"/>
  <c r="H41" i="8"/>
  <c r="G41" i="8"/>
  <c r="F41" i="8"/>
  <c r="E41" i="8"/>
  <c r="D41" i="8"/>
  <c r="C41" i="8"/>
  <c r="B41" i="8"/>
  <c r="U40" i="8"/>
  <c r="T40" i="8"/>
  <c r="S40" i="8"/>
  <c r="R40" i="8"/>
  <c r="Q40" i="8"/>
  <c r="P40" i="8"/>
  <c r="O40" i="8"/>
  <c r="N40" i="8"/>
  <c r="M40" i="8"/>
  <c r="L40" i="8"/>
  <c r="K40" i="8"/>
  <c r="J40" i="8"/>
  <c r="I40" i="8"/>
  <c r="H40" i="8"/>
  <c r="G40" i="8"/>
  <c r="F40" i="8"/>
  <c r="E40" i="8"/>
  <c r="D40" i="8"/>
  <c r="C40" i="8"/>
  <c r="B40" i="8"/>
  <c r="U39" i="8"/>
  <c r="T39" i="8"/>
  <c r="S39" i="8"/>
  <c r="R39" i="8"/>
  <c r="Q39" i="8"/>
  <c r="P39" i="8"/>
  <c r="O39" i="8"/>
  <c r="N39" i="8"/>
  <c r="M39" i="8"/>
  <c r="L39" i="8"/>
  <c r="K39" i="8"/>
  <c r="J39" i="8"/>
  <c r="I39" i="8"/>
  <c r="H39" i="8"/>
  <c r="G39" i="8"/>
  <c r="F39" i="8"/>
  <c r="E39" i="8"/>
  <c r="D39" i="8"/>
  <c r="C39" i="8"/>
  <c r="B39" i="8"/>
  <c r="U38" i="8"/>
  <c r="T38" i="8"/>
  <c r="S38" i="8"/>
  <c r="R38" i="8"/>
  <c r="Q38" i="8"/>
  <c r="P38" i="8"/>
  <c r="O38" i="8"/>
  <c r="N38" i="8"/>
  <c r="M38" i="8"/>
  <c r="L38" i="8"/>
  <c r="K38" i="8"/>
  <c r="J38" i="8"/>
  <c r="I38" i="8"/>
  <c r="H38" i="8"/>
  <c r="G38" i="8"/>
  <c r="F38" i="8"/>
  <c r="E38" i="8"/>
  <c r="D38" i="8"/>
  <c r="C38" i="8"/>
  <c r="B38" i="8"/>
  <c r="U37" i="8"/>
  <c r="T37" i="8"/>
  <c r="S37" i="8"/>
  <c r="R37" i="8"/>
  <c r="Q37" i="8"/>
  <c r="P37" i="8"/>
  <c r="O37" i="8"/>
  <c r="N37" i="8"/>
  <c r="M37" i="8"/>
  <c r="L37" i="8"/>
  <c r="K37" i="8"/>
  <c r="J37" i="8"/>
  <c r="I37" i="8"/>
  <c r="H37" i="8"/>
  <c r="G37" i="8"/>
  <c r="F37" i="8"/>
  <c r="E37" i="8"/>
  <c r="D37" i="8"/>
  <c r="C37" i="8"/>
  <c r="B37" i="8"/>
  <c r="U36" i="8"/>
  <c r="T36" i="8"/>
  <c r="S36" i="8"/>
  <c r="R36" i="8"/>
  <c r="Q36" i="8"/>
  <c r="P36" i="8"/>
  <c r="O36" i="8"/>
  <c r="N36" i="8"/>
  <c r="M36" i="8"/>
  <c r="L36" i="8"/>
  <c r="K36" i="8"/>
  <c r="J36" i="8"/>
  <c r="I36" i="8"/>
  <c r="H36" i="8"/>
  <c r="G36" i="8"/>
  <c r="F36" i="8"/>
  <c r="E36" i="8"/>
  <c r="D36" i="8"/>
  <c r="C36" i="8"/>
  <c r="B36" i="8"/>
  <c r="U35" i="8"/>
  <c r="T35" i="8"/>
  <c r="S35" i="8"/>
  <c r="R35" i="8"/>
  <c r="Q35" i="8"/>
  <c r="P35" i="8"/>
  <c r="O35" i="8"/>
  <c r="N35" i="8"/>
  <c r="M35" i="8"/>
  <c r="L35" i="8"/>
  <c r="K35" i="8"/>
  <c r="J35" i="8"/>
  <c r="I35" i="8"/>
  <c r="H35" i="8"/>
  <c r="G35" i="8"/>
  <c r="F35" i="8"/>
  <c r="E35" i="8"/>
  <c r="D35" i="8"/>
  <c r="C35" i="8"/>
  <c r="B35" i="8"/>
  <c r="U34" i="8"/>
  <c r="T34" i="8"/>
  <c r="S34" i="8"/>
  <c r="R34" i="8"/>
  <c r="Q34" i="8"/>
  <c r="P34" i="8"/>
  <c r="O34" i="8"/>
  <c r="N34" i="8"/>
  <c r="M34" i="8"/>
  <c r="L34" i="8"/>
  <c r="K34" i="8"/>
  <c r="J34" i="8"/>
  <c r="I34" i="8"/>
  <c r="H34" i="8"/>
  <c r="G34" i="8"/>
  <c r="F34" i="8"/>
  <c r="E34" i="8"/>
  <c r="D34" i="8"/>
  <c r="C34" i="8"/>
  <c r="B34" i="8"/>
  <c r="U33" i="8"/>
  <c r="T33" i="8"/>
  <c r="S33" i="8"/>
  <c r="R33" i="8"/>
  <c r="Q33" i="8"/>
  <c r="P33" i="8"/>
  <c r="O33" i="8"/>
  <c r="N33" i="8"/>
  <c r="M33" i="8"/>
  <c r="L33" i="8"/>
  <c r="K33" i="8"/>
  <c r="J33" i="8"/>
  <c r="I33" i="8"/>
  <c r="H33" i="8"/>
  <c r="G33" i="8"/>
  <c r="F33" i="8"/>
  <c r="E33" i="8"/>
  <c r="D33" i="8"/>
  <c r="C33" i="8"/>
  <c r="B33" i="8"/>
  <c r="U32" i="8"/>
  <c r="T32" i="8"/>
  <c r="S32" i="8"/>
  <c r="R32" i="8"/>
  <c r="Q32" i="8"/>
  <c r="P32" i="8"/>
  <c r="O32" i="8"/>
  <c r="N32" i="8"/>
  <c r="M32" i="8"/>
  <c r="L32" i="8"/>
  <c r="K32" i="8"/>
  <c r="J32" i="8"/>
  <c r="I32" i="8"/>
  <c r="H32" i="8"/>
  <c r="G32" i="8"/>
  <c r="F32" i="8"/>
  <c r="E32" i="8"/>
  <c r="D32" i="8"/>
  <c r="C32" i="8"/>
  <c r="B32" i="8"/>
  <c r="U31" i="8"/>
  <c r="T31" i="8"/>
  <c r="S31" i="8"/>
  <c r="R31" i="8"/>
  <c r="Q31" i="8"/>
  <c r="P31" i="8"/>
  <c r="O31" i="8"/>
  <c r="N31" i="8"/>
  <c r="M31" i="8"/>
  <c r="L31" i="8"/>
  <c r="K31" i="8"/>
  <c r="J31" i="8"/>
  <c r="I31" i="8"/>
  <c r="H31" i="8"/>
  <c r="G31" i="8"/>
  <c r="F31" i="8"/>
  <c r="E31" i="8"/>
  <c r="D31" i="8"/>
  <c r="C31" i="8"/>
  <c r="B31" i="8"/>
  <c r="U30" i="8"/>
  <c r="T30" i="8"/>
  <c r="S30" i="8"/>
  <c r="R30" i="8"/>
  <c r="Q30" i="8"/>
  <c r="P30" i="8"/>
  <c r="O30" i="8"/>
  <c r="N30" i="8"/>
  <c r="M30" i="8"/>
  <c r="L30" i="8"/>
  <c r="K30" i="8"/>
  <c r="J30" i="8"/>
  <c r="I30" i="8"/>
  <c r="H30" i="8"/>
  <c r="G30" i="8"/>
  <c r="F30" i="8"/>
  <c r="E30" i="8"/>
  <c r="D30" i="8"/>
  <c r="C30" i="8"/>
  <c r="B30" i="8"/>
  <c r="U29" i="8"/>
  <c r="T29" i="8"/>
  <c r="S29" i="8"/>
  <c r="R29" i="8"/>
  <c r="Q29" i="8"/>
  <c r="P29" i="8"/>
  <c r="O29" i="8"/>
  <c r="N29" i="8"/>
  <c r="M29" i="8"/>
  <c r="L29" i="8"/>
  <c r="K29" i="8"/>
  <c r="J29" i="8"/>
  <c r="I29" i="8"/>
  <c r="H29" i="8"/>
  <c r="G29" i="8"/>
  <c r="F29" i="8"/>
  <c r="E29" i="8"/>
  <c r="D29" i="8"/>
  <c r="C29" i="8"/>
  <c r="B29" i="8"/>
  <c r="U28" i="8"/>
  <c r="T28" i="8"/>
  <c r="S28" i="8"/>
  <c r="R28" i="8"/>
  <c r="Q28" i="8"/>
  <c r="P28" i="8"/>
  <c r="O28" i="8"/>
  <c r="N28" i="8"/>
  <c r="M28" i="8"/>
  <c r="L28" i="8"/>
  <c r="K28" i="8"/>
  <c r="J28" i="8"/>
  <c r="I28" i="8"/>
  <c r="H28" i="8"/>
  <c r="G28" i="8"/>
  <c r="F28" i="8"/>
  <c r="E28" i="8"/>
  <c r="D28" i="8"/>
  <c r="C28" i="8"/>
  <c r="B28" i="8"/>
  <c r="U27" i="8"/>
  <c r="T27" i="8"/>
  <c r="S27" i="8"/>
  <c r="R27" i="8"/>
  <c r="Q27" i="8"/>
  <c r="P27" i="8"/>
  <c r="O27" i="8"/>
  <c r="N27" i="8"/>
  <c r="M27" i="8"/>
  <c r="L27" i="8"/>
  <c r="K27" i="8"/>
  <c r="J27" i="8"/>
  <c r="I27" i="8"/>
  <c r="H27" i="8"/>
  <c r="G27" i="8"/>
  <c r="F27" i="8"/>
  <c r="E27" i="8"/>
  <c r="D27" i="8"/>
  <c r="C27" i="8"/>
  <c r="B27" i="8"/>
  <c r="U26" i="8"/>
  <c r="T26" i="8"/>
  <c r="S26" i="8"/>
  <c r="R26" i="8"/>
  <c r="Q26" i="8"/>
  <c r="P26" i="8"/>
  <c r="O26" i="8"/>
  <c r="N26" i="8"/>
  <c r="M26" i="8"/>
  <c r="L26" i="8"/>
  <c r="K26" i="8"/>
  <c r="J26" i="8"/>
  <c r="I26" i="8"/>
  <c r="H26" i="8"/>
  <c r="G26" i="8"/>
  <c r="F26" i="8"/>
  <c r="E26" i="8"/>
  <c r="D26" i="8"/>
  <c r="C26" i="8"/>
  <c r="B26" i="8"/>
  <c r="U25" i="8"/>
  <c r="T25" i="8"/>
  <c r="S25" i="8"/>
  <c r="R25" i="8"/>
  <c r="Q25" i="8"/>
  <c r="P25" i="8"/>
  <c r="O25" i="8"/>
  <c r="N25" i="8"/>
  <c r="M25" i="8"/>
  <c r="L25" i="8"/>
  <c r="K25" i="8"/>
  <c r="J25" i="8"/>
  <c r="I25" i="8"/>
  <c r="H25" i="8"/>
  <c r="G25" i="8"/>
  <c r="F25" i="8"/>
  <c r="E25" i="8"/>
  <c r="D25" i="8"/>
  <c r="C25" i="8"/>
  <c r="B25" i="8"/>
  <c r="U24" i="8"/>
  <c r="R24" i="8"/>
  <c r="Q24" i="8"/>
  <c r="O24" i="8"/>
  <c r="N24" i="8"/>
  <c r="M24" i="8"/>
  <c r="P24" i="8" s="1"/>
  <c r="L24" i="8"/>
  <c r="K24" i="8"/>
  <c r="J24" i="8"/>
  <c r="I24" i="8"/>
  <c r="H24" i="8"/>
  <c r="G24" i="8"/>
  <c r="F24" i="8"/>
  <c r="E24" i="8"/>
  <c r="D24" i="8"/>
  <c r="B24" i="8"/>
  <c r="U23" i="8"/>
  <c r="R23" i="8"/>
  <c r="Q23" i="8"/>
  <c r="P23" i="8"/>
  <c r="O23" i="8"/>
  <c r="N23" i="8"/>
  <c r="M23" i="8"/>
  <c r="L23" i="8"/>
  <c r="K23" i="8"/>
  <c r="J23" i="8"/>
  <c r="I23" i="8"/>
  <c r="H23" i="8"/>
  <c r="G23" i="8"/>
  <c r="F23" i="8"/>
  <c r="E23" i="8"/>
  <c r="D23" i="8"/>
  <c r="B23" i="8"/>
  <c r="U22" i="8"/>
  <c r="R22" i="8"/>
  <c r="Q22" i="8"/>
  <c r="O22" i="8"/>
  <c r="N22" i="8"/>
  <c r="M22" i="8"/>
  <c r="P22" i="8" s="1"/>
  <c r="L22" i="8"/>
  <c r="K22" i="8"/>
  <c r="J22" i="8"/>
  <c r="I22" i="8"/>
  <c r="H22" i="8"/>
  <c r="G22" i="8"/>
  <c r="F22" i="8"/>
  <c r="E22" i="8"/>
  <c r="D22" i="8"/>
  <c r="B22" i="8"/>
  <c r="U21" i="8"/>
  <c r="R21" i="8"/>
  <c r="Q21" i="8"/>
  <c r="O21" i="8"/>
  <c r="N21" i="8"/>
  <c r="P21" i="8" s="1"/>
  <c r="M21" i="8"/>
  <c r="L21" i="8"/>
  <c r="K21" i="8"/>
  <c r="J21" i="8"/>
  <c r="I21" i="8"/>
  <c r="H21" i="8"/>
  <c r="G21" i="8"/>
  <c r="F21" i="8"/>
  <c r="E21" i="8"/>
  <c r="D21" i="8"/>
  <c r="B21" i="8"/>
  <c r="U20" i="8"/>
  <c r="R20" i="8"/>
  <c r="Q20" i="8"/>
  <c r="O20" i="8"/>
  <c r="N20" i="8"/>
  <c r="M20" i="8"/>
  <c r="P20" i="8" s="1"/>
  <c r="L20" i="8"/>
  <c r="K20" i="8"/>
  <c r="J20" i="8"/>
  <c r="I20" i="8"/>
  <c r="H20" i="8"/>
  <c r="G20" i="8"/>
  <c r="F20" i="8"/>
  <c r="E20" i="8"/>
  <c r="D20" i="8"/>
  <c r="B20" i="8"/>
  <c r="U19" i="8"/>
  <c r="R19" i="8"/>
  <c r="Q19" i="8"/>
  <c r="P19" i="8"/>
  <c r="O19" i="8"/>
  <c r="N19" i="8"/>
  <c r="M19" i="8"/>
  <c r="L19" i="8"/>
  <c r="K19" i="8"/>
  <c r="J19" i="8"/>
  <c r="I19" i="8"/>
  <c r="H19" i="8"/>
  <c r="G19" i="8"/>
  <c r="F19" i="8"/>
  <c r="E19" i="8"/>
  <c r="D19" i="8"/>
  <c r="B19" i="8"/>
  <c r="U18" i="8"/>
  <c r="R18" i="8"/>
  <c r="Q18" i="8"/>
  <c r="P18" i="8"/>
  <c r="O18" i="8"/>
  <c r="N18" i="8"/>
  <c r="M18" i="8"/>
  <c r="L18" i="8"/>
  <c r="K18" i="8"/>
  <c r="J18" i="8"/>
  <c r="I18" i="8"/>
  <c r="H18" i="8"/>
  <c r="G18" i="8"/>
  <c r="F18" i="8"/>
  <c r="E18" i="8"/>
  <c r="D18" i="8"/>
  <c r="B18" i="8"/>
  <c r="U17" i="8"/>
  <c r="R17" i="8"/>
  <c r="Q17" i="8"/>
  <c r="O17" i="8"/>
  <c r="N17" i="8"/>
  <c r="M17" i="8"/>
  <c r="P17" i="8" s="1"/>
  <c r="L17" i="8"/>
  <c r="K17" i="8"/>
  <c r="J17" i="8"/>
  <c r="I17" i="8"/>
  <c r="H17" i="8"/>
  <c r="G17" i="8"/>
  <c r="F17" i="8"/>
  <c r="E17" i="8"/>
  <c r="D17" i="8"/>
  <c r="B17" i="8"/>
  <c r="U16" i="8"/>
  <c r="R16" i="8"/>
  <c r="Q16" i="8"/>
  <c r="O16" i="8"/>
  <c r="N16" i="8"/>
  <c r="M16" i="8"/>
  <c r="P16" i="8" s="1"/>
  <c r="L16" i="8"/>
  <c r="K16" i="8"/>
  <c r="J16" i="8"/>
  <c r="I16" i="8"/>
  <c r="H16" i="8"/>
  <c r="G16" i="8"/>
  <c r="F16" i="8"/>
  <c r="E16" i="8"/>
  <c r="D16" i="8"/>
  <c r="B16" i="8"/>
  <c r="U15" i="8"/>
  <c r="R15" i="8"/>
  <c r="Q15" i="8"/>
  <c r="O15" i="8"/>
  <c r="N15" i="8"/>
  <c r="P15" i="8" s="1"/>
  <c r="M15" i="8"/>
  <c r="L15" i="8"/>
  <c r="K15" i="8"/>
  <c r="J15" i="8"/>
  <c r="I15" i="8"/>
  <c r="H15" i="8"/>
  <c r="G15" i="8"/>
  <c r="F15" i="8"/>
  <c r="E15" i="8"/>
  <c r="D15" i="8"/>
  <c r="B15" i="8"/>
  <c r="U14" i="8"/>
  <c r="R14" i="8"/>
  <c r="Q14" i="8"/>
  <c r="O14" i="8"/>
  <c r="N14" i="8"/>
  <c r="M14" i="8"/>
  <c r="P14" i="8" s="1"/>
  <c r="L14" i="8"/>
  <c r="K14" i="8"/>
  <c r="J14" i="8"/>
  <c r="I14" i="8"/>
  <c r="H14" i="8"/>
  <c r="G14" i="8"/>
  <c r="F14" i="8"/>
  <c r="E14" i="8"/>
  <c r="D14" i="8"/>
  <c r="B14" i="8"/>
  <c r="U13" i="8"/>
  <c r="R13" i="8"/>
  <c r="Q13" i="8"/>
  <c r="P13" i="8"/>
  <c r="O13" i="8"/>
  <c r="N13" i="8"/>
  <c r="M13" i="8"/>
  <c r="L13" i="8"/>
  <c r="K13" i="8"/>
  <c r="J13" i="8"/>
  <c r="I13" i="8"/>
  <c r="H13" i="8"/>
  <c r="G13" i="8"/>
  <c r="F13" i="8"/>
  <c r="E13" i="8"/>
  <c r="D13" i="8"/>
  <c r="B13" i="8"/>
  <c r="U12" i="8"/>
  <c r="R12" i="8"/>
  <c r="Q12" i="8"/>
  <c r="O12" i="8"/>
  <c r="N12" i="8"/>
  <c r="M12" i="8"/>
  <c r="P12" i="8" s="1"/>
  <c r="L12" i="8"/>
  <c r="K12" i="8"/>
  <c r="J12" i="8"/>
  <c r="I12" i="8"/>
  <c r="H12" i="8"/>
  <c r="G12" i="8"/>
  <c r="F12" i="8"/>
  <c r="E12" i="8"/>
  <c r="D12" i="8"/>
  <c r="B12" i="8"/>
  <c r="U11" i="8"/>
  <c r="R11" i="8"/>
  <c r="Q11" i="8"/>
  <c r="O11" i="8"/>
  <c r="N11" i="8"/>
  <c r="M11" i="8"/>
  <c r="P11" i="8" s="1"/>
  <c r="L11" i="8"/>
  <c r="K11" i="8"/>
  <c r="J11" i="8"/>
  <c r="I11" i="8"/>
  <c r="H11" i="8"/>
  <c r="G11" i="8"/>
  <c r="F11" i="8"/>
  <c r="E11" i="8"/>
  <c r="D11" i="8"/>
  <c r="B11" i="8"/>
  <c r="U10" i="8"/>
  <c r="R10" i="8"/>
  <c r="Q10" i="8"/>
  <c r="O10" i="8"/>
  <c r="N10" i="8"/>
  <c r="M10" i="8"/>
  <c r="P10" i="8" s="1"/>
  <c r="L10" i="8"/>
  <c r="K10" i="8"/>
  <c r="J10" i="8"/>
  <c r="I10" i="8"/>
  <c r="H10" i="8"/>
  <c r="G10" i="8"/>
  <c r="F10" i="8"/>
  <c r="E10" i="8"/>
  <c r="D10" i="8"/>
  <c r="B10" i="8"/>
  <c r="U9" i="8"/>
  <c r="R9" i="8"/>
  <c r="Q9" i="8"/>
  <c r="O9" i="8"/>
  <c r="N9" i="8"/>
  <c r="M9" i="8"/>
  <c r="P9" i="8" s="1"/>
  <c r="L9" i="8"/>
  <c r="K9" i="8"/>
  <c r="J9" i="8"/>
  <c r="I9" i="8"/>
  <c r="H9" i="8"/>
  <c r="G9" i="8"/>
  <c r="F9" i="8"/>
  <c r="E9" i="8"/>
  <c r="D9" i="8"/>
  <c r="B9" i="8"/>
  <c r="U8" i="8"/>
  <c r="R8" i="8"/>
  <c r="Q8" i="8"/>
  <c r="O8" i="8"/>
  <c r="N8" i="8"/>
  <c r="M8" i="8"/>
  <c r="P8" i="8" s="1"/>
  <c r="L8" i="8"/>
  <c r="K8" i="8"/>
  <c r="J8" i="8"/>
  <c r="I8" i="8"/>
  <c r="H8" i="8"/>
  <c r="G8" i="8"/>
  <c r="F8" i="8"/>
  <c r="E8" i="8"/>
  <c r="D8" i="8"/>
  <c r="B8" i="8"/>
  <c r="U7" i="8"/>
  <c r="R7" i="8"/>
  <c r="Q7" i="8"/>
  <c r="P7" i="8"/>
  <c r="O7" i="8"/>
  <c r="N7" i="8"/>
  <c r="M7" i="8"/>
  <c r="L7" i="8"/>
  <c r="K7" i="8"/>
  <c r="J7" i="8"/>
  <c r="I7" i="8"/>
  <c r="H7" i="8"/>
  <c r="G7" i="8"/>
  <c r="F7" i="8"/>
  <c r="E7" i="8"/>
  <c r="D7" i="8"/>
  <c r="B7" i="8"/>
  <c r="U6" i="8"/>
  <c r="R6" i="8"/>
  <c r="Q6" i="8"/>
  <c r="O6" i="8"/>
  <c r="N6" i="8"/>
  <c r="M6" i="8"/>
  <c r="P6" i="8" s="1"/>
  <c r="L6" i="8"/>
  <c r="K6" i="8"/>
  <c r="J6" i="8"/>
  <c r="I6" i="8"/>
  <c r="H6" i="8"/>
  <c r="G6" i="8"/>
  <c r="F6" i="8"/>
  <c r="E6" i="8"/>
  <c r="D6" i="8"/>
  <c r="B6" i="8"/>
  <c r="U5" i="8"/>
  <c r="R5" i="8"/>
  <c r="Q5" i="8"/>
  <c r="O5" i="8"/>
  <c r="N5" i="8"/>
  <c r="M5" i="8"/>
  <c r="P5" i="8" s="1"/>
  <c r="L5" i="8"/>
  <c r="K5" i="8"/>
  <c r="J5" i="8"/>
  <c r="I5" i="8"/>
  <c r="H5" i="8"/>
  <c r="G5" i="8"/>
  <c r="F5" i="8"/>
  <c r="E5" i="8"/>
  <c r="D5" i="8"/>
  <c r="B5" i="8"/>
  <c r="U4" i="8"/>
  <c r="R4" i="8"/>
  <c r="Q4" i="8"/>
  <c r="O4" i="8"/>
  <c r="N4" i="8"/>
  <c r="M4" i="8"/>
  <c r="P4" i="8" s="1"/>
  <c r="L4" i="8"/>
  <c r="K4" i="8"/>
  <c r="J4" i="8"/>
  <c r="I4" i="8"/>
  <c r="H4" i="8"/>
  <c r="G4" i="8"/>
  <c r="F4" i="8"/>
  <c r="E4" i="8"/>
  <c r="D4" i="8"/>
  <c r="B4" i="8"/>
  <c r="U3" i="8"/>
  <c r="R3" i="8"/>
  <c r="Q3" i="8"/>
  <c r="O3" i="8"/>
  <c r="N3" i="8"/>
  <c r="M3" i="8"/>
  <c r="P3" i="8" s="1"/>
  <c r="L3" i="8"/>
  <c r="K3" i="8"/>
  <c r="J3" i="8"/>
  <c r="I3" i="8"/>
  <c r="H3" i="8"/>
  <c r="G3" i="8"/>
  <c r="F3" i="8"/>
  <c r="E3" i="8"/>
  <c r="D3" i="8"/>
  <c r="B3" i="8"/>
  <c r="U2" i="8"/>
  <c r="R2" i="8"/>
  <c r="Q2" i="8"/>
  <c r="O2" i="8"/>
  <c r="N2" i="8"/>
  <c r="M2" i="8"/>
  <c r="P2" i="8" s="1"/>
  <c r="L2" i="8"/>
  <c r="K2" i="8"/>
  <c r="J2" i="8"/>
  <c r="I2" i="8"/>
  <c r="H2" i="8"/>
  <c r="G2" i="8"/>
  <c r="F2" i="8"/>
  <c r="E2" i="8"/>
  <c r="D2" i="8"/>
  <c r="B2" i="8"/>
  <c r="C2" i="9" s="1"/>
  <c r="N300" i="5"/>
  <c r="M300" i="5"/>
  <c r="L300" i="5"/>
  <c r="K300" i="5"/>
  <c r="N299" i="5"/>
  <c r="M299" i="5"/>
  <c r="L299" i="5"/>
  <c r="K299" i="5"/>
  <c r="N298" i="5"/>
  <c r="M298" i="5"/>
  <c r="L298" i="5"/>
  <c r="K298" i="5"/>
  <c r="N297" i="5"/>
  <c r="M297" i="5"/>
  <c r="L297" i="5"/>
  <c r="K297" i="5"/>
  <c r="N296" i="5"/>
  <c r="M296" i="5"/>
  <c r="L296" i="5"/>
  <c r="K296" i="5"/>
  <c r="N295" i="5"/>
  <c r="M295" i="5"/>
  <c r="L295" i="5"/>
  <c r="K295" i="5"/>
  <c r="N294" i="5"/>
  <c r="M294" i="5"/>
  <c r="L294" i="5"/>
  <c r="K294" i="5"/>
  <c r="N293" i="5"/>
  <c r="M293" i="5"/>
  <c r="L293" i="5"/>
  <c r="K293" i="5"/>
  <c r="N292" i="5"/>
  <c r="M292" i="5"/>
  <c r="L292" i="5"/>
  <c r="K292" i="5"/>
  <c r="N291" i="5"/>
  <c r="M291" i="5"/>
  <c r="L291" i="5"/>
  <c r="K291" i="5"/>
  <c r="N290" i="5"/>
  <c r="M290" i="5"/>
  <c r="L290" i="5"/>
  <c r="K290" i="5"/>
  <c r="N289" i="5"/>
  <c r="M289" i="5"/>
  <c r="L289" i="5"/>
  <c r="K289" i="5"/>
  <c r="N288" i="5"/>
  <c r="M288" i="5"/>
  <c r="L288" i="5"/>
  <c r="K288" i="5"/>
  <c r="N287" i="5"/>
  <c r="M287" i="5"/>
  <c r="L287" i="5"/>
  <c r="K287" i="5"/>
  <c r="N286" i="5"/>
  <c r="M286" i="5"/>
  <c r="L286" i="5"/>
  <c r="K286" i="5"/>
  <c r="N285" i="5"/>
  <c r="M285" i="5"/>
  <c r="L285" i="5"/>
  <c r="K285" i="5"/>
  <c r="N284" i="5"/>
  <c r="M284" i="5"/>
  <c r="L284" i="5"/>
  <c r="K284" i="5"/>
  <c r="N283" i="5"/>
  <c r="M283" i="5"/>
  <c r="L283" i="5"/>
  <c r="K283" i="5"/>
  <c r="N282" i="5"/>
  <c r="M282" i="5"/>
  <c r="L282" i="5"/>
  <c r="K282" i="5"/>
  <c r="N281" i="5"/>
  <c r="M281" i="5"/>
  <c r="L281" i="5"/>
  <c r="K281" i="5"/>
  <c r="N280" i="5"/>
  <c r="M280" i="5"/>
  <c r="L280" i="5"/>
  <c r="K280" i="5"/>
  <c r="N279" i="5"/>
  <c r="M279" i="5"/>
  <c r="L279" i="5"/>
  <c r="K279" i="5"/>
  <c r="N278" i="5"/>
  <c r="M278" i="5"/>
  <c r="L278" i="5"/>
  <c r="K278" i="5"/>
  <c r="N277" i="5"/>
  <c r="M277" i="5"/>
  <c r="L277" i="5"/>
  <c r="K277" i="5"/>
  <c r="N276" i="5"/>
  <c r="M276" i="5"/>
  <c r="L276" i="5"/>
  <c r="K276" i="5"/>
  <c r="N275" i="5"/>
  <c r="M275" i="5"/>
  <c r="L275" i="5"/>
  <c r="K275" i="5"/>
  <c r="N274" i="5"/>
  <c r="M274" i="5"/>
  <c r="L274" i="5"/>
  <c r="K274" i="5"/>
  <c r="N273" i="5"/>
  <c r="M273" i="5"/>
  <c r="L273" i="5"/>
  <c r="K273" i="5"/>
  <c r="N272" i="5"/>
  <c r="M272" i="5"/>
  <c r="L272" i="5"/>
  <c r="K272" i="5"/>
  <c r="N271" i="5"/>
  <c r="M271" i="5"/>
  <c r="L271" i="5"/>
  <c r="K271" i="5"/>
  <c r="N270" i="5"/>
  <c r="M270" i="5"/>
  <c r="L270" i="5"/>
  <c r="K270" i="5"/>
  <c r="N269" i="5"/>
  <c r="M269" i="5"/>
  <c r="L269" i="5"/>
  <c r="K269" i="5"/>
  <c r="N268" i="5"/>
  <c r="M268" i="5"/>
  <c r="L268" i="5"/>
  <c r="K268" i="5"/>
  <c r="N267" i="5"/>
  <c r="M267" i="5"/>
  <c r="L267" i="5"/>
  <c r="K267" i="5"/>
  <c r="N266" i="5"/>
  <c r="M266" i="5"/>
  <c r="L266" i="5"/>
  <c r="K266" i="5"/>
  <c r="N265" i="5"/>
  <c r="M265" i="5"/>
  <c r="L265" i="5"/>
  <c r="K265" i="5"/>
  <c r="N264" i="5"/>
  <c r="M264" i="5"/>
  <c r="L264" i="5"/>
  <c r="K264" i="5"/>
  <c r="N263" i="5"/>
  <c r="M263" i="5"/>
  <c r="L263" i="5"/>
  <c r="K263" i="5"/>
  <c r="N262" i="5"/>
  <c r="M262" i="5"/>
  <c r="L262" i="5"/>
  <c r="K262" i="5"/>
  <c r="N261" i="5"/>
  <c r="M261" i="5"/>
  <c r="L261" i="5"/>
  <c r="K261" i="5"/>
  <c r="N260" i="5"/>
  <c r="M260" i="5"/>
  <c r="L260" i="5"/>
  <c r="K260" i="5"/>
  <c r="N259" i="5"/>
  <c r="M259" i="5"/>
  <c r="L259" i="5"/>
  <c r="K259" i="5"/>
  <c r="N258" i="5"/>
  <c r="M258" i="5"/>
  <c r="L258" i="5"/>
  <c r="K258" i="5"/>
  <c r="N257" i="5"/>
  <c r="M257" i="5"/>
  <c r="L257" i="5"/>
  <c r="K257" i="5"/>
  <c r="N256" i="5"/>
  <c r="M256" i="5"/>
  <c r="L256" i="5"/>
  <c r="K256" i="5"/>
  <c r="N255" i="5"/>
  <c r="M255" i="5"/>
  <c r="L255" i="5"/>
  <c r="K255" i="5"/>
  <c r="N254" i="5"/>
  <c r="M254" i="5"/>
  <c r="L254" i="5"/>
  <c r="K254" i="5"/>
  <c r="N253" i="5"/>
  <c r="M253" i="5"/>
  <c r="L253" i="5"/>
  <c r="K253" i="5"/>
  <c r="N252" i="5"/>
  <c r="M252" i="5"/>
  <c r="L252" i="5"/>
  <c r="K252" i="5"/>
  <c r="N251" i="5"/>
  <c r="M251" i="5"/>
  <c r="L251" i="5"/>
  <c r="K251" i="5"/>
  <c r="N250" i="5"/>
  <c r="M250" i="5"/>
  <c r="L250" i="5"/>
  <c r="K250" i="5"/>
  <c r="N249" i="5"/>
  <c r="M249" i="5"/>
  <c r="L249" i="5"/>
  <c r="K249" i="5"/>
  <c r="N248" i="5"/>
  <c r="M248" i="5"/>
  <c r="L248" i="5"/>
  <c r="K248" i="5"/>
  <c r="N247" i="5"/>
  <c r="M247" i="5"/>
  <c r="L247" i="5"/>
  <c r="K247" i="5"/>
  <c r="N246" i="5"/>
  <c r="M246" i="5"/>
  <c r="L246" i="5"/>
  <c r="K246" i="5"/>
  <c r="N245" i="5"/>
  <c r="M245" i="5"/>
  <c r="L245" i="5"/>
  <c r="K245" i="5"/>
  <c r="N244" i="5"/>
  <c r="M244" i="5"/>
  <c r="L244" i="5"/>
  <c r="K244" i="5"/>
  <c r="N243" i="5"/>
  <c r="M243" i="5"/>
  <c r="L243" i="5"/>
  <c r="K243" i="5"/>
  <c r="N242" i="5"/>
  <c r="M242" i="5"/>
  <c r="L242" i="5"/>
  <c r="K242" i="5"/>
  <c r="N241" i="5"/>
  <c r="M241" i="5"/>
  <c r="L241" i="5"/>
  <c r="K241" i="5"/>
  <c r="N240" i="5"/>
  <c r="M240" i="5"/>
  <c r="L240" i="5"/>
  <c r="K240" i="5"/>
  <c r="N239" i="5"/>
  <c r="M239" i="5"/>
  <c r="L239" i="5"/>
  <c r="K239" i="5"/>
  <c r="N238" i="5"/>
  <c r="M238" i="5"/>
  <c r="L238" i="5"/>
  <c r="K238" i="5"/>
  <c r="N237" i="5"/>
  <c r="M237" i="5"/>
  <c r="L237" i="5"/>
  <c r="K237" i="5"/>
  <c r="N236" i="5"/>
  <c r="M236" i="5"/>
  <c r="L236" i="5"/>
  <c r="K236" i="5"/>
  <c r="N235" i="5"/>
  <c r="M235" i="5"/>
  <c r="L235" i="5"/>
  <c r="K235" i="5"/>
  <c r="N234" i="5"/>
  <c r="M234" i="5"/>
  <c r="L234" i="5"/>
  <c r="K234" i="5"/>
  <c r="N233" i="5"/>
  <c r="M233" i="5"/>
  <c r="L233" i="5"/>
  <c r="K233" i="5"/>
  <c r="N232" i="5"/>
  <c r="M232" i="5"/>
  <c r="L232" i="5"/>
  <c r="K232" i="5"/>
  <c r="N231" i="5"/>
  <c r="M231" i="5"/>
  <c r="L231" i="5"/>
  <c r="K231" i="5"/>
  <c r="N230" i="5"/>
  <c r="M230" i="5"/>
  <c r="L230" i="5"/>
  <c r="K230" i="5"/>
  <c r="N229" i="5"/>
  <c r="M229" i="5"/>
  <c r="L229" i="5"/>
  <c r="K229" i="5"/>
  <c r="N228" i="5"/>
  <c r="M228" i="5"/>
  <c r="L228" i="5"/>
  <c r="K228" i="5"/>
  <c r="N227" i="5"/>
  <c r="M227" i="5"/>
  <c r="L227" i="5"/>
  <c r="K227" i="5"/>
  <c r="N226" i="5"/>
  <c r="M226" i="5"/>
  <c r="L226" i="5"/>
  <c r="K226" i="5"/>
  <c r="N225" i="5"/>
  <c r="M225" i="5"/>
  <c r="L225" i="5"/>
  <c r="K225" i="5"/>
  <c r="N224" i="5"/>
  <c r="M224" i="5"/>
  <c r="L224" i="5"/>
  <c r="K224" i="5"/>
  <c r="N223" i="5"/>
  <c r="M223" i="5"/>
  <c r="L223" i="5"/>
  <c r="K223" i="5"/>
  <c r="N222" i="5"/>
  <c r="M222" i="5"/>
  <c r="L222" i="5"/>
  <c r="K222" i="5"/>
  <c r="N221" i="5"/>
  <c r="M221" i="5"/>
  <c r="L221" i="5"/>
  <c r="K221" i="5"/>
  <c r="N220" i="5"/>
  <c r="M220" i="5"/>
  <c r="L220" i="5"/>
  <c r="K220" i="5"/>
  <c r="N219" i="5"/>
  <c r="M219" i="5"/>
  <c r="L219" i="5"/>
  <c r="K219" i="5"/>
  <c r="N218" i="5"/>
  <c r="M218" i="5"/>
  <c r="L218" i="5"/>
  <c r="K218" i="5"/>
  <c r="N217" i="5"/>
  <c r="M217" i="5"/>
  <c r="L217" i="5"/>
  <c r="K217" i="5"/>
  <c r="N216" i="5"/>
  <c r="M216" i="5"/>
  <c r="L216" i="5"/>
  <c r="K216" i="5"/>
  <c r="N215" i="5"/>
  <c r="M215" i="5"/>
  <c r="L215" i="5"/>
  <c r="K215" i="5"/>
  <c r="N214" i="5"/>
  <c r="M214" i="5"/>
  <c r="L214" i="5"/>
  <c r="K214" i="5"/>
  <c r="N213" i="5"/>
  <c r="M213" i="5"/>
  <c r="L213" i="5"/>
  <c r="K213" i="5"/>
  <c r="N212" i="5"/>
  <c r="M212" i="5"/>
  <c r="L212" i="5"/>
  <c r="K212" i="5"/>
  <c r="N211" i="5"/>
  <c r="M211" i="5"/>
  <c r="L211" i="5"/>
  <c r="K211" i="5"/>
  <c r="N210" i="5"/>
  <c r="M210" i="5"/>
  <c r="L210" i="5"/>
  <c r="K210" i="5"/>
  <c r="N209" i="5"/>
  <c r="M209" i="5"/>
  <c r="L209" i="5"/>
  <c r="K209" i="5"/>
  <c r="N208" i="5"/>
  <c r="M208" i="5"/>
  <c r="L208" i="5"/>
  <c r="K208" i="5"/>
  <c r="N207" i="5"/>
  <c r="M207" i="5"/>
  <c r="L207" i="5"/>
  <c r="K207" i="5"/>
  <c r="N206" i="5"/>
  <c r="M206" i="5"/>
  <c r="L206" i="5"/>
  <c r="K206" i="5"/>
  <c r="N205" i="5"/>
  <c r="M205" i="5"/>
  <c r="L205" i="5"/>
  <c r="K205" i="5"/>
  <c r="N204" i="5"/>
  <c r="M204" i="5"/>
  <c r="L204" i="5"/>
  <c r="K204" i="5"/>
  <c r="N203" i="5"/>
  <c r="M203" i="5"/>
  <c r="L203" i="5"/>
  <c r="K203" i="5"/>
  <c r="N202" i="5"/>
  <c r="M202" i="5"/>
  <c r="L202" i="5"/>
  <c r="K202" i="5"/>
  <c r="N201" i="5"/>
  <c r="M201" i="5"/>
  <c r="L201" i="5"/>
  <c r="K201" i="5"/>
  <c r="N200" i="5"/>
  <c r="M200" i="5"/>
  <c r="L200" i="5"/>
  <c r="K200" i="5"/>
  <c r="N199" i="5"/>
  <c r="M199" i="5"/>
  <c r="L199" i="5"/>
  <c r="K199" i="5"/>
  <c r="N198" i="5"/>
  <c r="M198" i="5"/>
  <c r="L198" i="5"/>
  <c r="K198" i="5"/>
  <c r="N197" i="5"/>
  <c r="M197" i="5"/>
  <c r="L197" i="5"/>
  <c r="K197" i="5"/>
  <c r="N196" i="5"/>
  <c r="M196" i="5"/>
  <c r="L196" i="5"/>
  <c r="K196" i="5"/>
  <c r="N195" i="5"/>
  <c r="M195" i="5"/>
  <c r="L195" i="5"/>
  <c r="K195" i="5"/>
  <c r="N194" i="5"/>
  <c r="M194" i="5"/>
  <c r="L194" i="5"/>
  <c r="K194" i="5"/>
  <c r="N193" i="5"/>
  <c r="M193" i="5"/>
  <c r="L193" i="5"/>
  <c r="K193" i="5"/>
  <c r="N192" i="5"/>
  <c r="M192" i="5"/>
  <c r="L192" i="5"/>
  <c r="K192" i="5"/>
  <c r="N191" i="5"/>
  <c r="M191" i="5"/>
  <c r="L191" i="5"/>
  <c r="K191" i="5"/>
  <c r="N190" i="5"/>
  <c r="M190" i="5"/>
  <c r="L190" i="5"/>
  <c r="K190" i="5"/>
  <c r="N189" i="5"/>
  <c r="M189" i="5"/>
  <c r="L189" i="5"/>
  <c r="K189" i="5"/>
  <c r="N188" i="5"/>
  <c r="M188" i="5"/>
  <c r="L188" i="5"/>
  <c r="K188" i="5"/>
  <c r="N187" i="5"/>
  <c r="M187" i="5"/>
  <c r="L187" i="5"/>
  <c r="K187" i="5"/>
  <c r="N186" i="5"/>
  <c r="M186" i="5"/>
  <c r="L186" i="5"/>
  <c r="K186" i="5"/>
  <c r="N185" i="5"/>
  <c r="M185" i="5"/>
  <c r="L185" i="5"/>
  <c r="K185" i="5"/>
  <c r="N184" i="5"/>
  <c r="M184" i="5"/>
  <c r="L184" i="5"/>
  <c r="K184" i="5"/>
  <c r="N183" i="5"/>
  <c r="M183" i="5"/>
  <c r="L183" i="5"/>
  <c r="K183" i="5"/>
  <c r="N182" i="5"/>
  <c r="M182" i="5"/>
  <c r="L182" i="5"/>
  <c r="K182" i="5"/>
  <c r="N181" i="5"/>
  <c r="M181" i="5"/>
  <c r="L181" i="5"/>
  <c r="K181" i="5"/>
  <c r="N180" i="5"/>
  <c r="M180" i="5"/>
  <c r="L180" i="5"/>
  <c r="K180" i="5"/>
  <c r="N179" i="5"/>
  <c r="M179" i="5"/>
  <c r="L179" i="5"/>
  <c r="K179" i="5"/>
  <c r="N178" i="5"/>
  <c r="M178" i="5"/>
  <c r="L178" i="5"/>
  <c r="K178" i="5"/>
  <c r="N177" i="5"/>
  <c r="M177" i="5"/>
  <c r="L177" i="5"/>
  <c r="K177" i="5"/>
  <c r="N176" i="5"/>
  <c r="M176" i="5"/>
  <c r="L176" i="5"/>
  <c r="K176" i="5"/>
  <c r="N175" i="5"/>
  <c r="M175" i="5"/>
  <c r="L175" i="5"/>
  <c r="K175" i="5"/>
  <c r="N174" i="5"/>
  <c r="M174" i="5"/>
  <c r="L174" i="5"/>
  <c r="K174" i="5"/>
  <c r="N173" i="5"/>
  <c r="M173" i="5"/>
  <c r="L173" i="5"/>
  <c r="K173" i="5"/>
  <c r="N172" i="5"/>
  <c r="M172" i="5"/>
  <c r="L172" i="5"/>
  <c r="K172" i="5"/>
  <c r="N171" i="5"/>
  <c r="M171" i="5"/>
  <c r="L171" i="5"/>
  <c r="K171" i="5"/>
  <c r="N170" i="5"/>
  <c r="M170" i="5"/>
  <c r="L170" i="5"/>
  <c r="K170" i="5"/>
  <c r="N169" i="5"/>
  <c r="M169" i="5"/>
  <c r="L169" i="5"/>
  <c r="K169" i="5"/>
  <c r="N168" i="5"/>
  <c r="M168" i="5"/>
  <c r="L168" i="5"/>
  <c r="K168" i="5"/>
  <c r="N167" i="5"/>
  <c r="M167" i="5"/>
  <c r="L167" i="5"/>
  <c r="K167" i="5"/>
  <c r="N166" i="5"/>
  <c r="M166" i="5"/>
  <c r="L166" i="5"/>
  <c r="K166" i="5"/>
  <c r="N165" i="5"/>
  <c r="M165" i="5"/>
  <c r="L165" i="5"/>
  <c r="K165" i="5"/>
  <c r="N164" i="5"/>
  <c r="M164" i="5"/>
  <c r="L164" i="5"/>
  <c r="K164" i="5"/>
  <c r="N163" i="5"/>
  <c r="M163" i="5"/>
  <c r="L163" i="5"/>
  <c r="K163" i="5"/>
  <c r="N162" i="5"/>
  <c r="M162" i="5"/>
  <c r="L162" i="5"/>
  <c r="K162" i="5"/>
  <c r="N161" i="5"/>
  <c r="M161" i="5"/>
  <c r="L161" i="5"/>
  <c r="K161" i="5"/>
  <c r="N160" i="5"/>
  <c r="M160" i="5"/>
  <c r="L160" i="5"/>
  <c r="K160" i="5"/>
  <c r="N159" i="5"/>
  <c r="M159" i="5"/>
  <c r="L159" i="5"/>
  <c r="K159" i="5"/>
  <c r="N158" i="5"/>
  <c r="M158" i="5"/>
  <c r="L158" i="5"/>
  <c r="K158" i="5"/>
  <c r="N157" i="5"/>
  <c r="K157" i="5"/>
  <c r="H157" i="5"/>
  <c r="F157" i="5"/>
  <c r="C157" i="5"/>
  <c r="N156" i="5"/>
  <c r="K156" i="5"/>
  <c r="H156" i="5"/>
  <c r="F156" i="5"/>
  <c r="C156" i="5"/>
  <c r="N155" i="5"/>
  <c r="K155" i="5"/>
  <c r="H155" i="5"/>
  <c r="F155" i="5"/>
  <c r="C155" i="5"/>
  <c r="N154" i="5"/>
  <c r="K154" i="5"/>
  <c r="H154" i="5"/>
  <c r="F154" i="5"/>
  <c r="C154" i="5"/>
  <c r="N153" i="5"/>
  <c r="K153" i="5"/>
  <c r="H153" i="5"/>
  <c r="F153" i="5"/>
  <c r="C153" i="5"/>
  <c r="N152" i="5"/>
  <c r="K152" i="5"/>
  <c r="H152" i="5"/>
  <c r="F152" i="5"/>
  <c r="C152" i="5"/>
  <c r="N151" i="5"/>
  <c r="K151" i="5"/>
  <c r="H151" i="5"/>
  <c r="F151" i="5"/>
  <c r="C151" i="5"/>
  <c r="N150" i="5"/>
  <c r="K150" i="5"/>
  <c r="H150" i="5"/>
  <c r="F150" i="5"/>
  <c r="C150" i="5"/>
  <c r="N149" i="5"/>
  <c r="K149" i="5"/>
  <c r="H149" i="5"/>
  <c r="F149" i="5"/>
  <c r="C149" i="5"/>
  <c r="N148" i="5"/>
  <c r="K148" i="5"/>
  <c r="H148" i="5"/>
  <c r="F148" i="5"/>
  <c r="C148" i="5"/>
  <c r="N147" i="5"/>
  <c r="K147" i="5"/>
  <c r="H147" i="5"/>
  <c r="F147" i="5"/>
  <c r="C147" i="5"/>
  <c r="N146" i="5"/>
  <c r="K146" i="5"/>
  <c r="H146" i="5"/>
  <c r="F146" i="5"/>
  <c r="C146" i="5"/>
  <c r="N145" i="5"/>
  <c r="K145" i="5"/>
  <c r="H145" i="5"/>
  <c r="F145" i="5"/>
  <c r="C145" i="5"/>
  <c r="N144" i="5"/>
  <c r="K144" i="5"/>
  <c r="H144" i="5"/>
  <c r="F144" i="5"/>
  <c r="C144" i="5"/>
  <c r="N143" i="5"/>
  <c r="K143" i="5"/>
  <c r="H143" i="5"/>
  <c r="F143" i="5"/>
  <c r="C143" i="5"/>
  <c r="N142" i="5"/>
  <c r="K142" i="5"/>
  <c r="H142" i="5"/>
  <c r="F142" i="5"/>
  <c r="C142" i="5"/>
  <c r="N141" i="5"/>
  <c r="K141" i="5"/>
  <c r="H141" i="5"/>
  <c r="F141" i="5"/>
  <c r="C141" i="5"/>
  <c r="N140" i="5"/>
  <c r="K140" i="5"/>
  <c r="H140" i="5"/>
  <c r="F140" i="5"/>
  <c r="C140" i="5"/>
  <c r="N139" i="5"/>
  <c r="K139" i="5"/>
  <c r="H139" i="5"/>
  <c r="F139" i="5"/>
  <c r="C139" i="5"/>
  <c r="N138" i="5"/>
  <c r="K138" i="5"/>
  <c r="H138" i="5"/>
  <c r="F138" i="5"/>
  <c r="C138" i="5"/>
  <c r="N137" i="5"/>
  <c r="K137" i="5"/>
  <c r="H137" i="5"/>
  <c r="F137" i="5"/>
  <c r="C137" i="5"/>
  <c r="N136" i="5"/>
  <c r="K136" i="5"/>
  <c r="H136" i="5"/>
  <c r="F136" i="5"/>
  <c r="C136" i="5"/>
  <c r="N135" i="5"/>
  <c r="K135" i="5"/>
  <c r="H135" i="5"/>
  <c r="F135" i="5"/>
  <c r="C135" i="5"/>
  <c r="N134" i="5"/>
  <c r="K134" i="5"/>
  <c r="H134" i="5"/>
  <c r="F134" i="5"/>
  <c r="C134" i="5"/>
  <c r="N133" i="5"/>
  <c r="K133" i="5"/>
  <c r="H133" i="5"/>
  <c r="F133" i="5"/>
  <c r="C133" i="5"/>
  <c r="N132" i="5"/>
  <c r="K132" i="5"/>
  <c r="H132" i="5"/>
  <c r="F132" i="5"/>
  <c r="C132" i="5"/>
  <c r="N131" i="5"/>
  <c r="K131" i="5"/>
  <c r="H131" i="5"/>
  <c r="F131" i="5"/>
  <c r="C131" i="5"/>
  <c r="N130" i="5"/>
  <c r="K130" i="5"/>
  <c r="H130" i="5"/>
  <c r="F130" i="5"/>
  <c r="C130" i="5"/>
  <c r="N129" i="5"/>
  <c r="K129" i="5"/>
  <c r="H129" i="5"/>
  <c r="F129" i="5"/>
  <c r="C129" i="5"/>
  <c r="N128" i="5"/>
  <c r="K128" i="5"/>
  <c r="H128" i="5"/>
  <c r="F128" i="5"/>
  <c r="C128" i="5"/>
  <c r="N127" i="5"/>
  <c r="K127" i="5"/>
  <c r="H127" i="5"/>
  <c r="F127" i="5"/>
  <c r="C127" i="5"/>
  <c r="N126" i="5"/>
  <c r="K126" i="5"/>
  <c r="H126" i="5"/>
  <c r="F126" i="5"/>
  <c r="C126" i="5"/>
  <c r="N125" i="5"/>
  <c r="K125" i="5"/>
  <c r="H125" i="5"/>
  <c r="F125" i="5"/>
  <c r="C125" i="5"/>
  <c r="N124" i="5"/>
  <c r="K124" i="5"/>
  <c r="H124" i="5"/>
  <c r="F124" i="5"/>
  <c r="C124" i="5"/>
  <c r="N123" i="5"/>
  <c r="K123" i="5"/>
  <c r="H123" i="5"/>
  <c r="F123" i="5"/>
  <c r="C123" i="5"/>
  <c r="N122" i="5"/>
  <c r="K122" i="5"/>
  <c r="H122" i="5"/>
  <c r="F122" i="5"/>
  <c r="C122" i="5"/>
  <c r="N121" i="5"/>
  <c r="K121" i="5"/>
  <c r="H121" i="5"/>
  <c r="F121" i="5"/>
  <c r="C121" i="5"/>
  <c r="N120" i="5"/>
  <c r="K120" i="5"/>
  <c r="H120" i="5"/>
  <c r="F120" i="5"/>
  <c r="C120" i="5"/>
  <c r="N119" i="5"/>
  <c r="K119" i="5"/>
  <c r="H119" i="5"/>
  <c r="F119" i="5"/>
  <c r="C119" i="5"/>
  <c r="N118" i="5"/>
  <c r="K118" i="5"/>
  <c r="H118" i="5"/>
  <c r="F118" i="5"/>
  <c r="C118" i="5"/>
  <c r="N117" i="5"/>
  <c r="K117" i="5"/>
  <c r="H117" i="5"/>
  <c r="F117" i="5"/>
  <c r="C117" i="5"/>
  <c r="N116" i="5"/>
  <c r="K116" i="5"/>
  <c r="H116" i="5"/>
  <c r="F116" i="5"/>
  <c r="C116" i="5"/>
  <c r="N115" i="5"/>
  <c r="K115" i="5"/>
  <c r="H115" i="5"/>
  <c r="F115" i="5"/>
  <c r="C115" i="5"/>
  <c r="N114" i="5"/>
  <c r="K114" i="5"/>
  <c r="H114" i="5"/>
  <c r="F114" i="5"/>
  <c r="C114" i="5"/>
  <c r="N113" i="5"/>
  <c r="K113" i="5"/>
  <c r="H113" i="5"/>
  <c r="F113" i="5"/>
  <c r="C113" i="5"/>
  <c r="N112" i="5"/>
  <c r="K112" i="5"/>
  <c r="H112" i="5"/>
  <c r="F112" i="5"/>
  <c r="C112" i="5"/>
  <c r="N111" i="5"/>
  <c r="K111" i="5"/>
  <c r="H111" i="5"/>
  <c r="F111" i="5"/>
  <c r="C111" i="5"/>
  <c r="N110" i="5"/>
  <c r="K110" i="5"/>
  <c r="H110" i="5"/>
  <c r="F110" i="5"/>
  <c r="C110" i="5"/>
  <c r="N109" i="5"/>
  <c r="K109" i="5"/>
  <c r="H109" i="5"/>
  <c r="F109" i="5"/>
  <c r="C109" i="5"/>
  <c r="N108" i="5"/>
  <c r="K108" i="5"/>
  <c r="H108" i="5"/>
  <c r="F108" i="5"/>
  <c r="C108" i="5"/>
  <c r="N107" i="5"/>
  <c r="K107" i="5"/>
  <c r="H107" i="5"/>
  <c r="F107" i="5"/>
  <c r="C107" i="5"/>
  <c r="N106" i="5"/>
  <c r="K106" i="5"/>
  <c r="H106" i="5"/>
  <c r="F106" i="5"/>
  <c r="C106" i="5"/>
  <c r="N105" i="5"/>
  <c r="K105" i="5"/>
  <c r="H105" i="5"/>
  <c r="F105" i="5"/>
  <c r="C105" i="5"/>
  <c r="N104" i="5"/>
  <c r="K104" i="5"/>
  <c r="H104" i="5"/>
  <c r="F104" i="5"/>
  <c r="C104" i="5"/>
  <c r="N103" i="5"/>
  <c r="K103" i="5"/>
  <c r="H103" i="5"/>
  <c r="F103" i="5"/>
  <c r="C103" i="5"/>
  <c r="N102" i="5"/>
  <c r="K102" i="5"/>
  <c r="H102" i="5"/>
  <c r="F102" i="5"/>
  <c r="C102" i="5"/>
  <c r="N101" i="5"/>
  <c r="K101" i="5"/>
  <c r="H101" i="5"/>
  <c r="F101" i="5"/>
  <c r="C101" i="5"/>
  <c r="N100" i="5"/>
  <c r="M100" i="5"/>
  <c r="K100" i="5"/>
  <c r="H100" i="5"/>
  <c r="F100" i="5"/>
  <c r="C100" i="5"/>
  <c r="N99" i="5"/>
  <c r="K99" i="5"/>
  <c r="H99" i="5"/>
  <c r="F99" i="5"/>
  <c r="C99" i="5"/>
  <c r="N98" i="5"/>
  <c r="K98" i="5"/>
  <c r="H98" i="5"/>
  <c r="F98" i="5"/>
  <c r="C98" i="5"/>
  <c r="N97" i="5"/>
  <c r="K97" i="5"/>
  <c r="H97" i="5"/>
  <c r="F97" i="5"/>
  <c r="C97" i="5"/>
  <c r="N96" i="5"/>
  <c r="K96" i="5"/>
  <c r="H96" i="5"/>
  <c r="F96" i="5"/>
  <c r="C96" i="5"/>
  <c r="N95" i="5"/>
  <c r="K95" i="5"/>
  <c r="H95" i="5"/>
  <c r="F95" i="5"/>
  <c r="C95" i="5"/>
  <c r="N94" i="5"/>
  <c r="K94" i="5"/>
  <c r="H94" i="5"/>
  <c r="F94" i="5"/>
  <c r="C94" i="5"/>
  <c r="N93" i="5"/>
  <c r="K93" i="5"/>
  <c r="H93" i="5"/>
  <c r="F93" i="5"/>
  <c r="C93" i="5"/>
  <c r="N92" i="5"/>
  <c r="K92" i="5"/>
  <c r="H92" i="5"/>
  <c r="F92" i="5"/>
  <c r="C92" i="5"/>
  <c r="N91" i="5"/>
  <c r="K91" i="5"/>
  <c r="H91" i="5"/>
  <c r="F91" i="5"/>
  <c r="C91" i="5"/>
  <c r="N90" i="5"/>
  <c r="K90" i="5"/>
  <c r="H90" i="5"/>
  <c r="F90" i="5"/>
  <c r="C90" i="5"/>
  <c r="N89" i="5"/>
  <c r="K89" i="5"/>
  <c r="H89" i="5"/>
  <c r="F89" i="5"/>
  <c r="C89" i="5"/>
  <c r="N88" i="5"/>
  <c r="K88" i="5"/>
  <c r="H88" i="5"/>
  <c r="F88" i="5"/>
  <c r="C88" i="5"/>
  <c r="N87" i="5"/>
  <c r="K87" i="5"/>
  <c r="H87" i="5"/>
  <c r="F87" i="5"/>
  <c r="C87" i="5"/>
  <c r="N86" i="5"/>
  <c r="K86" i="5"/>
  <c r="H86" i="5"/>
  <c r="F86" i="5"/>
  <c r="C86" i="5"/>
  <c r="N85" i="5"/>
  <c r="K85" i="5"/>
  <c r="H85" i="5"/>
  <c r="F85" i="5"/>
  <c r="C85" i="5"/>
  <c r="N84" i="5"/>
  <c r="K84" i="5"/>
  <c r="H84" i="5"/>
  <c r="F84" i="5"/>
  <c r="C84" i="5"/>
  <c r="N83" i="5"/>
  <c r="L83" i="5"/>
  <c r="K83" i="5"/>
  <c r="H83" i="5"/>
  <c r="F83" i="5"/>
  <c r="C83" i="5"/>
  <c r="N82" i="5"/>
  <c r="K82" i="5"/>
  <c r="H82" i="5"/>
  <c r="F82" i="5"/>
  <c r="C82" i="5"/>
  <c r="N81" i="5"/>
  <c r="K81" i="5"/>
  <c r="H81" i="5"/>
  <c r="F81" i="5"/>
  <c r="C81" i="5"/>
  <c r="N80" i="5"/>
  <c r="K80" i="5"/>
  <c r="H80" i="5"/>
  <c r="F80" i="5"/>
  <c r="C80" i="5"/>
  <c r="N79" i="5"/>
  <c r="K79" i="5"/>
  <c r="H79" i="5"/>
  <c r="F79" i="5"/>
  <c r="C79" i="5"/>
  <c r="N78" i="5"/>
  <c r="K78" i="5"/>
  <c r="H78" i="5"/>
  <c r="F78" i="5"/>
  <c r="C78" i="5"/>
  <c r="N77" i="5"/>
  <c r="K77" i="5"/>
  <c r="H77" i="5"/>
  <c r="F77" i="5"/>
  <c r="C77" i="5"/>
  <c r="N76" i="5"/>
  <c r="M76" i="5"/>
  <c r="K76" i="5"/>
  <c r="H76" i="5"/>
  <c r="F76" i="5"/>
  <c r="C76" i="5"/>
  <c r="N75" i="5"/>
  <c r="K75" i="5"/>
  <c r="H75" i="5"/>
  <c r="F75" i="5"/>
  <c r="C75" i="5"/>
  <c r="N74" i="5"/>
  <c r="L74" i="5"/>
  <c r="K74" i="5"/>
  <c r="H74" i="5"/>
  <c r="F74" i="5"/>
  <c r="C74" i="5"/>
  <c r="N73" i="5"/>
  <c r="K73" i="5"/>
  <c r="H73" i="5"/>
  <c r="F73" i="5"/>
  <c r="C73" i="5"/>
  <c r="N72" i="5"/>
  <c r="K72" i="5"/>
  <c r="H72" i="5"/>
  <c r="F72" i="5"/>
  <c r="C72" i="5"/>
  <c r="N71" i="5"/>
  <c r="L71" i="5"/>
  <c r="K71" i="5"/>
  <c r="H71" i="5"/>
  <c r="F71" i="5"/>
  <c r="C71" i="5"/>
  <c r="N70" i="5"/>
  <c r="K70" i="5"/>
  <c r="H70" i="5"/>
  <c r="F70" i="5"/>
  <c r="C70" i="5"/>
  <c r="N69" i="5"/>
  <c r="K69" i="5"/>
  <c r="H69" i="5"/>
  <c r="F69" i="5"/>
  <c r="C69" i="5"/>
  <c r="N68" i="5"/>
  <c r="K68" i="5"/>
  <c r="H68" i="5"/>
  <c r="F68" i="5"/>
  <c r="C68" i="5"/>
  <c r="N67" i="5"/>
  <c r="K67" i="5"/>
  <c r="H67" i="5"/>
  <c r="F67" i="5"/>
  <c r="C67" i="5"/>
  <c r="N66" i="5"/>
  <c r="K66" i="5"/>
  <c r="H66" i="5"/>
  <c r="F66" i="5"/>
  <c r="C66" i="5"/>
  <c r="N65" i="5"/>
  <c r="K65" i="5"/>
  <c r="H65" i="5"/>
  <c r="F65" i="5"/>
  <c r="C65" i="5"/>
  <c r="N64" i="5"/>
  <c r="K64" i="5"/>
  <c r="H64" i="5"/>
  <c r="F64" i="5"/>
  <c r="C64" i="5"/>
  <c r="N63" i="5"/>
  <c r="K63" i="5"/>
  <c r="H63" i="5"/>
  <c r="F63" i="5"/>
  <c r="C63" i="5"/>
  <c r="N62" i="5"/>
  <c r="K62" i="5"/>
  <c r="H62" i="5"/>
  <c r="F62" i="5"/>
  <c r="C62" i="5"/>
  <c r="N61" i="5"/>
  <c r="K61" i="5"/>
  <c r="H61" i="5"/>
  <c r="F61" i="5"/>
  <c r="C61" i="5"/>
  <c r="N60" i="5"/>
  <c r="K60" i="5"/>
  <c r="H60" i="5"/>
  <c r="F60" i="5"/>
  <c r="C60" i="5"/>
  <c r="N59" i="5"/>
  <c r="K59" i="5"/>
  <c r="H59" i="5"/>
  <c r="F59" i="5"/>
  <c r="C59" i="5"/>
  <c r="N58" i="5"/>
  <c r="K58" i="5"/>
  <c r="H58" i="5"/>
  <c r="F58" i="5"/>
  <c r="C58" i="5"/>
  <c r="N57" i="5"/>
  <c r="K57" i="5"/>
  <c r="H57" i="5"/>
  <c r="F57" i="5"/>
  <c r="C57" i="5"/>
  <c r="N56" i="5"/>
  <c r="K56" i="5"/>
  <c r="H56" i="5"/>
  <c r="F56" i="5"/>
  <c r="C56" i="5"/>
  <c r="N55" i="5"/>
  <c r="K55" i="5"/>
  <c r="H55" i="5"/>
  <c r="F55" i="5"/>
  <c r="C55" i="5"/>
  <c r="N54" i="5"/>
  <c r="K54" i="5"/>
  <c r="H54" i="5"/>
  <c r="F54" i="5"/>
  <c r="C54" i="5"/>
  <c r="N53" i="5"/>
  <c r="K53" i="5"/>
  <c r="H53" i="5"/>
  <c r="F53" i="5"/>
  <c r="C53" i="5"/>
  <c r="N52" i="5"/>
  <c r="K52" i="5"/>
  <c r="H52" i="5"/>
  <c r="F52" i="5"/>
  <c r="C52" i="5"/>
  <c r="N51" i="5"/>
  <c r="K51" i="5"/>
  <c r="H51" i="5"/>
  <c r="F51" i="5"/>
  <c r="C51" i="5"/>
  <c r="N50" i="5"/>
  <c r="L50" i="5"/>
  <c r="K50" i="5"/>
  <c r="H50" i="5"/>
  <c r="F50" i="5"/>
  <c r="C50" i="5"/>
  <c r="N49" i="5"/>
  <c r="K49" i="5"/>
  <c r="H49" i="5"/>
  <c r="F49" i="5"/>
  <c r="C49" i="5"/>
  <c r="N48" i="5"/>
  <c r="K48" i="5"/>
  <c r="H48" i="5"/>
  <c r="F48" i="5"/>
  <c r="C48" i="5"/>
  <c r="N47" i="5"/>
  <c r="K47" i="5"/>
  <c r="H47" i="5"/>
  <c r="F47" i="5"/>
  <c r="C47" i="5"/>
  <c r="N46" i="5"/>
  <c r="K46" i="5"/>
  <c r="H46" i="5"/>
  <c r="F46" i="5"/>
  <c r="C46" i="5"/>
  <c r="N45" i="5"/>
  <c r="K45" i="5"/>
  <c r="H45" i="5"/>
  <c r="F45" i="5"/>
  <c r="C45" i="5"/>
  <c r="N44" i="5"/>
  <c r="K44" i="5"/>
  <c r="H44" i="5"/>
  <c r="F44" i="5"/>
  <c r="C44" i="5"/>
  <c r="N43" i="5"/>
  <c r="M43" i="5"/>
  <c r="K43" i="5"/>
  <c r="H43" i="5"/>
  <c r="F43" i="5"/>
  <c r="C43" i="5"/>
  <c r="N42" i="5"/>
  <c r="K42" i="5"/>
  <c r="H42" i="5"/>
  <c r="F42" i="5"/>
  <c r="C42" i="5"/>
  <c r="N41" i="5"/>
  <c r="K41" i="5"/>
  <c r="H41" i="5"/>
  <c r="F41" i="5"/>
  <c r="C41" i="5"/>
  <c r="N40" i="5"/>
  <c r="K40" i="5"/>
  <c r="H40" i="5"/>
  <c r="F40" i="5"/>
  <c r="C40" i="5"/>
  <c r="N39" i="5"/>
  <c r="K39" i="5"/>
  <c r="H39" i="5"/>
  <c r="F39" i="5"/>
  <c r="C39" i="5"/>
  <c r="N38" i="5"/>
  <c r="K38" i="5"/>
  <c r="H38" i="5"/>
  <c r="F38" i="5"/>
  <c r="C38" i="5"/>
  <c r="N37" i="5"/>
  <c r="K37" i="5"/>
  <c r="H37" i="5"/>
  <c r="F37" i="5"/>
  <c r="C37" i="5"/>
  <c r="N36" i="5"/>
  <c r="K36" i="5"/>
  <c r="H36" i="5"/>
  <c r="F36" i="5"/>
  <c r="C36" i="5"/>
  <c r="N35" i="5"/>
  <c r="K35" i="5"/>
  <c r="H35" i="5"/>
  <c r="F35" i="5"/>
  <c r="C35" i="5"/>
  <c r="N34" i="5"/>
  <c r="K34" i="5"/>
  <c r="H34" i="5"/>
  <c r="F34" i="5"/>
  <c r="C34" i="5"/>
  <c r="N33" i="5"/>
  <c r="K33" i="5"/>
  <c r="H33" i="5"/>
  <c r="F33" i="5"/>
  <c r="C33" i="5"/>
  <c r="N32" i="5"/>
  <c r="K32" i="5"/>
  <c r="H32" i="5"/>
  <c r="F32" i="5"/>
  <c r="C32" i="5"/>
  <c r="N31" i="5"/>
  <c r="K31" i="5"/>
  <c r="H31" i="5"/>
  <c r="F31" i="5"/>
  <c r="C31" i="5"/>
  <c r="N30" i="5"/>
  <c r="K30" i="5"/>
  <c r="H30" i="5"/>
  <c r="F30" i="5"/>
  <c r="C30" i="5"/>
  <c r="N29" i="5"/>
  <c r="K29" i="5"/>
  <c r="H29" i="5"/>
  <c r="F29" i="5"/>
  <c r="C29" i="5"/>
  <c r="N28" i="5"/>
  <c r="M28" i="5"/>
  <c r="K28" i="5"/>
  <c r="H28" i="5"/>
  <c r="F28" i="5"/>
  <c r="C28" i="5"/>
  <c r="N27" i="5"/>
  <c r="K27" i="5"/>
  <c r="H27" i="5"/>
  <c r="F27" i="5"/>
  <c r="C27" i="5"/>
  <c r="N26" i="5"/>
  <c r="L26" i="5"/>
  <c r="K26" i="5"/>
  <c r="H26" i="5"/>
  <c r="F26" i="5"/>
  <c r="C26" i="5"/>
  <c r="N25" i="5"/>
  <c r="K25" i="5"/>
  <c r="H25" i="5"/>
  <c r="F25" i="5"/>
  <c r="C25" i="5"/>
  <c r="N24" i="5"/>
  <c r="K24" i="5"/>
  <c r="H24" i="5"/>
  <c r="F24" i="5"/>
  <c r="C24" i="5"/>
  <c r="N23" i="5"/>
  <c r="K23" i="5"/>
  <c r="H23" i="5"/>
  <c r="F23" i="5"/>
  <c r="C23" i="5"/>
  <c r="N22" i="5"/>
  <c r="K22" i="5"/>
  <c r="H22" i="5"/>
  <c r="F22" i="5"/>
  <c r="C22" i="5"/>
  <c r="N21" i="5"/>
  <c r="K21" i="5"/>
  <c r="H21" i="5"/>
  <c r="F21" i="5"/>
  <c r="C21" i="5"/>
  <c r="N20" i="5"/>
  <c r="K20" i="5"/>
  <c r="H20" i="5"/>
  <c r="F20" i="5"/>
  <c r="C20" i="5"/>
  <c r="N19" i="5"/>
  <c r="K19" i="5"/>
  <c r="H19" i="5"/>
  <c r="F19" i="5"/>
  <c r="C19" i="5"/>
  <c r="N18" i="5"/>
  <c r="K18" i="5"/>
  <c r="H18" i="5"/>
  <c r="F18" i="5"/>
  <c r="C18" i="5"/>
  <c r="N17" i="5"/>
  <c r="K17" i="5"/>
  <c r="H17" i="5"/>
  <c r="F17" i="5"/>
  <c r="C17" i="5"/>
  <c r="N16" i="5"/>
  <c r="K16" i="5"/>
  <c r="H16" i="5"/>
  <c r="F16" i="5"/>
  <c r="C16" i="5"/>
  <c r="N15" i="5"/>
  <c r="K15" i="5"/>
  <c r="H15" i="5"/>
  <c r="F15" i="5"/>
  <c r="C15" i="5"/>
  <c r="N14" i="5"/>
  <c r="K14" i="5"/>
  <c r="H14" i="5"/>
  <c r="F14" i="5"/>
  <c r="C14" i="5"/>
  <c r="N13" i="5"/>
  <c r="K13" i="5"/>
  <c r="H13" i="5"/>
  <c r="F13" i="5"/>
  <c r="C13" i="5"/>
  <c r="N12" i="5"/>
  <c r="K12" i="5"/>
  <c r="H12" i="5"/>
  <c r="F12" i="5"/>
  <c r="C12" i="5"/>
  <c r="N11" i="5"/>
  <c r="K11" i="5"/>
  <c r="H11" i="5"/>
  <c r="F11" i="5"/>
  <c r="C11" i="5"/>
  <c r="N10" i="5"/>
  <c r="K10" i="5"/>
  <c r="H10" i="5"/>
  <c r="F10" i="5"/>
  <c r="C10" i="5"/>
  <c r="N9" i="5"/>
  <c r="K9" i="5"/>
  <c r="H9" i="5"/>
  <c r="F9" i="5"/>
  <c r="C9" i="5"/>
  <c r="N8" i="5"/>
  <c r="K8" i="5"/>
  <c r="H8" i="5"/>
  <c r="F8" i="5"/>
  <c r="C8" i="5"/>
  <c r="N7" i="5"/>
  <c r="K7" i="5"/>
  <c r="H7" i="5"/>
  <c r="F7" i="5"/>
  <c r="C7" i="5"/>
  <c r="N6" i="5"/>
  <c r="K6" i="5"/>
  <c r="H6" i="5"/>
  <c r="F6" i="5"/>
  <c r="C6" i="5"/>
  <c r="N5" i="5"/>
  <c r="K5" i="5"/>
  <c r="H5" i="5"/>
  <c r="F5" i="5"/>
  <c r="C5" i="5"/>
  <c r="N4" i="5"/>
  <c r="K4" i="5"/>
  <c r="H4" i="5"/>
  <c r="F4" i="5"/>
  <c r="C4" i="5"/>
  <c r="N3" i="5"/>
  <c r="K3" i="5"/>
  <c r="H3" i="5"/>
  <c r="F3" i="5"/>
  <c r="C3" i="5"/>
  <c r="N2" i="5"/>
  <c r="L2" i="5"/>
  <c r="K2" i="5"/>
  <c r="H2" i="5"/>
  <c r="F2" i="5"/>
  <c r="C2" i="5"/>
  <c r="L300" i="4"/>
  <c r="K300" i="4"/>
  <c r="J300" i="4"/>
  <c r="I300" i="4"/>
  <c r="L299" i="4"/>
  <c r="K299" i="4"/>
  <c r="J299" i="4"/>
  <c r="I299" i="4"/>
  <c r="L298" i="4"/>
  <c r="K298" i="4"/>
  <c r="J298" i="4"/>
  <c r="I298" i="4"/>
  <c r="L297" i="4"/>
  <c r="K297" i="4"/>
  <c r="J297" i="4"/>
  <c r="I297" i="4"/>
  <c r="L296" i="4"/>
  <c r="K296" i="4"/>
  <c r="J296" i="4"/>
  <c r="I296" i="4"/>
  <c r="L295" i="4"/>
  <c r="K295" i="4"/>
  <c r="J295" i="4"/>
  <c r="I295" i="4"/>
  <c r="L294" i="4"/>
  <c r="K294" i="4"/>
  <c r="J294" i="4"/>
  <c r="I294" i="4"/>
  <c r="L293" i="4"/>
  <c r="K293" i="4"/>
  <c r="J293" i="4"/>
  <c r="I293" i="4"/>
  <c r="L292" i="4"/>
  <c r="K292" i="4"/>
  <c r="J292" i="4"/>
  <c r="I292" i="4"/>
  <c r="L291" i="4"/>
  <c r="K291" i="4"/>
  <c r="J291" i="4"/>
  <c r="I291" i="4"/>
  <c r="L290" i="4"/>
  <c r="K290" i="4"/>
  <c r="J290" i="4"/>
  <c r="I290" i="4"/>
  <c r="L289" i="4"/>
  <c r="K289" i="4"/>
  <c r="J289" i="4"/>
  <c r="I289" i="4"/>
  <c r="L288" i="4"/>
  <c r="K288" i="4"/>
  <c r="J288" i="4"/>
  <c r="I288" i="4"/>
  <c r="L287" i="4"/>
  <c r="K287" i="4"/>
  <c r="J287" i="4"/>
  <c r="I287" i="4"/>
  <c r="L286" i="4"/>
  <c r="K286" i="4"/>
  <c r="J286" i="4"/>
  <c r="I286" i="4"/>
  <c r="L285" i="4"/>
  <c r="K285" i="4"/>
  <c r="J285" i="4"/>
  <c r="I285" i="4"/>
  <c r="L284" i="4"/>
  <c r="K284" i="4"/>
  <c r="J284" i="4"/>
  <c r="I284" i="4"/>
  <c r="L283" i="4"/>
  <c r="K283" i="4"/>
  <c r="J283" i="4"/>
  <c r="I283" i="4"/>
  <c r="L282" i="4"/>
  <c r="K282" i="4"/>
  <c r="J282" i="4"/>
  <c r="I282" i="4"/>
  <c r="L281" i="4"/>
  <c r="K281" i="4"/>
  <c r="J281" i="4"/>
  <c r="I281" i="4"/>
  <c r="L280" i="4"/>
  <c r="K280" i="4"/>
  <c r="J280" i="4"/>
  <c r="I280" i="4"/>
  <c r="L279" i="4"/>
  <c r="K279" i="4"/>
  <c r="J279" i="4"/>
  <c r="I279" i="4"/>
  <c r="L278" i="4"/>
  <c r="K278" i="4"/>
  <c r="J278" i="4"/>
  <c r="I278" i="4"/>
  <c r="L277" i="4"/>
  <c r="K277" i="4"/>
  <c r="J277" i="4"/>
  <c r="I277" i="4"/>
  <c r="L276" i="4"/>
  <c r="K276" i="4"/>
  <c r="J276" i="4"/>
  <c r="I276" i="4"/>
  <c r="L275" i="4"/>
  <c r="K275" i="4"/>
  <c r="J275" i="4"/>
  <c r="I275" i="4"/>
  <c r="L274" i="4"/>
  <c r="K274" i="4"/>
  <c r="J274" i="4"/>
  <c r="I274" i="4"/>
  <c r="L273" i="4"/>
  <c r="K273" i="4"/>
  <c r="J273" i="4"/>
  <c r="I273" i="4"/>
  <c r="L272" i="4"/>
  <c r="K272" i="4"/>
  <c r="J272" i="4"/>
  <c r="I272" i="4"/>
  <c r="L271" i="4"/>
  <c r="K271" i="4"/>
  <c r="J271" i="4"/>
  <c r="I271" i="4"/>
  <c r="L270" i="4"/>
  <c r="K270" i="4"/>
  <c r="J270" i="4"/>
  <c r="I270" i="4"/>
  <c r="L269" i="4"/>
  <c r="K269" i="4"/>
  <c r="J269" i="4"/>
  <c r="I269" i="4"/>
  <c r="L268" i="4"/>
  <c r="K268" i="4"/>
  <c r="J268" i="4"/>
  <c r="I268" i="4"/>
  <c r="L267" i="4"/>
  <c r="K267" i="4"/>
  <c r="J267" i="4"/>
  <c r="I267" i="4"/>
  <c r="L266" i="4"/>
  <c r="K266" i="4"/>
  <c r="J266" i="4"/>
  <c r="I266" i="4"/>
  <c r="L265" i="4"/>
  <c r="K265" i="4"/>
  <c r="J265" i="4"/>
  <c r="I265" i="4"/>
  <c r="L264" i="4"/>
  <c r="K264" i="4"/>
  <c r="J264" i="4"/>
  <c r="I264" i="4"/>
  <c r="L263" i="4"/>
  <c r="K263" i="4"/>
  <c r="J263" i="4"/>
  <c r="I263" i="4"/>
  <c r="L262" i="4"/>
  <c r="K262" i="4"/>
  <c r="J262" i="4"/>
  <c r="I262" i="4"/>
  <c r="L261" i="4"/>
  <c r="K261" i="4"/>
  <c r="J261" i="4"/>
  <c r="I261" i="4"/>
  <c r="L260" i="4"/>
  <c r="K260" i="4"/>
  <c r="J260" i="4"/>
  <c r="I260" i="4"/>
  <c r="L259" i="4"/>
  <c r="K259" i="4"/>
  <c r="J259" i="4"/>
  <c r="I259" i="4"/>
  <c r="L258" i="4"/>
  <c r="K258" i="4"/>
  <c r="J258" i="4"/>
  <c r="I258" i="4"/>
  <c r="L257" i="4"/>
  <c r="K257" i="4"/>
  <c r="J257" i="4"/>
  <c r="I257" i="4"/>
  <c r="L256" i="4"/>
  <c r="K256" i="4"/>
  <c r="J256" i="4"/>
  <c r="I256" i="4"/>
  <c r="L255" i="4"/>
  <c r="K255" i="4"/>
  <c r="J255" i="4"/>
  <c r="I255" i="4"/>
  <c r="L254" i="4"/>
  <c r="K254" i="4"/>
  <c r="J254" i="4"/>
  <c r="I254" i="4"/>
  <c r="L253" i="4"/>
  <c r="K253" i="4"/>
  <c r="J253" i="4"/>
  <c r="I253" i="4"/>
  <c r="L252" i="4"/>
  <c r="K252" i="4"/>
  <c r="J252" i="4"/>
  <c r="I252" i="4"/>
  <c r="L251" i="4"/>
  <c r="K251" i="4"/>
  <c r="J251" i="4"/>
  <c r="I251" i="4"/>
  <c r="L250" i="4"/>
  <c r="K250" i="4"/>
  <c r="J250" i="4"/>
  <c r="I250" i="4"/>
  <c r="L249" i="4"/>
  <c r="K249" i="4"/>
  <c r="J249" i="4"/>
  <c r="I249" i="4"/>
  <c r="L248" i="4"/>
  <c r="K248" i="4"/>
  <c r="J248" i="4"/>
  <c r="I248" i="4"/>
  <c r="L247" i="4"/>
  <c r="K247" i="4"/>
  <c r="J247" i="4"/>
  <c r="I247" i="4"/>
  <c r="L246" i="4"/>
  <c r="K246" i="4"/>
  <c r="J246" i="4"/>
  <c r="I246" i="4"/>
  <c r="L245" i="4"/>
  <c r="K245" i="4"/>
  <c r="J245" i="4"/>
  <c r="I245" i="4"/>
  <c r="L244" i="4"/>
  <c r="K244" i="4"/>
  <c r="J244" i="4"/>
  <c r="I244" i="4"/>
  <c r="L243" i="4"/>
  <c r="K243" i="4"/>
  <c r="J243" i="4"/>
  <c r="I243" i="4"/>
  <c r="L242" i="4"/>
  <c r="K242" i="4"/>
  <c r="J242" i="4"/>
  <c r="I242" i="4"/>
  <c r="L241" i="4"/>
  <c r="K241" i="4"/>
  <c r="J241" i="4"/>
  <c r="I241" i="4"/>
  <c r="L240" i="4"/>
  <c r="K240" i="4"/>
  <c r="J240" i="4"/>
  <c r="I240" i="4"/>
  <c r="L239" i="4"/>
  <c r="K239" i="4"/>
  <c r="J239" i="4"/>
  <c r="I239" i="4"/>
  <c r="L238" i="4"/>
  <c r="K238" i="4"/>
  <c r="J238" i="4"/>
  <c r="I238" i="4"/>
  <c r="L237" i="4"/>
  <c r="K237" i="4"/>
  <c r="J237" i="4"/>
  <c r="I237" i="4"/>
  <c r="L236" i="4"/>
  <c r="K236" i="4"/>
  <c r="J236" i="4"/>
  <c r="I236" i="4"/>
  <c r="L235" i="4"/>
  <c r="K235" i="4"/>
  <c r="J235" i="4"/>
  <c r="I235" i="4"/>
  <c r="L234" i="4"/>
  <c r="K234" i="4"/>
  <c r="J234" i="4"/>
  <c r="I234" i="4"/>
  <c r="L233" i="4"/>
  <c r="K233" i="4"/>
  <c r="J233" i="4"/>
  <c r="I233" i="4"/>
  <c r="L232" i="4"/>
  <c r="K232" i="4"/>
  <c r="J232" i="4"/>
  <c r="I232" i="4"/>
  <c r="L231" i="4"/>
  <c r="K231" i="4"/>
  <c r="J231" i="4"/>
  <c r="I231" i="4"/>
  <c r="L230" i="4"/>
  <c r="K230" i="4"/>
  <c r="J230" i="4"/>
  <c r="I230" i="4"/>
  <c r="L229" i="4"/>
  <c r="K229" i="4"/>
  <c r="J229" i="4"/>
  <c r="I229" i="4"/>
  <c r="L228" i="4"/>
  <c r="K228" i="4"/>
  <c r="J228" i="4"/>
  <c r="I228" i="4"/>
  <c r="L227" i="4"/>
  <c r="K227" i="4"/>
  <c r="J227" i="4"/>
  <c r="I227" i="4"/>
  <c r="L226" i="4"/>
  <c r="K226" i="4"/>
  <c r="J226" i="4"/>
  <c r="I226" i="4"/>
  <c r="L225" i="4"/>
  <c r="K225" i="4"/>
  <c r="J225" i="4"/>
  <c r="I225" i="4"/>
  <c r="L224" i="4"/>
  <c r="K224" i="4"/>
  <c r="J224" i="4"/>
  <c r="I224" i="4"/>
  <c r="L223" i="4"/>
  <c r="K223" i="4"/>
  <c r="J223" i="4"/>
  <c r="I223" i="4"/>
  <c r="L222" i="4"/>
  <c r="K222" i="4"/>
  <c r="J222" i="4"/>
  <c r="I222" i="4"/>
  <c r="L221" i="4"/>
  <c r="K221" i="4"/>
  <c r="J221" i="4"/>
  <c r="I221" i="4"/>
  <c r="L220" i="4"/>
  <c r="K220" i="4"/>
  <c r="J220" i="4"/>
  <c r="I220" i="4"/>
  <c r="L219" i="4"/>
  <c r="K219" i="4"/>
  <c r="J219" i="4"/>
  <c r="I219" i="4"/>
  <c r="L218" i="4"/>
  <c r="K218" i="4"/>
  <c r="J218" i="4"/>
  <c r="I218" i="4"/>
  <c r="L217" i="4"/>
  <c r="K217" i="4"/>
  <c r="J217" i="4"/>
  <c r="I217" i="4"/>
  <c r="L216" i="4"/>
  <c r="K216" i="4"/>
  <c r="J216" i="4"/>
  <c r="I216" i="4"/>
  <c r="L215" i="4"/>
  <c r="K215" i="4"/>
  <c r="J215" i="4"/>
  <c r="I215" i="4"/>
  <c r="L214" i="4"/>
  <c r="K214" i="4"/>
  <c r="J214" i="4"/>
  <c r="I214" i="4"/>
  <c r="L213" i="4"/>
  <c r="K213" i="4"/>
  <c r="J213" i="4"/>
  <c r="I213" i="4"/>
  <c r="L212" i="4"/>
  <c r="K212" i="4"/>
  <c r="J212" i="4"/>
  <c r="I212" i="4"/>
  <c r="L211" i="4"/>
  <c r="K211" i="4"/>
  <c r="J211" i="4"/>
  <c r="I211" i="4"/>
  <c r="L210" i="4"/>
  <c r="K210" i="4"/>
  <c r="J210" i="4"/>
  <c r="I210" i="4"/>
  <c r="L209" i="4"/>
  <c r="K209" i="4"/>
  <c r="J209" i="4"/>
  <c r="I209" i="4"/>
  <c r="L208" i="4"/>
  <c r="K208" i="4"/>
  <c r="J208" i="4"/>
  <c r="I208" i="4"/>
  <c r="L207" i="4"/>
  <c r="K207" i="4"/>
  <c r="J207" i="4"/>
  <c r="I207" i="4"/>
  <c r="L206" i="4"/>
  <c r="K206" i="4"/>
  <c r="J206" i="4"/>
  <c r="I206" i="4"/>
  <c r="L205" i="4"/>
  <c r="K205" i="4"/>
  <c r="J205" i="4"/>
  <c r="I205" i="4"/>
  <c r="L204" i="4"/>
  <c r="K204" i="4"/>
  <c r="J204" i="4"/>
  <c r="I204" i="4"/>
  <c r="L203" i="4"/>
  <c r="K203" i="4"/>
  <c r="J203" i="4"/>
  <c r="I203" i="4"/>
  <c r="L202" i="4"/>
  <c r="K202" i="4"/>
  <c r="J202" i="4"/>
  <c r="I202" i="4"/>
  <c r="L201" i="4"/>
  <c r="K201" i="4"/>
  <c r="J201" i="4"/>
  <c r="I201" i="4"/>
  <c r="L200" i="4"/>
  <c r="K200" i="4"/>
  <c r="J200" i="4"/>
  <c r="I200" i="4"/>
  <c r="L199" i="4"/>
  <c r="K199" i="4"/>
  <c r="J199" i="4"/>
  <c r="I199" i="4"/>
  <c r="L198" i="4"/>
  <c r="K198" i="4"/>
  <c r="J198" i="4"/>
  <c r="I198" i="4"/>
  <c r="L197" i="4"/>
  <c r="K197" i="4"/>
  <c r="J197" i="4"/>
  <c r="I197" i="4"/>
  <c r="L196" i="4"/>
  <c r="K196" i="4"/>
  <c r="J196" i="4"/>
  <c r="I196" i="4"/>
  <c r="L195" i="4"/>
  <c r="K195" i="4"/>
  <c r="J195" i="4"/>
  <c r="I195" i="4"/>
  <c r="L194" i="4"/>
  <c r="K194" i="4"/>
  <c r="J194" i="4"/>
  <c r="I194" i="4"/>
  <c r="L193" i="4"/>
  <c r="K193" i="4"/>
  <c r="J193" i="4"/>
  <c r="I193" i="4"/>
  <c r="L192" i="4"/>
  <c r="K192" i="4"/>
  <c r="J192" i="4"/>
  <c r="I192" i="4"/>
  <c r="L191" i="4"/>
  <c r="K191" i="4"/>
  <c r="J191" i="4"/>
  <c r="I191" i="4"/>
  <c r="L190" i="4"/>
  <c r="K190" i="4"/>
  <c r="J190" i="4"/>
  <c r="I190" i="4"/>
  <c r="L189" i="4"/>
  <c r="K189" i="4"/>
  <c r="J189" i="4"/>
  <c r="I189" i="4"/>
  <c r="L188" i="4"/>
  <c r="K188" i="4"/>
  <c r="J188" i="4"/>
  <c r="I188" i="4"/>
  <c r="L187" i="4"/>
  <c r="K187" i="4"/>
  <c r="J187" i="4"/>
  <c r="I187" i="4"/>
  <c r="L186" i="4"/>
  <c r="K186" i="4"/>
  <c r="J186" i="4"/>
  <c r="I186" i="4"/>
  <c r="L185" i="4"/>
  <c r="K185" i="4"/>
  <c r="J185" i="4"/>
  <c r="I185" i="4"/>
  <c r="L184" i="4"/>
  <c r="K184" i="4"/>
  <c r="J184" i="4"/>
  <c r="I184" i="4"/>
  <c r="L183" i="4"/>
  <c r="K183" i="4"/>
  <c r="J183" i="4"/>
  <c r="I183" i="4"/>
  <c r="L182" i="4"/>
  <c r="K182" i="4"/>
  <c r="J182" i="4"/>
  <c r="I182" i="4"/>
  <c r="L181" i="4"/>
  <c r="K181" i="4"/>
  <c r="J181" i="4"/>
  <c r="I181" i="4"/>
  <c r="L180" i="4"/>
  <c r="K180" i="4"/>
  <c r="J180" i="4"/>
  <c r="I180" i="4"/>
  <c r="L179" i="4"/>
  <c r="K179" i="4"/>
  <c r="J179" i="4"/>
  <c r="I179" i="4"/>
  <c r="L178" i="4"/>
  <c r="K178" i="4"/>
  <c r="J178" i="4"/>
  <c r="I178" i="4"/>
  <c r="L177" i="4"/>
  <c r="K177" i="4"/>
  <c r="J177" i="4"/>
  <c r="I177" i="4"/>
  <c r="L176" i="4"/>
  <c r="K176" i="4"/>
  <c r="J176" i="4"/>
  <c r="I176" i="4"/>
  <c r="L175" i="4"/>
  <c r="K175" i="4"/>
  <c r="J175" i="4"/>
  <c r="I175" i="4"/>
  <c r="L174" i="4"/>
  <c r="K174" i="4"/>
  <c r="J174" i="4"/>
  <c r="I174" i="4"/>
  <c r="L173" i="4"/>
  <c r="K173" i="4"/>
  <c r="J173" i="4"/>
  <c r="I173" i="4"/>
  <c r="L172" i="4"/>
  <c r="K172" i="4"/>
  <c r="J172" i="4"/>
  <c r="I172" i="4"/>
  <c r="L171" i="4"/>
  <c r="K171" i="4"/>
  <c r="J171" i="4"/>
  <c r="I171" i="4"/>
  <c r="L170" i="4"/>
  <c r="K170" i="4"/>
  <c r="J170" i="4"/>
  <c r="I170" i="4"/>
  <c r="L169" i="4"/>
  <c r="K169" i="4"/>
  <c r="J169" i="4"/>
  <c r="I169" i="4"/>
  <c r="L168" i="4"/>
  <c r="K168" i="4"/>
  <c r="J168" i="4"/>
  <c r="I168" i="4"/>
  <c r="L167" i="4"/>
  <c r="K167" i="4"/>
  <c r="J167" i="4"/>
  <c r="I167" i="4"/>
  <c r="L166" i="4"/>
  <c r="K166" i="4"/>
  <c r="J166" i="4"/>
  <c r="I166" i="4"/>
  <c r="L165" i="4"/>
  <c r="K165" i="4"/>
  <c r="J165" i="4"/>
  <c r="I165" i="4"/>
  <c r="L164" i="4"/>
  <c r="K164" i="4"/>
  <c r="J164" i="4"/>
  <c r="I164" i="4"/>
  <c r="L163" i="4"/>
  <c r="K163" i="4"/>
  <c r="J163" i="4"/>
  <c r="I163" i="4"/>
  <c r="L162" i="4"/>
  <c r="K162" i="4"/>
  <c r="J162" i="4"/>
  <c r="I162" i="4"/>
  <c r="L161" i="4"/>
  <c r="K161" i="4"/>
  <c r="J161" i="4"/>
  <c r="I161" i="4"/>
  <c r="L160" i="4"/>
  <c r="K160" i="4"/>
  <c r="J160" i="4"/>
  <c r="I160" i="4"/>
  <c r="L159" i="4"/>
  <c r="K159" i="4"/>
  <c r="J159" i="4"/>
  <c r="I159" i="4"/>
  <c r="L158" i="4"/>
  <c r="K158" i="4"/>
  <c r="J158" i="4"/>
  <c r="I158" i="4"/>
  <c r="L157" i="4"/>
  <c r="K157" i="4"/>
  <c r="J157" i="4"/>
  <c r="I157" i="4"/>
  <c r="L156" i="4"/>
  <c r="K156" i="4"/>
  <c r="J156" i="4"/>
  <c r="I156" i="4"/>
  <c r="L155" i="4"/>
  <c r="K155" i="4"/>
  <c r="J155" i="4"/>
  <c r="I155" i="4"/>
  <c r="L154" i="4"/>
  <c r="K154" i="4"/>
  <c r="J154" i="4"/>
  <c r="I154" i="4"/>
  <c r="L153" i="4"/>
  <c r="K153" i="4"/>
  <c r="J153" i="4"/>
  <c r="I153" i="4"/>
  <c r="L152" i="4"/>
  <c r="K152" i="4"/>
  <c r="J152" i="4"/>
  <c r="I152" i="4"/>
  <c r="L151" i="4"/>
  <c r="K151" i="4"/>
  <c r="J151" i="4"/>
  <c r="I151" i="4"/>
  <c r="L150" i="4"/>
  <c r="K150" i="4"/>
  <c r="J150" i="4"/>
  <c r="I150" i="4"/>
  <c r="L149" i="4"/>
  <c r="K149" i="4"/>
  <c r="J149" i="4"/>
  <c r="I149" i="4"/>
  <c r="L148" i="4"/>
  <c r="K148" i="4"/>
  <c r="J148" i="4"/>
  <c r="I148" i="4"/>
  <c r="L147" i="4"/>
  <c r="K147" i="4"/>
  <c r="J147" i="4"/>
  <c r="I147" i="4"/>
  <c r="L146" i="4"/>
  <c r="K146" i="4"/>
  <c r="J146" i="4"/>
  <c r="I146" i="4"/>
  <c r="L145" i="4"/>
  <c r="K145" i="4"/>
  <c r="J145" i="4"/>
  <c r="I145" i="4"/>
  <c r="L144" i="4"/>
  <c r="K144" i="4"/>
  <c r="J144" i="4"/>
  <c r="I144" i="4"/>
  <c r="L143" i="4"/>
  <c r="K143" i="4"/>
  <c r="J143" i="4"/>
  <c r="I143" i="4"/>
  <c r="L142" i="4"/>
  <c r="K142" i="4"/>
  <c r="J142" i="4"/>
  <c r="I142" i="4"/>
  <c r="L141" i="4"/>
  <c r="K141" i="4"/>
  <c r="J141" i="4"/>
  <c r="I141" i="4"/>
  <c r="L140" i="4"/>
  <c r="K140" i="4"/>
  <c r="J140" i="4"/>
  <c r="I140" i="4"/>
  <c r="H140" i="4"/>
  <c r="F140" i="4"/>
  <c r="C140" i="4"/>
  <c r="L139" i="4"/>
  <c r="J139" i="4"/>
  <c r="I139" i="4"/>
  <c r="H139" i="4"/>
  <c r="F139" i="4"/>
  <c r="C139" i="4"/>
  <c r="L138" i="4"/>
  <c r="K138" i="4"/>
  <c r="I138" i="4"/>
  <c r="H138" i="4"/>
  <c r="F138" i="4"/>
  <c r="C138" i="4"/>
  <c r="L137" i="4"/>
  <c r="I137" i="4"/>
  <c r="H137" i="4"/>
  <c r="F137" i="4"/>
  <c r="C137" i="4"/>
  <c r="L136" i="4"/>
  <c r="I136" i="4"/>
  <c r="H136" i="4"/>
  <c r="F136" i="4"/>
  <c r="C136" i="4"/>
  <c r="L135" i="4"/>
  <c r="K135" i="4"/>
  <c r="I135" i="4"/>
  <c r="H135" i="4"/>
  <c r="F135" i="4"/>
  <c r="C135" i="4"/>
  <c r="L134" i="4"/>
  <c r="I134" i="4"/>
  <c r="H134" i="4"/>
  <c r="F134" i="4"/>
  <c r="C134" i="4"/>
  <c r="L133" i="4"/>
  <c r="J133" i="4"/>
  <c r="I133" i="4"/>
  <c r="H133" i="4"/>
  <c r="F133" i="4"/>
  <c r="C133" i="4"/>
  <c r="L132" i="4"/>
  <c r="J132" i="4"/>
  <c r="I132" i="4"/>
  <c r="H132" i="4"/>
  <c r="F132" i="4"/>
  <c r="C132" i="4"/>
  <c r="L131" i="4"/>
  <c r="I131" i="4"/>
  <c r="H131" i="4"/>
  <c r="F131" i="4"/>
  <c r="C131" i="4"/>
  <c r="L130" i="4"/>
  <c r="J130" i="4"/>
  <c r="I130" i="4"/>
  <c r="H130" i="4"/>
  <c r="F130" i="4"/>
  <c r="C130" i="4"/>
  <c r="L129" i="4"/>
  <c r="I129" i="4"/>
  <c r="H129" i="4"/>
  <c r="F129" i="4"/>
  <c r="C129" i="4"/>
  <c r="L128" i="4"/>
  <c r="J128" i="4"/>
  <c r="I128" i="4"/>
  <c r="H128" i="4"/>
  <c r="F128" i="4"/>
  <c r="C128" i="4"/>
  <c r="L127" i="4"/>
  <c r="K127" i="4"/>
  <c r="I127" i="4"/>
  <c r="H127" i="4"/>
  <c r="F127" i="4"/>
  <c r="C127" i="4"/>
  <c r="L126" i="4"/>
  <c r="K126" i="4"/>
  <c r="I126" i="4"/>
  <c r="H126" i="4"/>
  <c r="F126" i="4"/>
  <c r="C126" i="4"/>
  <c r="L125" i="4"/>
  <c r="K125" i="4"/>
  <c r="J125" i="4"/>
  <c r="I125" i="4"/>
  <c r="H125" i="4"/>
  <c r="F125" i="4"/>
  <c r="C125" i="4"/>
  <c r="L124" i="4"/>
  <c r="I124" i="4"/>
  <c r="H124" i="4"/>
  <c r="F124" i="4"/>
  <c r="C124" i="4"/>
  <c r="L123" i="4"/>
  <c r="I123" i="4"/>
  <c r="H123" i="4"/>
  <c r="F123" i="4"/>
  <c r="C123" i="4"/>
  <c r="L122" i="4"/>
  <c r="I122" i="4"/>
  <c r="H122" i="4"/>
  <c r="F122" i="4"/>
  <c r="C122" i="4"/>
  <c r="L121" i="4"/>
  <c r="I121" i="4"/>
  <c r="H121" i="4"/>
  <c r="F121" i="4"/>
  <c r="C121" i="4"/>
  <c r="L120" i="4"/>
  <c r="I120" i="4"/>
  <c r="H120" i="4"/>
  <c r="F120" i="4"/>
  <c r="C120" i="4"/>
  <c r="L119" i="4"/>
  <c r="I119" i="4"/>
  <c r="H119" i="4"/>
  <c r="F119" i="4"/>
  <c r="C119" i="4"/>
  <c r="L118" i="4"/>
  <c r="I118" i="4"/>
  <c r="H118" i="4"/>
  <c r="F118" i="4"/>
  <c r="C118" i="4"/>
  <c r="L117" i="4"/>
  <c r="I117" i="4"/>
  <c r="H117" i="4"/>
  <c r="F117" i="4"/>
  <c r="C117" i="4"/>
  <c r="L116" i="4"/>
  <c r="I116" i="4"/>
  <c r="H116" i="4"/>
  <c r="F116" i="4"/>
  <c r="C116" i="4"/>
  <c r="L115" i="4"/>
  <c r="I115" i="4"/>
  <c r="H115" i="4"/>
  <c r="F115" i="4"/>
  <c r="C115" i="4"/>
  <c r="L114" i="4"/>
  <c r="I114" i="4"/>
  <c r="H114" i="4"/>
  <c r="F114" i="4"/>
  <c r="C114" i="4"/>
  <c r="L113" i="4"/>
  <c r="I113" i="4"/>
  <c r="H113" i="4"/>
  <c r="F113" i="4"/>
  <c r="C113" i="4"/>
  <c r="L112" i="4"/>
  <c r="I112" i="4"/>
  <c r="H112" i="4"/>
  <c r="F112" i="4"/>
  <c r="C112" i="4"/>
  <c r="L111" i="4"/>
  <c r="I111" i="4"/>
  <c r="H111" i="4"/>
  <c r="F111" i="4"/>
  <c r="C111" i="4"/>
  <c r="L110" i="4"/>
  <c r="I110" i="4"/>
  <c r="H110" i="4"/>
  <c r="F110" i="4"/>
  <c r="C110" i="4"/>
  <c r="L109" i="4"/>
  <c r="K109" i="4"/>
  <c r="J109" i="4"/>
  <c r="I109" i="4"/>
  <c r="H109" i="4"/>
  <c r="F109" i="4"/>
  <c r="C109" i="4"/>
  <c r="L108" i="4"/>
  <c r="K108" i="4"/>
  <c r="B4" i="17" s="1"/>
  <c r="I108" i="4"/>
  <c r="H108" i="4"/>
  <c r="F108" i="4"/>
  <c r="C108" i="4"/>
  <c r="L107" i="4"/>
  <c r="I107" i="4"/>
  <c r="H107" i="4"/>
  <c r="F107" i="4"/>
  <c r="C107" i="4"/>
  <c r="L106" i="4"/>
  <c r="J106" i="4"/>
  <c r="I106" i="4"/>
  <c r="H106" i="4"/>
  <c r="F106" i="4"/>
  <c r="C106" i="4"/>
  <c r="L105" i="4"/>
  <c r="I105" i="4"/>
  <c r="H105" i="4"/>
  <c r="F105" i="4"/>
  <c r="C105" i="4"/>
  <c r="L104" i="4"/>
  <c r="J104" i="4"/>
  <c r="I104" i="4"/>
  <c r="H104" i="4"/>
  <c r="F104" i="4"/>
  <c r="C104" i="4"/>
  <c r="L103" i="4"/>
  <c r="I103" i="4"/>
  <c r="H103" i="4"/>
  <c r="F103" i="4"/>
  <c r="C103" i="4"/>
  <c r="L102" i="4"/>
  <c r="K102" i="4"/>
  <c r="I102" i="4"/>
  <c r="H102" i="4"/>
  <c r="F102" i="4"/>
  <c r="C102" i="4"/>
  <c r="L101" i="4"/>
  <c r="K101" i="4"/>
  <c r="I101" i="4"/>
  <c r="H101" i="4"/>
  <c r="F101" i="4"/>
  <c r="C101" i="4"/>
  <c r="L100" i="4"/>
  <c r="I100" i="4"/>
  <c r="H100" i="4"/>
  <c r="F100" i="4"/>
  <c r="C100" i="4"/>
  <c r="L99" i="4"/>
  <c r="K99" i="4"/>
  <c r="I99" i="4"/>
  <c r="H99" i="4"/>
  <c r="F99" i="4"/>
  <c r="C99" i="4"/>
  <c r="L98" i="4"/>
  <c r="I98" i="4"/>
  <c r="H98" i="4"/>
  <c r="F98" i="4"/>
  <c r="C98" i="4"/>
  <c r="L97" i="4"/>
  <c r="K97" i="4"/>
  <c r="J97" i="4"/>
  <c r="I97" i="4"/>
  <c r="H97" i="4"/>
  <c r="F97" i="4"/>
  <c r="C97" i="4"/>
  <c r="L96" i="4"/>
  <c r="I96" i="4"/>
  <c r="H96" i="4"/>
  <c r="F96" i="4"/>
  <c r="C96" i="4"/>
  <c r="L95" i="4"/>
  <c r="I95" i="4"/>
  <c r="H95" i="4"/>
  <c r="F95" i="4"/>
  <c r="C95" i="4"/>
  <c r="L94" i="4"/>
  <c r="K94" i="4"/>
  <c r="J94" i="4"/>
  <c r="I94" i="4"/>
  <c r="H94" i="4"/>
  <c r="F94" i="4"/>
  <c r="C94" i="4"/>
  <c r="L93" i="4"/>
  <c r="I93" i="4"/>
  <c r="H93" i="4"/>
  <c r="F93" i="4"/>
  <c r="C93" i="4"/>
  <c r="L92" i="4"/>
  <c r="J92" i="4"/>
  <c r="I92" i="4"/>
  <c r="H92" i="4"/>
  <c r="F92" i="4"/>
  <c r="C92" i="4"/>
  <c r="L91" i="4"/>
  <c r="J91" i="4"/>
  <c r="I91" i="4"/>
  <c r="H91" i="4"/>
  <c r="F91" i="4"/>
  <c r="C91" i="4"/>
  <c r="L90" i="4"/>
  <c r="I90" i="4"/>
  <c r="H90" i="4"/>
  <c r="F90" i="4"/>
  <c r="C90" i="4"/>
  <c r="L89" i="4"/>
  <c r="I89" i="4"/>
  <c r="H89" i="4"/>
  <c r="F89" i="4"/>
  <c r="C89" i="4"/>
  <c r="L88" i="4"/>
  <c r="I88" i="4"/>
  <c r="H88" i="4"/>
  <c r="F88" i="4"/>
  <c r="C88" i="4"/>
  <c r="L87" i="4"/>
  <c r="K87" i="4"/>
  <c r="I87" i="4"/>
  <c r="H87" i="4"/>
  <c r="F87" i="4"/>
  <c r="C87" i="4"/>
  <c r="L86" i="4"/>
  <c r="J86" i="4"/>
  <c r="I86" i="4"/>
  <c r="H86" i="4"/>
  <c r="F86" i="4"/>
  <c r="C86" i="4"/>
  <c r="L85" i="4"/>
  <c r="J85" i="4"/>
  <c r="I85" i="4"/>
  <c r="H85" i="4"/>
  <c r="F85" i="4"/>
  <c r="C85" i="4"/>
  <c r="L84" i="4"/>
  <c r="J84" i="4"/>
  <c r="I84" i="4"/>
  <c r="H84" i="4"/>
  <c r="F84" i="4"/>
  <c r="C84" i="4"/>
  <c r="L83" i="4"/>
  <c r="I83" i="4"/>
  <c r="H83" i="4"/>
  <c r="F83" i="4"/>
  <c r="C83" i="4"/>
  <c r="L82" i="4"/>
  <c r="J82" i="4"/>
  <c r="I82" i="4"/>
  <c r="H82" i="4"/>
  <c r="F82" i="4"/>
  <c r="C82" i="4"/>
  <c r="L81" i="4"/>
  <c r="I81" i="4"/>
  <c r="H81" i="4"/>
  <c r="F81" i="4"/>
  <c r="C81" i="4"/>
  <c r="L80" i="4"/>
  <c r="J80" i="4"/>
  <c r="I80" i="4"/>
  <c r="H80" i="4"/>
  <c r="F80" i="4"/>
  <c r="C80" i="4"/>
  <c r="L79" i="4"/>
  <c r="K79" i="4"/>
  <c r="I79" i="4"/>
  <c r="H79" i="4"/>
  <c r="F79" i="4"/>
  <c r="C79" i="4"/>
  <c r="L78" i="4"/>
  <c r="K78" i="4"/>
  <c r="I78" i="4"/>
  <c r="H78" i="4"/>
  <c r="F78" i="4"/>
  <c r="C78" i="4"/>
  <c r="L77" i="4"/>
  <c r="K77" i="4"/>
  <c r="J77" i="4"/>
  <c r="I77" i="4"/>
  <c r="H77" i="4"/>
  <c r="F77" i="4"/>
  <c r="C77" i="4"/>
  <c r="L76" i="4"/>
  <c r="I76" i="4"/>
  <c r="H76" i="4"/>
  <c r="F76" i="4"/>
  <c r="C76" i="4"/>
  <c r="L75" i="4"/>
  <c r="K75" i="4"/>
  <c r="J75" i="4"/>
  <c r="I75" i="4"/>
  <c r="H75" i="4"/>
  <c r="F75" i="4"/>
  <c r="C75" i="4"/>
  <c r="L74" i="4"/>
  <c r="I74" i="4"/>
  <c r="H74" i="4"/>
  <c r="F74" i="4"/>
  <c r="C74" i="4"/>
  <c r="L73" i="4"/>
  <c r="K73" i="4"/>
  <c r="J73" i="4"/>
  <c r="I73" i="4"/>
  <c r="H73" i="4"/>
  <c r="F73" i="4"/>
  <c r="C73" i="4"/>
  <c r="L72" i="4"/>
  <c r="J72" i="4"/>
  <c r="I72" i="4"/>
  <c r="H72" i="4"/>
  <c r="F72" i="4"/>
  <c r="C72" i="4"/>
  <c r="L71" i="4"/>
  <c r="J71" i="4"/>
  <c r="I71" i="4"/>
  <c r="H71" i="4"/>
  <c r="F71" i="4"/>
  <c r="C71" i="4"/>
  <c r="L70" i="4"/>
  <c r="J70" i="4"/>
  <c r="I70" i="4"/>
  <c r="H70" i="4"/>
  <c r="F70" i="4"/>
  <c r="C70" i="4"/>
  <c r="L69" i="4"/>
  <c r="J69" i="4"/>
  <c r="I69" i="4"/>
  <c r="H69" i="4"/>
  <c r="F69" i="4"/>
  <c r="C69" i="4"/>
  <c r="L68" i="4"/>
  <c r="J68" i="4"/>
  <c r="I68" i="4"/>
  <c r="H68" i="4"/>
  <c r="F68" i="4"/>
  <c r="C68" i="4"/>
  <c r="L67" i="4"/>
  <c r="J67" i="4"/>
  <c r="I67" i="4"/>
  <c r="H67" i="4"/>
  <c r="F67" i="4"/>
  <c r="C67" i="4"/>
  <c r="L66" i="4"/>
  <c r="I66" i="4"/>
  <c r="H66" i="4"/>
  <c r="F66" i="4"/>
  <c r="C66" i="4"/>
  <c r="L65" i="4"/>
  <c r="I65" i="4"/>
  <c r="H65" i="4"/>
  <c r="F65" i="4"/>
  <c r="C65" i="4"/>
  <c r="L64" i="4"/>
  <c r="K64" i="4"/>
  <c r="I64" i="4"/>
  <c r="H64" i="4"/>
  <c r="F64" i="4"/>
  <c r="C64" i="4"/>
  <c r="L63" i="4"/>
  <c r="I63" i="4"/>
  <c r="H63" i="4"/>
  <c r="F63" i="4"/>
  <c r="C63" i="4"/>
  <c r="L62" i="4"/>
  <c r="I62" i="4"/>
  <c r="H62" i="4"/>
  <c r="F62" i="4"/>
  <c r="C62" i="4"/>
  <c r="L61" i="4"/>
  <c r="I61" i="4"/>
  <c r="H61" i="4"/>
  <c r="F61" i="4"/>
  <c r="C61" i="4"/>
  <c r="L60" i="4"/>
  <c r="I60" i="4"/>
  <c r="H60" i="4"/>
  <c r="F60" i="4"/>
  <c r="C60" i="4"/>
  <c r="L59" i="4"/>
  <c r="I59" i="4"/>
  <c r="H59" i="4"/>
  <c r="F59" i="4"/>
  <c r="C59" i="4"/>
  <c r="L58" i="4"/>
  <c r="I58" i="4"/>
  <c r="H58" i="4"/>
  <c r="F58" i="4"/>
  <c r="C58" i="4"/>
  <c r="L57" i="4"/>
  <c r="I57" i="4"/>
  <c r="H57" i="4"/>
  <c r="F57" i="4"/>
  <c r="C57" i="4"/>
  <c r="L56" i="4"/>
  <c r="I56" i="4"/>
  <c r="H56" i="4"/>
  <c r="F56" i="4"/>
  <c r="C56" i="4"/>
  <c r="L55" i="4"/>
  <c r="I55" i="4"/>
  <c r="H55" i="4"/>
  <c r="F55" i="4"/>
  <c r="C55" i="4"/>
  <c r="L54" i="4"/>
  <c r="I54" i="4"/>
  <c r="H54" i="4"/>
  <c r="F54" i="4"/>
  <c r="C54" i="4"/>
  <c r="L53" i="4"/>
  <c r="I53" i="4"/>
  <c r="H53" i="4"/>
  <c r="F53" i="4"/>
  <c r="C53" i="4"/>
  <c r="L52" i="4"/>
  <c r="I52" i="4"/>
  <c r="H52" i="4"/>
  <c r="F52" i="4"/>
  <c r="C52" i="4"/>
  <c r="L51" i="4"/>
  <c r="I51" i="4"/>
  <c r="H51" i="4"/>
  <c r="F51" i="4"/>
  <c r="C51" i="4"/>
  <c r="L50" i="4"/>
  <c r="I50" i="4"/>
  <c r="H50" i="4"/>
  <c r="F50" i="4"/>
  <c r="C50" i="4"/>
  <c r="L49" i="4"/>
  <c r="I49" i="4"/>
  <c r="H49" i="4"/>
  <c r="F49" i="4"/>
  <c r="C49" i="4"/>
  <c r="L48" i="4"/>
  <c r="I48" i="4"/>
  <c r="H48" i="4"/>
  <c r="F48" i="4"/>
  <c r="C48" i="4"/>
  <c r="L47" i="4"/>
  <c r="I47" i="4"/>
  <c r="H47" i="4"/>
  <c r="F47" i="4"/>
  <c r="C47" i="4"/>
  <c r="L46" i="4"/>
  <c r="J46" i="4"/>
  <c r="I46" i="4"/>
  <c r="H46" i="4"/>
  <c r="F46" i="4"/>
  <c r="C46" i="4"/>
  <c r="L45" i="4"/>
  <c r="I45" i="4"/>
  <c r="H45" i="4"/>
  <c r="F45" i="4"/>
  <c r="C45" i="4"/>
  <c r="L44" i="4"/>
  <c r="I44" i="4"/>
  <c r="H44" i="4"/>
  <c r="F44" i="4"/>
  <c r="C44" i="4"/>
  <c r="L43" i="4"/>
  <c r="I43" i="4"/>
  <c r="H43" i="4"/>
  <c r="F43" i="4"/>
  <c r="C43" i="4"/>
  <c r="L42" i="4"/>
  <c r="K42" i="4"/>
  <c r="I42" i="4"/>
  <c r="H42" i="4"/>
  <c r="F42" i="4"/>
  <c r="C42" i="4"/>
  <c r="L41" i="4"/>
  <c r="I41" i="4"/>
  <c r="H41" i="4"/>
  <c r="F41" i="4"/>
  <c r="C41" i="4"/>
  <c r="L40" i="4"/>
  <c r="I40" i="4"/>
  <c r="H40" i="4"/>
  <c r="F40" i="4"/>
  <c r="C40" i="4"/>
  <c r="L39" i="4"/>
  <c r="K39" i="4"/>
  <c r="I39" i="4"/>
  <c r="H39" i="4"/>
  <c r="F39" i="4"/>
  <c r="C39" i="4"/>
  <c r="L38" i="4"/>
  <c r="I38" i="4"/>
  <c r="H38" i="4"/>
  <c r="F38" i="4"/>
  <c r="C38" i="4"/>
  <c r="L37" i="4"/>
  <c r="I37" i="4"/>
  <c r="H37" i="4"/>
  <c r="F37" i="4"/>
  <c r="C37" i="4"/>
  <c r="L36" i="4"/>
  <c r="I36" i="4"/>
  <c r="H36" i="4"/>
  <c r="F36" i="4"/>
  <c r="C36" i="4"/>
  <c r="L35" i="4"/>
  <c r="I35" i="4"/>
  <c r="H35" i="4"/>
  <c r="F35" i="4"/>
  <c r="C35" i="4"/>
  <c r="L34" i="4"/>
  <c r="I34" i="4"/>
  <c r="H34" i="4"/>
  <c r="F34" i="4"/>
  <c r="C34" i="4"/>
  <c r="L33" i="4"/>
  <c r="I33" i="4"/>
  <c r="H33" i="4"/>
  <c r="F33" i="4"/>
  <c r="C33" i="4"/>
  <c r="L32" i="4"/>
  <c r="I32" i="4"/>
  <c r="H32" i="4"/>
  <c r="F32" i="4"/>
  <c r="C32" i="4"/>
  <c r="L31" i="4"/>
  <c r="I31" i="4"/>
  <c r="H31" i="4"/>
  <c r="F31" i="4"/>
  <c r="C31" i="4"/>
  <c r="L30" i="4"/>
  <c r="K30" i="4"/>
  <c r="I30" i="4"/>
  <c r="H30" i="4"/>
  <c r="F30" i="4"/>
  <c r="C30" i="4"/>
  <c r="L29" i="4"/>
  <c r="I29" i="4"/>
  <c r="H29" i="4"/>
  <c r="F29" i="4"/>
  <c r="C29" i="4"/>
  <c r="L28" i="4"/>
  <c r="I28" i="4"/>
  <c r="H28" i="4"/>
  <c r="F28" i="4"/>
  <c r="C28" i="4"/>
  <c r="L27" i="4"/>
  <c r="K27" i="4"/>
  <c r="I27" i="4"/>
  <c r="H27" i="4"/>
  <c r="F27" i="4"/>
  <c r="C27" i="4"/>
  <c r="L26" i="4"/>
  <c r="I26" i="4"/>
  <c r="H26" i="4"/>
  <c r="F26" i="4"/>
  <c r="C26" i="4"/>
  <c r="L25" i="4"/>
  <c r="K25" i="4"/>
  <c r="J25" i="4"/>
  <c r="I25" i="4"/>
  <c r="H25" i="4"/>
  <c r="F25" i="4"/>
  <c r="C25" i="4"/>
  <c r="L24" i="4"/>
  <c r="I24" i="4"/>
  <c r="H24" i="4"/>
  <c r="F24" i="4"/>
  <c r="C24" i="4"/>
  <c r="L23" i="4"/>
  <c r="I23" i="4"/>
  <c r="H23" i="4"/>
  <c r="F23" i="4"/>
  <c r="C23" i="4"/>
  <c r="L22" i="4"/>
  <c r="K22" i="4"/>
  <c r="J22" i="4"/>
  <c r="I22" i="4"/>
  <c r="H22" i="4"/>
  <c r="F22" i="4"/>
  <c r="C22" i="4"/>
  <c r="L21" i="4"/>
  <c r="I21" i="4"/>
  <c r="H21" i="4"/>
  <c r="F21" i="4"/>
  <c r="C21" i="4"/>
  <c r="L20" i="4"/>
  <c r="K20" i="4"/>
  <c r="I20" i="4"/>
  <c r="H20" i="4"/>
  <c r="F20" i="4"/>
  <c r="C20" i="4"/>
  <c r="L19" i="4"/>
  <c r="J19" i="4"/>
  <c r="I19" i="4"/>
  <c r="H19" i="4"/>
  <c r="F19" i="4"/>
  <c r="C19" i="4"/>
  <c r="L18" i="4"/>
  <c r="I18" i="4"/>
  <c r="H18" i="4"/>
  <c r="F18" i="4"/>
  <c r="C18" i="4"/>
  <c r="L17" i="4"/>
  <c r="I17" i="4"/>
  <c r="H17" i="4"/>
  <c r="F17" i="4"/>
  <c r="C17" i="4"/>
  <c r="L16" i="4"/>
  <c r="I16" i="4"/>
  <c r="H16" i="4"/>
  <c r="F16" i="4"/>
  <c r="C16" i="4"/>
  <c r="L15" i="4"/>
  <c r="J15" i="4"/>
  <c r="I15" i="4"/>
  <c r="H15" i="4"/>
  <c r="F15" i="4"/>
  <c r="C15" i="4"/>
  <c r="L14" i="4"/>
  <c r="J14" i="4"/>
  <c r="I14" i="4"/>
  <c r="H14" i="4"/>
  <c r="F14" i="4"/>
  <c r="C14" i="4"/>
  <c r="L13" i="4"/>
  <c r="J13" i="4"/>
  <c r="I13" i="4"/>
  <c r="H13" i="4"/>
  <c r="F13" i="4"/>
  <c r="C13" i="4"/>
  <c r="L12" i="4"/>
  <c r="J12" i="4"/>
  <c r="I12" i="4"/>
  <c r="H12" i="4"/>
  <c r="F12" i="4"/>
  <c r="C12" i="4"/>
  <c r="L11" i="4"/>
  <c r="I11" i="4"/>
  <c r="H11" i="4"/>
  <c r="F11" i="4"/>
  <c r="C11" i="4"/>
  <c r="L10" i="4"/>
  <c r="I10" i="4"/>
  <c r="H10" i="4"/>
  <c r="F10" i="4"/>
  <c r="C10" i="4"/>
  <c r="L9" i="4"/>
  <c r="I9" i="4"/>
  <c r="H9" i="4"/>
  <c r="F9" i="4"/>
  <c r="C9" i="4"/>
  <c r="L8" i="4"/>
  <c r="I8" i="4"/>
  <c r="H8" i="4"/>
  <c r="F8" i="4"/>
  <c r="C8" i="4"/>
  <c r="L7" i="4"/>
  <c r="I7" i="4"/>
  <c r="H7" i="4"/>
  <c r="F7" i="4"/>
  <c r="C7" i="4"/>
  <c r="L6" i="4"/>
  <c r="K6" i="4"/>
  <c r="I6" i="4"/>
  <c r="H6" i="4"/>
  <c r="F6" i="4"/>
  <c r="C6" i="4"/>
  <c r="L5" i="4"/>
  <c r="K5" i="4"/>
  <c r="I5" i="4"/>
  <c r="H5" i="4"/>
  <c r="F5" i="4"/>
  <c r="C5" i="4"/>
  <c r="L4" i="4"/>
  <c r="I4" i="4"/>
  <c r="H4" i="4"/>
  <c r="F4" i="4"/>
  <c r="C4" i="4"/>
  <c r="L3" i="4"/>
  <c r="I3" i="4"/>
  <c r="H3" i="4"/>
  <c r="F3" i="4"/>
  <c r="C3" i="4"/>
  <c r="L2" i="4"/>
  <c r="I2" i="4"/>
  <c r="H2" i="4"/>
  <c r="F2" i="4"/>
  <c r="C2" i="4"/>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G300" i="1"/>
  <c r="F300" i="1"/>
  <c r="G299" i="1"/>
  <c r="F299" i="1"/>
  <c r="G298" i="1"/>
  <c r="F298" i="1"/>
  <c r="G297" i="1"/>
  <c r="F297" i="1"/>
  <c r="G296" i="1"/>
  <c r="F296" i="1"/>
  <c r="G295" i="1"/>
  <c r="F295" i="1"/>
  <c r="G294" i="1"/>
  <c r="F294" i="1"/>
  <c r="G293" i="1"/>
  <c r="F293" i="1"/>
  <c r="G292" i="1"/>
  <c r="F292" i="1"/>
  <c r="G291" i="1"/>
  <c r="F291" i="1"/>
  <c r="G290" i="1"/>
  <c r="F290" i="1"/>
  <c r="G289" i="1"/>
  <c r="F289" i="1"/>
  <c r="G288" i="1"/>
  <c r="F288" i="1"/>
  <c r="G287" i="1"/>
  <c r="F287" i="1"/>
  <c r="G286" i="1"/>
  <c r="F286" i="1"/>
  <c r="G285" i="1"/>
  <c r="F285" i="1"/>
  <c r="G284" i="1"/>
  <c r="F284" i="1"/>
  <c r="G283" i="1"/>
  <c r="F283" i="1"/>
  <c r="G282" i="1"/>
  <c r="F282" i="1"/>
  <c r="G281" i="1"/>
  <c r="F281" i="1"/>
  <c r="G280" i="1"/>
  <c r="F280" i="1"/>
  <c r="G279" i="1"/>
  <c r="F279" i="1"/>
  <c r="G278" i="1"/>
  <c r="F278" i="1"/>
  <c r="G277" i="1"/>
  <c r="F277" i="1"/>
  <c r="G276" i="1"/>
  <c r="F276" i="1"/>
  <c r="G275" i="1"/>
  <c r="F275" i="1"/>
  <c r="G274" i="1"/>
  <c r="F274" i="1"/>
  <c r="G273" i="1"/>
  <c r="F273" i="1"/>
  <c r="G272" i="1"/>
  <c r="F272" i="1"/>
  <c r="G271" i="1"/>
  <c r="F271" i="1"/>
  <c r="G270" i="1"/>
  <c r="F270" i="1"/>
  <c r="G269" i="1"/>
  <c r="F269" i="1"/>
  <c r="G268" i="1"/>
  <c r="F268" i="1"/>
  <c r="G267" i="1"/>
  <c r="F267" i="1"/>
  <c r="G266" i="1"/>
  <c r="F266" i="1"/>
  <c r="G265" i="1"/>
  <c r="F265" i="1"/>
  <c r="G264" i="1"/>
  <c r="F264" i="1"/>
  <c r="G263" i="1"/>
  <c r="F263" i="1"/>
  <c r="G262" i="1"/>
  <c r="F262" i="1"/>
  <c r="G261" i="1"/>
  <c r="F261" i="1"/>
  <c r="G260" i="1"/>
  <c r="F260" i="1"/>
  <c r="G259" i="1"/>
  <c r="F259" i="1"/>
  <c r="G258" i="1"/>
  <c r="F258" i="1"/>
  <c r="G257" i="1"/>
  <c r="F257" i="1"/>
  <c r="G256" i="1"/>
  <c r="F256" i="1"/>
  <c r="G255" i="1"/>
  <c r="F255" i="1"/>
  <c r="G254" i="1"/>
  <c r="F254" i="1"/>
  <c r="G253" i="1"/>
  <c r="F253" i="1"/>
  <c r="G252" i="1"/>
  <c r="F252" i="1"/>
  <c r="G251" i="1"/>
  <c r="F251" i="1"/>
  <c r="G250" i="1"/>
  <c r="F250" i="1"/>
  <c r="G249" i="1"/>
  <c r="F249" i="1"/>
  <c r="G248" i="1"/>
  <c r="F248" i="1"/>
  <c r="G247" i="1"/>
  <c r="F247" i="1"/>
  <c r="G246" i="1"/>
  <c r="F246" i="1"/>
  <c r="G245" i="1"/>
  <c r="F245" i="1"/>
  <c r="G244" i="1"/>
  <c r="F244" i="1"/>
  <c r="G243" i="1"/>
  <c r="F243" i="1"/>
  <c r="G242" i="1"/>
  <c r="F242" i="1"/>
  <c r="G241" i="1"/>
  <c r="F241" i="1"/>
  <c r="G240" i="1"/>
  <c r="F240" i="1"/>
  <c r="G239" i="1"/>
  <c r="F239" i="1"/>
  <c r="G238" i="1"/>
  <c r="F238" i="1"/>
  <c r="G237" i="1"/>
  <c r="F237" i="1"/>
  <c r="G236" i="1"/>
  <c r="F236" i="1"/>
  <c r="G235" i="1"/>
  <c r="F235" i="1"/>
  <c r="G234" i="1"/>
  <c r="F234" i="1"/>
  <c r="G233" i="1"/>
  <c r="F233" i="1"/>
  <c r="G232" i="1"/>
  <c r="F232" i="1"/>
  <c r="G231" i="1"/>
  <c r="F231" i="1"/>
  <c r="G230" i="1"/>
  <c r="F230" i="1"/>
  <c r="G229" i="1"/>
  <c r="F229" i="1"/>
  <c r="G228" i="1"/>
  <c r="F228" i="1"/>
  <c r="G227" i="1"/>
  <c r="F227" i="1"/>
  <c r="G226" i="1"/>
  <c r="F226" i="1"/>
  <c r="G225" i="1"/>
  <c r="F225" i="1"/>
  <c r="G224" i="1"/>
  <c r="F224" i="1"/>
  <c r="G223" i="1"/>
  <c r="F223" i="1"/>
  <c r="G222" i="1"/>
  <c r="F222" i="1"/>
  <c r="G221" i="1"/>
  <c r="F221" i="1"/>
  <c r="G220" i="1"/>
  <c r="F220" i="1"/>
  <c r="G219" i="1"/>
  <c r="F219" i="1"/>
  <c r="G218" i="1"/>
  <c r="F218" i="1"/>
  <c r="G217" i="1"/>
  <c r="F217" i="1"/>
  <c r="G216" i="1"/>
  <c r="F216" i="1"/>
  <c r="G215" i="1"/>
  <c r="F215" i="1"/>
  <c r="G214" i="1"/>
  <c r="F214" i="1"/>
  <c r="G213" i="1"/>
  <c r="F213" i="1"/>
  <c r="G212" i="1"/>
  <c r="F212" i="1"/>
  <c r="G211" i="1"/>
  <c r="F211" i="1"/>
  <c r="G210" i="1"/>
  <c r="F210" i="1"/>
  <c r="G209" i="1"/>
  <c r="F209" i="1"/>
  <c r="G208" i="1"/>
  <c r="F208" i="1"/>
  <c r="G207" i="1"/>
  <c r="F207" i="1"/>
  <c r="G206" i="1"/>
  <c r="F206" i="1"/>
  <c r="G205" i="1"/>
  <c r="F205" i="1"/>
  <c r="G204" i="1"/>
  <c r="F204" i="1"/>
  <c r="G203" i="1"/>
  <c r="F203" i="1"/>
  <c r="G202" i="1"/>
  <c r="F202" i="1"/>
  <c r="G201" i="1"/>
  <c r="F201" i="1"/>
  <c r="G200" i="1"/>
  <c r="F200" i="1"/>
  <c r="G199" i="1"/>
  <c r="F199" i="1"/>
  <c r="G198" i="1"/>
  <c r="F198" i="1"/>
  <c r="G197" i="1"/>
  <c r="F197" i="1"/>
  <c r="G196" i="1"/>
  <c r="F196" i="1"/>
  <c r="G195" i="1"/>
  <c r="F195" i="1"/>
  <c r="G194" i="1"/>
  <c r="F194" i="1"/>
  <c r="G193" i="1"/>
  <c r="F193" i="1"/>
  <c r="G192" i="1"/>
  <c r="F192" i="1"/>
  <c r="G191" i="1"/>
  <c r="F191" i="1"/>
  <c r="G190" i="1"/>
  <c r="F190" i="1"/>
  <c r="G189" i="1"/>
  <c r="F189" i="1"/>
  <c r="G188" i="1"/>
  <c r="F188" i="1"/>
  <c r="G187" i="1"/>
  <c r="F187" i="1"/>
  <c r="G186" i="1"/>
  <c r="F186" i="1"/>
  <c r="G185" i="1"/>
  <c r="F185" i="1"/>
  <c r="G184" i="1"/>
  <c r="F184" i="1"/>
  <c r="G183" i="1"/>
  <c r="F183" i="1"/>
  <c r="G182" i="1"/>
  <c r="F182" i="1"/>
  <c r="G181" i="1"/>
  <c r="F181" i="1"/>
  <c r="G180" i="1"/>
  <c r="F180" i="1"/>
  <c r="G179" i="1"/>
  <c r="F179" i="1"/>
  <c r="G178" i="1"/>
  <c r="F178" i="1"/>
  <c r="G177" i="1"/>
  <c r="F177" i="1"/>
  <c r="G176" i="1"/>
  <c r="F176" i="1"/>
  <c r="U175" i="1"/>
  <c r="T175" i="1"/>
  <c r="I175" i="1"/>
  <c r="G175" i="1"/>
  <c r="F175" i="1"/>
  <c r="U174" i="1"/>
  <c r="T174" i="1"/>
  <c r="I174" i="1"/>
  <c r="G174" i="1"/>
  <c r="F174" i="1"/>
  <c r="U173" i="1"/>
  <c r="T173" i="1"/>
  <c r="I173" i="1"/>
  <c r="G173" i="1"/>
  <c r="F173" i="1"/>
  <c r="U172" i="1"/>
  <c r="T172" i="1"/>
  <c r="I172" i="1"/>
  <c r="G172" i="1"/>
  <c r="B31" i="22" s="1"/>
  <c r="F172" i="1"/>
  <c r="U171" i="1"/>
  <c r="T171" i="1"/>
  <c r="I171" i="1"/>
  <c r="G171" i="1"/>
  <c r="F171" i="1"/>
  <c r="U170" i="1"/>
  <c r="T170" i="1"/>
  <c r="I170" i="1"/>
  <c r="G170" i="1"/>
  <c r="F170" i="1"/>
  <c r="U169" i="1"/>
  <c r="T169" i="1"/>
  <c r="I169" i="1"/>
  <c r="G169" i="1"/>
  <c r="F169" i="1"/>
  <c r="U168" i="1"/>
  <c r="T168" i="1"/>
  <c r="I168" i="1"/>
  <c r="G168" i="1"/>
  <c r="F168" i="1"/>
  <c r="U167" i="1"/>
  <c r="T167" i="1"/>
  <c r="I167" i="1"/>
  <c r="C24" i="8" s="1"/>
  <c r="G167" i="1"/>
  <c r="B44" i="22" s="1"/>
  <c r="F167" i="1"/>
  <c r="L156" i="5" s="1"/>
  <c r="U166" i="1"/>
  <c r="T166" i="1"/>
  <c r="I166" i="1"/>
  <c r="G166" i="1"/>
  <c r="F166" i="1"/>
  <c r="U165" i="1"/>
  <c r="T165" i="1"/>
  <c r="I165" i="1"/>
  <c r="G165" i="1"/>
  <c r="F165" i="1"/>
  <c r="U164" i="1"/>
  <c r="T164" i="1"/>
  <c r="I164" i="1"/>
  <c r="G164" i="1"/>
  <c r="F164" i="1"/>
  <c r="U163" i="1"/>
  <c r="T163" i="1"/>
  <c r="I163" i="1"/>
  <c r="G163" i="1"/>
  <c r="F163" i="1"/>
  <c r="U162" i="1"/>
  <c r="T162" i="1"/>
  <c r="I162" i="1"/>
  <c r="G162" i="1"/>
  <c r="F162" i="1"/>
  <c r="U161" i="1"/>
  <c r="T161" i="1"/>
  <c r="I161" i="1"/>
  <c r="G161" i="1"/>
  <c r="F161" i="1"/>
  <c r="U160" i="1"/>
  <c r="T160" i="1"/>
  <c r="I160" i="1"/>
  <c r="C23" i="8" s="1"/>
  <c r="G160" i="1"/>
  <c r="K136" i="4" s="1"/>
  <c r="F160" i="1"/>
  <c r="J136" i="4" s="1"/>
  <c r="U159" i="1"/>
  <c r="T159" i="1"/>
  <c r="I159" i="1"/>
  <c r="G159" i="1"/>
  <c r="F159" i="1"/>
  <c r="U158" i="1"/>
  <c r="T158" i="1"/>
  <c r="I158" i="1"/>
  <c r="G158" i="1"/>
  <c r="F158" i="1"/>
  <c r="U157" i="1"/>
  <c r="T157" i="1"/>
  <c r="I157" i="1"/>
  <c r="G157" i="1"/>
  <c r="F157" i="1"/>
  <c r="U156" i="1"/>
  <c r="T156" i="1"/>
  <c r="I156" i="1"/>
  <c r="C22" i="8" s="1"/>
  <c r="G156" i="1"/>
  <c r="C2" i="21" s="1"/>
  <c r="F156" i="1"/>
  <c r="S22" i="8" s="1"/>
  <c r="U155" i="1"/>
  <c r="T155" i="1"/>
  <c r="I155" i="1"/>
  <c r="G155" i="1"/>
  <c r="F155" i="1"/>
  <c r="U154" i="1"/>
  <c r="T154" i="1"/>
  <c r="I154" i="1"/>
  <c r="G154" i="1"/>
  <c r="B39" i="22" s="1"/>
  <c r="F154" i="1"/>
  <c r="U153" i="1"/>
  <c r="T153" i="1"/>
  <c r="I153" i="1"/>
  <c r="G153" i="1"/>
  <c r="B9" i="22" s="1"/>
  <c r="F153" i="1"/>
  <c r="U152" i="1"/>
  <c r="T152" i="1"/>
  <c r="I152" i="1"/>
  <c r="C21" i="8" s="1"/>
  <c r="G152" i="1"/>
  <c r="M149" i="5" s="1"/>
  <c r="F152" i="1"/>
  <c r="L146" i="5" s="1"/>
  <c r="U151" i="1"/>
  <c r="T151" i="1"/>
  <c r="I151" i="1"/>
  <c r="G151" i="1"/>
  <c r="F151" i="1"/>
  <c r="U150" i="1"/>
  <c r="T150" i="1"/>
  <c r="I150" i="1"/>
  <c r="G150" i="1"/>
  <c r="F150" i="1"/>
  <c r="U149" i="1"/>
  <c r="T149" i="1"/>
  <c r="I149" i="1"/>
  <c r="G149" i="1"/>
  <c r="F149" i="1"/>
  <c r="U148" i="1"/>
  <c r="T148" i="1"/>
  <c r="I148" i="1"/>
  <c r="G148" i="1"/>
  <c r="F148" i="1"/>
  <c r="U147" i="1"/>
  <c r="T147" i="1"/>
  <c r="I147" i="1"/>
  <c r="G147" i="1"/>
  <c r="F147" i="1"/>
  <c r="U146" i="1"/>
  <c r="T146" i="1"/>
  <c r="I146" i="1"/>
  <c r="G146" i="1"/>
  <c r="F146" i="1"/>
  <c r="U145" i="1"/>
  <c r="T145" i="1"/>
  <c r="I145" i="1"/>
  <c r="G145" i="1"/>
  <c r="F145" i="1"/>
  <c r="U144" i="1"/>
  <c r="T144" i="1"/>
  <c r="I144" i="1"/>
  <c r="G144" i="1"/>
  <c r="F144" i="1"/>
  <c r="U143" i="1"/>
  <c r="T143" i="1"/>
  <c r="I143" i="1"/>
  <c r="C20" i="8" s="1"/>
  <c r="G143" i="1"/>
  <c r="M139" i="5" s="1"/>
  <c r="F143" i="1"/>
  <c r="L139" i="5" s="1"/>
  <c r="U142" i="1"/>
  <c r="T142" i="1"/>
  <c r="I142" i="1"/>
  <c r="G142" i="1"/>
  <c r="F142" i="1"/>
  <c r="U141" i="1"/>
  <c r="T141" i="1"/>
  <c r="I141" i="1"/>
  <c r="G141" i="1"/>
  <c r="F141" i="1"/>
  <c r="U140" i="1"/>
  <c r="T140" i="1"/>
  <c r="I140" i="1"/>
  <c r="G140" i="1"/>
  <c r="F140" i="1"/>
  <c r="U139" i="1"/>
  <c r="T139" i="1"/>
  <c r="I139" i="1"/>
  <c r="G139" i="1"/>
  <c r="F139" i="1"/>
  <c r="U138" i="1"/>
  <c r="T138" i="1"/>
  <c r="I138" i="1"/>
  <c r="G138" i="1"/>
  <c r="F138" i="1"/>
  <c r="U137" i="1"/>
  <c r="T137" i="1"/>
  <c r="I137" i="1"/>
  <c r="G137" i="1"/>
  <c r="F137" i="1"/>
  <c r="U136" i="1"/>
  <c r="T136" i="1"/>
  <c r="I136" i="1"/>
  <c r="G136" i="1"/>
  <c r="F136" i="1"/>
  <c r="U135" i="1"/>
  <c r="T135" i="1"/>
  <c r="I135" i="1"/>
  <c r="G135" i="1"/>
  <c r="F135" i="1"/>
  <c r="U134" i="1"/>
  <c r="T134" i="1"/>
  <c r="I134" i="1"/>
  <c r="C19" i="8" s="1"/>
  <c r="G134" i="1"/>
  <c r="M132" i="5" s="1"/>
  <c r="F134" i="1"/>
  <c r="L132" i="5" s="1"/>
  <c r="U133" i="1"/>
  <c r="T133" i="1"/>
  <c r="I133" i="1"/>
  <c r="G133" i="1"/>
  <c r="F133" i="1"/>
  <c r="U132" i="1"/>
  <c r="T132" i="1"/>
  <c r="I132" i="1"/>
  <c r="G132" i="1"/>
  <c r="F132" i="1"/>
  <c r="U131" i="1"/>
  <c r="T131" i="1"/>
  <c r="I131" i="1"/>
  <c r="G131" i="1"/>
  <c r="F131" i="1"/>
  <c r="U130" i="1"/>
  <c r="T130" i="1"/>
  <c r="I130" i="1"/>
  <c r="G130" i="1"/>
  <c r="F130" i="1"/>
  <c r="U129" i="1"/>
  <c r="T129" i="1"/>
  <c r="I129" i="1"/>
  <c r="G129" i="1"/>
  <c r="F129" i="1"/>
  <c r="U128" i="1"/>
  <c r="T128" i="1"/>
  <c r="I128" i="1"/>
  <c r="G128" i="1"/>
  <c r="F128" i="1"/>
  <c r="U127" i="1"/>
  <c r="T127" i="1"/>
  <c r="I127" i="1"/>
  <c r="C18" i="8" s="1"/>
  <c r="G127" i="1"/>
  <c r="M125" i="5" s="1"/>
  <c r="F127" i="1"/>
  <c r="L122" i="5" s="1"/>
  <c r="U126" i="1"/>
  <c r="T126" i="1"/>
  <c r="I126" i="1"/>
  <c r="G126" i="1"/>
  <c r="F126" i="1"/>
  <c r="U125" i="1"/>
  <c r="T125" i="1"/>
  <c r="I125" i="1"/>
  <c r="G125" i="1"/>
  <c r="F125" i="1"/>
  <c r="U124" i="1"/>
  <c r="T124" i="1"/>
  <c r="I124" i="1"/>
  <c r="G124" i="1"/>
  <c r="F124" i="1"/>
  <c r="U123" i="1"/>
  <c r="T123" i="1"/>
  <c r="I123" i="1"/>
  <c r="G123" i="1"/>
  <c r="B13" i="22" s="1"/>
  <c r="F123" i="1"/>
  <c r="U122" i="1"/>
  <c r="T122" i="1"/>
  <c r="I122" i="1"/>
  <c r="C17" i="8" s="1"/>
  <c r="G122" i="1"/>
  <c r="T17" i="8" s="1"/>
  <c r="F122" i="1"/>
  <c r="S17" i="8" s="1"/>
  <c r="U121" i="1"/>
  <c r="T121" i="1"/>
  <c r="I121" i="1"/>
  <c r="G121" i="1"/>
  <c r="F121" i="1"/>
  <c r="U120" i="1"/>
  <c r="T120" i="1"/>
  <c r="I120" i="1"/>
  <c r="G120" i="1"/>
  <c r="F120" i="1"/>
  <c r="U119" i="1"/>
  <c r="T119" i="1"/>
  <c r="I119" i="1"/>
  <c r="G119" i="1"/>
  <c r="F119" i="1"/>
  <c r="U118" i="1"/>
  <c r="T118" i="1"/>
  <c r="I118" i="1"/>
  <c r="G118" i="1"/>
  <c r="F118" i="1"/>
  <c r="U117" i="1"/>
  <c r="T117" i="1"/>
  <c r="I117" i="1"/>
  <c r="G117" i="1"/>
  <c r="F117" i="1"/>
  <c r="U116" i="1"/>
  <c r="T116" i="1"/>
  <c r="I116" i="1"/>
  <c r="G116" i="1"/>
  <c r="F116" i="1"/>
  <c r="U115" i="1"/>
  <c r="T115" i="1"/>
  <c r="I115" i="1"/>
  <c r="G115" i="1"/>
  <c r="F115" i="1"/>
  <c r="U114" i="1"/>
  <c r="T114" i="1"/>
  <c r="I114" i="1"/>
  <c r="G114" i="1"/>
  <c r="F114" i="1"/>
  <c r="U113" i="1"/>
  <c r="T113" i="1"/>
  <c r="I113" i="1"/>
  <c r="C16" i="8" s="1"/>
  <c r="G113" i="1"/>
  <c r="M118" i="5" s="1"/>
  <c r="F113" i="1"/>
  <c r="L118" i="5" s="1"/>
  <c r="U112" i="1"/>
  <c r="T112" i="1"/>
  <c r="I112" i="1"/>
  <c r="G112" i="1"/>
  <c r="F112" i="1"/>
  <c r="U111" i="1"/>
  <c r="T111" i="1"/>
  <c r="I111" i="1"/>
  <c r="G111" i="1"/>
  <c r="F111" i="1"/>
  <c r="U110" i="1"/>
  <c r="T110" i="1"/>
  <c r="I110" i="1"/>
  <c r="G110" i="1"/>
  <c r="F110" i="1"/>
  <c r="U109" i="1"/>
  <c r="T109" i="1"/>
  <c r="I109" i="1"/>
  <c r="G109" i="1"/>
  <c r="F109" i="1"/>
  <c r="U108" i="1"/>
  <c r="T108" i="1"/>
  <c r="I108" i="1"/>
  <c r="G108" i="1"/>
  <c r="F108" i="1"/>
  <c r="U107" i="1"/>
  <c r="T107" i="1"/>
  <c r="I107" i="1"/>
  <c r="G107" i="1"/>
  <c r="F107" i="1"/>
  <c r="U106" i="1"/>
  <c r="T106" i="1"/>
  <c r="I106" i="1"/>
  <c r="G106" i="1"/>
  <c r="F106" i="1"/>
  <c r="U105" i="1"/>
  <c r="T105" i="1"/>
  <c r="I105" i="1"/>
  <c r="G105" i="1"/>
  <c r="F105" i="1"/>
  <c r="U104" i="1"/>
  <c r="T104" i="1"/>
  <c r="I104" i="1"/>
  <c r="C15" i="8" s="1"/>
  <c r="G104" i="1"/>
  <c r="M115" i="5" s="1"/>
  <c r="F104" i="1"/>
  <c r="L115" i="5" s="1"/>
  <c r="U103" i="1"/>
  <c r="T103" i="1"/>
  <c r="I103" i="1"/>
  <c r="G103" i="1"/>
  <c r="F103" i="1"/>
  <c r="U102" i="1"/>
  <c r="T102" i="1"/>
  <c r="I102" i="1"/>
  <c r="G102" i="1"/>
  <c r="F102" i="1"/>
  <c r="U101" i="1"/>
  <c r="T101" i="1"/>
  <c r="I101" i="1"/>
  <c r="G101" i="1"/>
  <c r="F101" i="1"/>
  <c r="U100" i="1"/>
  <c r="T100" i="1"/>
  <c r="I100" i="1"/>
  <c r="G100" i="1"/>
  <c r="F100" i="1"/>
  <c r="U99" i="1"/>
  <c r="T99" i="1"/>
  <c r="I99" i="1"/>
  <c r="C14" i="8" s="1"/>
  <c r="G99" i="1"/>
  <c r="B42" i="22" s="1"/>
  <c r="F99" i="1"/>
  <c r="J102" i="4" s="1"/>
  <c r="U98" i="1"/>
  <c r="T98" i="1"/>
  <c r="I98" i="1"/>
  <c r="G98" i="1"/>
  <c r="F98" i="1"/>
  <c r="U97" i="1"/>
  <c r="T97" i="1"/>
  <c r="I97" i="1"/>
  <c r="G97" i="1"/>
  <c r="B29" i="22" s="1"/>
  <c r="F97" i="1"/>
  <c r="U96" i="1"/>
  <c r="T96" i="1"/>
  <c r="I96" i="1"/>
  <c r="G96" i="1"/>
  <c r="F96" i="1"/>
  <c r="U95" i="1"/>
  <c r="T95" i="1"/>
  <c r="I95" i="1"/>
  <c r="G95" i="1"/>
  <c r="F95" i="1"/>
  <c r="U94" i="1"/>
  <c r="T94" i="1"/>
  <c r="I94" i="1"/>
  <c r="G94" i="1"/>
  <c r="F94" i="1"/>
  <c r="U93" i="1"/>
  <c r="T93" i="1"/>
  <c r="I93" i="1"/>
  <c r="G93" i="1"/>
  <c r="F93" i="1"/>
  <c r="U92" i="1"/>
  <c r="T92" i="1"/>
  <c r="I92" i="1"/>
  <c r="G92" i="1"/>
  <c r="F92" i="1"/>
  <c r="U91" i="1"/>
  <c r="T91" i="1"/>
  <c r="I91" i="1"/>
  <c r="G91" i="1"/>
  <c r="F91" i="1"/>
  <c r="U90" i="1"/>
  <c r="T90" i="1"/>
  <c r="I90" i="1"/>
  <c r="C13" i="8" s="1"/>
  <c r="G90" i="1"/>
  <c r="M99" i="5" s="1"/>
  <c r="F90" i="1"/>
  <c r="L98" i="5" s="1"/>
  <c r="U89" i="1"/>
  <c r="T89" i="1"/>
  <c r="I89" i="1"/>
  <c r="G89" i="1"/>
  <c r="B6" i="22" s="1"/>
  <c r="F89" i="1"/>
  <c r="U88" i="1"/>
  <c r="T88" i="1"/>
  <c r="I88" i="1"/>
  <c r="G88" i="1"/>
  <c r="F88" i="1"/>
  <c r="U87" i="1"/>
  <c r="T87" i="1"/>
  <c r="I87" i="1"/>
  <c r="G87" i="1"/>
  <c r="F87" i="1"/>
  <c r="U86" i="1"/>
  <c r="T86" i="1"/>
  <c r="I86" i="1"/>
  <c r="G86" i="1"/>
  <c r="F86" i="1"/>
  <c r="U85" i="1"/>
  <c r="T85" i="1"/>
  <c r="I85" i="1"/>
  <c r="G85" i="1"/>
  <c r="B40" i="22" s="1"/>
  <c r="F85" i="1"/>
  <c r="U84" i="1"/>
  <c r="T84" i="1"/>
  <c r="I84" i="1"/>
  <c r="G84" i="1"/>
  <c r="F84" i="1"/>
  <c r="U83" i="1"/>
  <c r="T83" i="1"/>
  <c r="I83" i="1"/>
  <c r="C12" i="8" s="1"/>
  <c r="G83" i="1"/>
  <c r="K88" i="4" s="1"/>
  <c r="F83" i="1"/>
  <c r="L91" i="5" s="1"/>
  <c r="I82" i="1"/>
  <c r="G82" i="1"/>
  <c r="F82" i="1"/>
  <c r="U81" i="1"/>
  <c r="T81" i="1"/>
  <c r="I81" i="1"/>
  <c r="G81" i="1"/>
  <c r="F81" i="1"/>
  <c r="U80" i="1"/>
  <c r="T80" i="1"/>
  <c r="I80" i="1"/>
  <c r="G80" i="1"/>
  <c r="F80" i="1"/>
  <c r="U79" i="1"/>
  <c r="T79" i="1"/>
  <c r="I79" i="1"/>
  <c r="G79" i="1"/>
  <c r="B12" i="22" s="1"/>
  <c r="F79" i="1"/>
  <c r="U78" i="1"/>
  <c r="T78" i="1"/>
  <c r="I78" i="1"/>
  <c r="G78" i="1"/>
  <c r="F78" i="1"/>
  <c r="U77" i="1"/>
  <c r="T77" i="1"/>
  <c r="I77" i="1"/>
  <c r="G77" i="1"/>
  <c r="F77" i="1"/>
  <c r="U76" i="1"/>
  <c r="T76" i="1"/>
  <c r="I76" i="1"/>
  <c r="G76" i="1"/>
  <c r="F76" i="1"/>
  <c r="U75" i="1"/>
  <c r="T75" i="1"/>
  <c r="I75" i="1"/>
  <c r="G75" i="1"/>
  <c r="F75" i="1"/>
  <c r="U74" i="1"/>
  <c r="T74" i="1"/>
  <c r="I74" i="1"/>
  <c r="G74" i="1"/>
  <c r="F74" i="1"/>
  <c r="U73" i="1"/>
  <c r="T73" i="1"/>
  <c r="I73" i="1"/>
  <c r="C11" i="8" s="1"/>
  <c r="G73" i="1"/>
  <c r="M84" i="5" s="1"/>
  <c r="F73" i="1"/>
  <c r="L84" i="5" s="1"/>
  <c r="U72" i="1"/>
  <c r="T72" i="1"/>
  <c r="I72" i="1"/>
  <c r="G72" i="1"/>
  <c r="F72" i="1"/>
  <c r="U71" i="1"/>
  <c r="T71" i="1"/>
  <c r="I71" i="1"/>
  <c r="G71" i="1"/>
  <c r="F71" i="1"/>
  <c r="U70" i="1"/>
  <c r="T70" i="1"/>
  <c r="I70" i="1"/>
  <c r="G70" i="1"/>
  <c r="F70" i="1"/>
  <c r="U69" i="1"/>
  <c r="T69" i="1"/>
  <c r="I69" i="1"/>
  <c r="G69" i="1"/>
  <c r="F69" i="1"/>
  <c r="U68" i="1"/>
  <c r="T68" i="1"/>
  <c r="I68" i="1"/>
  <c r="G68" i="1"/>
  <c r="F68" i="1"/>
  <c r="U67" i="1"/>
  <c r="T67" i="1"/>
  <c r="I67" i="1"/>
  <c r="G67" i="1"/>
  <c r="F67" i="1"/>
  <c r="U66" i="1"/>
  <c r="T66" i="1"/>
  <c r="I66" i="1"/>
  <c r="C10" i="8" s="1"/>
  <c r="G66" i="1"/>
  <c r="M77" i="5" s="1"/>
  <c r="F66" i="1"/>
  <c r="J78" i="4" s="1"/>
  <c r="U65" i="1"/>
  <c r="T65" i="1"/>
  <c r="I65" i="1"/>
  <c r="G65" i="1"/>
  <c r="F65" i="1"/>
  <c r="U64" i="1"/>
  <c r="T64" i="1"/>
  <c r="I64" i="1"/>
  <c r="G64" i="1"/>
  <c r="F64" i="1"/>
  <c r="U63" i="1"/>
  <c r="T63" i="1"/>
  <c r="I63" i="1"/>
  <c r="G63" i="1"/>
  <c r="F63" i="1"/>
  <c r="U62" i="1"/>
  <c r="T62" i="1"/>
  <c r="I62" i="1"/>
  <c r="G62" i="1"/>
  <c r="F62" i="1"/>
  <c r="U61" i="1"/>
  <c r="T61" i="1"/>
  <c r="I61" i="1"/>
  <c r="G61" i="1"/>
  <c r="F61" i="1"/>
  <c r="U60" i="1"/>
  <c r="T60" i="1"/>
  <c r="I60" i="1"/>
  <c r="G60" i="1"/>
  <c r="F60" i="1"/>
  <c r="U59" i="1"/>
  <c r="T59" i="1"/>
  <c r="I59" i="1"/>
  <c r="C9" i="8" s="1"/>
  <c r="G59" i="1"/>
  <c r="K71" i="4" s="1"/>
  <c r="F59" i="1"/>
  <c r="J64" i="4" s="1"/>
  <c r="U58" i="1"/>
  <c r="T58" i="1"/>
  <c r="I58" i="1"/>
  <c r="G58" i="1"/>
  <c r="F58" i="1"/>
  <c r="U57" i="1"/>
  <c r="T57" i="1"/>
  <c r="I57" i="1"/>
  <c r="G57" i="1"/>
  <c r="F57" i="1"/>
  <c r="U56" i="1"/>
  <c r="T56" i="1"/>
  <c r="I56" i="1"/>
  <c r="G56" i="1"/>
  <c r="F56" i="1"/>
  <c r="U55" i="1"/>
  <c r="T55" i="1"/>
  <c r="I55" i="1"/>
  <c r="G55" i="1"/>
  <c r="F55" i="1"/>
  <c r="U54" i="1"/>
  <c r="T54" i="1"/>
  <c r="I54" i="1"/>
  <c r="G54" i="1"/>
  <c r="F54" i="1"/>
  <c r="U53" i="1"/>
  <c r="T53" i="1"/>
  <c r="I53" i="1"/>
  <c r="G53" i="1"/>
  <c r="F53" i="1"/>
  <c r="U52" i="1"/>
  <c r="T52" i="1"/>
  <c r="I52" i="1"/>
  <c r="C8" i="8" s="1"/>
  <c r="G52" i="1"/>
  <c r="M68" i="5" s="1"/>
  <c r="F52" i="1"/>
  <c r="L67" i="5" s="1"/>
  <c r="U51" i="1"/>
  <c r="T51" i="1"/>
  <c r="I51" i="1"/>
  <c r="G51" i="1"/>
  <c r="F51" i="1"/>
  <c r="U50" i="1"/>
  <c r="T50" i="1"/>
  <c r="I50" i="1"/>
  <c r="G50" i="1"/>
  <c r="F50" i="1"/>
  <c r="U49" i="1"/>
  <c r="T49" i="1"/>
  <c r="I49" i="1"/>
  <c r="G49" i="1"/>
  <c r="F49" i="1"/>
  <c r="U48" i="1"/>
  <c r="T48" i="1"/>
  <c r="I48" i="1"/>
  <c r="G48" i="1"/>
  <c r="F48" i="1"/>
  <c r="U47" i="1"/>
  <c r="T47" i="1"/>
  <c r="I47" i="1"/>
  <c r="G47" i="1"/>
  <c r="F47" i="1"/>
  <c r="U46" i="1"/>
  <c r="T46" i="1"/>
  <c r="I46" i="1"/>
  <c r="G46" i="1"/>
  <c r="F46" i="1"/>
  <c r="U45" i="1"/>
  <c r="T45" i="1"/>
  <c r="I45" i="1"/>
  <c r="G45" i="1"/>
  <c r="F45" i="1"/>
  <c r="U44" i="1"/>
  <c r="T44" i="1"/>
  <c r="I44" i="1"/>
  <c r="G44" i="1"/>
  <c r="F44" i="1"/>
  <c r="U43" i="1"/>
  <c r="T43" i="1"/>
  <c r="I43" i="1"/>
  <c r="C7" i="8" s="1"/>
  <c r="G43" i="1"/>
  <c r="M60" i="5" s="1"/>
  <c r="F43" i="1"/>
  <c r="J54" i="4" s="1"/>
  <c r="U42" i="1"/>
  <c r="T42" i="1"/>
  <c r="I42" i="1"/>
  <c r="G42" i="1"/>
  <c r="F42" i="1"/>
  <c r="U41" i="1"/>
  <c r="T41" i="1"/>
  <c r="I41" i="1"/>
  <c r="G41" i="1"/>
  <c r="F41" i="1"/>
  <c r="U40" i="1"/>
  <c r="T40" i="1"/>
  <c r="I40" i="1"/>
  <c r="G40" i="1"/>
  <c r="F40" i="1"/>
  <c r="U39" i="1"/>
  <c r="T39" i="1"/>
  <c r="I39" i="1"/>
  <c r="G39" i="1"/>
  <c r="F39" i="1"/>
  <c r="U38" i="1"/>
  <c r="T38" i="1"/>
  <c r="I38" i="1"/>
  <c r="G38" i="1"/>
  <c r="B5" i="22" s="1"/>
  <c r="F38" i="1"/>
  <c r="U37" i="1"/>
  <c r="T37" i="1"/>
  <c r="I37" i="1"/>
  <c r="G37" i="1"/>
  <c r="F37" i="1"/>
  <c r="U36" i="1"/>
  <c r="T36" i="1"/>
  <c r="I36" i="1"/>
  <c r="G36" i="1"/>
  <c r="F36" i="1"/>
  <c r="U35" i="1"/>
  <c r="T35" i="1"/>
  <c r="I35" i="1"/>
  <c r="G35" i="1"/>
  <c r="F35" i="1"/>
  <c r="U34" i="1"/>
  <c r="T34" i="1"/>
  <c r="I34" i="1"/>
  <c r="C6" i="8" s="1"/>
  <c r="G34" i="1"/>
  <c r="D8" i="11" s="1"/>
  <c r="E8" i="11" s="1"/>
  <c r="F34" i="1"/>
  <c r="L43" i="5" s="1"/>
  <c r="U33" i="1"/>
  <c r="T33" i="1"/>
  <c r="I33" i="1"/>
  <c r="G33" i="1"/>
  <c r="B33" i="22" s="1"/>
  <c r="F33" i="1"/>
  <c r="U32" i="1"/>
  <c r="T32" i="1"/>
  <c r="I32" i="1"/>
  <c r="G32" i="1"/>
  <c r="F32" i="1"/>
  <c r="U31" i="1"/>
  <c r="T31" i="1"/>
  <c r="I31" i="1"/>
  <c r="G31" i="1"/>
  <c r="F31" i="1"/>
  <c r="U30" i="1"/>
  <c r="T30" i="1"/>
  <c r="I30" i="1"/>
  <c r="G30" i="1"/>
  <c r="F30" i="1"/>
  <c r="U29" i="1"/>
  <c r="T29" i="1"/>
  <c r="I29" i="1"/>
  <c r="C5" i="8" s="1"/>
  <c r="G29" i="1"/>
  <c r="C9" i="21" s="1"/>
  <c r="F29" i="1"/>
  <c r="J30" i="4" s="1"/>
  <c r="U28" i="1"/>
  <c r="T28" i="1"/>
  <c r="I28" i="1"/>
  <c r="G28" i="1"/>
  <c r="B19" i="22" s="1"/>
  <c r="F28" i="1"/>
  <c r="U27" i="1"/>
  <c r="T27" i="1"/>
  <c r="I27" i="1"/>
  <c r="G27" i="1"/>
  <c r="F27" i="1"/>
  <c r="U26" i="1"/>
  <c r="T26" i="1"/>
  <c r="I26" i="1"/>
  <c r="G26" i="1"/>
  <c r="F26" i="1"/>
  <c r="U25" i="1"/>
  <c r="T25" i="1"/>
  <c r="I25" i="1"/>
  <c r="G25" i="1"/>
  <c r="F25" i="1"/>
  <c r="U24" i="1"/>
  <c r="T24" i="1"/>
  <c r="I24" i="1"/>
  <c r="G24" i="1"/>
  <c r="F24" i="1"/>
  <c r="U23" i="1"/>
  <c r="T23" i="1"/>
  <c r="I23" i="1"/>
  <c r="G23" i="1"/>
  <c r="F23" i="1"/>
  <c r="U22" i="1"/>
  <c r="T22" i="1"/>
  <c r="I22" i="1"/>
  <c r="G22" i="1"/>
  <c r="F22" i="1"/>
  <c r="U21" i="1"/>
  <c r="T21" i="1"/>
  <c r="I21" i="1"/>
  <c r="G21" i="1"/>
  <c r="F21" i="1"/>
  <c r="U20" i="1"/>
  <c r="T20" i="1"/>
  <c r="I20" i="1"/>
  <c r="C4" i="8" s="1"/>
  <c r="G20" i="1"/>
  <c r="K23" i="4" s="1"/>
  <c r="F20" i="1"/>
  <c r="J23" i="4" s="1"/>
  <c r="U19" i="1"/>
  <c r="T19" i="1"/>
  <c r="I19" i="1"/>
  <c r="G19" i="1"/>
  <c r="B28" i="22" s="1"/>
  <c r="F19" i="1"/>
  <c r="U18" i="1"/>
  <c r="T18" i="1"/>
  <c r="I18" i="1"/>
  <c r="G18" i="1"/>
  <c r="F18" i="1"/>
  <c r="U17" i="1"/>
  <c r="T17" i="1"/>
  <c r="I17" i="1"/>
  <c r="G17" i="1"/>
  <c r="F17" i="1"/>
  <c r="U16" i="1"/>
  <c r="T16" i="1"/>
  <c r="I16" i="1"/>
  <c r="G16" i="1"/>
  <c r="F16" i="1"/>
  <c r="U15" i="1"/>
  <c r="T15" i="1"/>
  <c r="I15" i="1"/>
  <c r="G15" i="1"/>
  <c r="F15" i="1"/>
  <c r="U14" i="1"/>
  <c r="T14" i="1"/>
  <c r="I14" i="1"/>
  <c r="G14" i="1"/>
  <c r="F14" i="1"/>
  <c r="U13" i="1"/>
  <c r="T13" i="1"/>
  <c r="I13" i="1"/>
  <c r="G13" i="1"/>
  <c r="B20" i="22" s="1"/>
  <c r="F13" i="1"/>
  <c r="U12" i="1"/>
  <c r="T12" i="1"/>
  <c r="I12" i="1"/>
  <c r="G12" i="1"/>
  <c r="F12" i="1"/>
  <c r="U11" i="1"/>
  <c r="T11" i="1"/>
  <c r="I11" i="1"/>
  <c r="C3" i="8" s="1"/>
  <c r="G11" i="1"/>
  <c r="K16" i="4" s="1"/>
  <c r="F11" i="1"/>
  <c r="L19" i="5" s="1"/>
  <c r="U10" i="1"/>
  <c r="T10" i="1"/>
  <c r="I10" i="1"/>
  <c r="G10" i="1"/>
  <c r="F10" i="1"/>
  <c r="U9" i="1"/>
  <c r="T9" i="1"/>
  <c r="I9" i="1"/>
  <c r="G9" i="1"/>
  <c r="F9" i="1"/>
  <c r="U8" i="1"/>
  <c r="T8" i="1"/>
  <c r="I8" i="1"/>
  <c r="G8" i="1"/>
  <c r="F8" i="1"/>
  <c r="U7" i="1"/>
  <c r="T7" i="1"/>
  <c r="I7" i="1"/>
  <c r="G7" i="1"/>
  <c r="F7" i="1"/>
  <c r="U6" i="1"/>
  <c r="T6" i="1"/>
  <c r="I6" i="1"/>
  <c r="G6" i="1"/>
  <c r="F6" i="1"/>
  <c r="U5" i="1"/>
  <c r="T5" i="1"/>
  <c r="I5" i="1"/>
  <c r="G5" i="1"/>
  <c r="F5" i="1"/>
  <c r="U4" i="1"/>
  <c r="T4" i="1"/>
  <c r="I4" i="1"/>
  <c r="G4" i="1"/>
  <c r="B10" i="22" s="1"/>
  <c r="F4" i="1"/>
  <c r="U3" i="1"/>
  <c r="T3" i="1"/>
  <c r="I3" i="1"/>
  <c r="G3" i="1"/>
  <c r="F3" i="1"/>
  <c r="U2" i="1"/>
  <c r="T2" i="1"/>
  <c r="I2" i="1"/>
  <c r="C2" i="8" s="1"/>
  <c r="G2" i="1"/>
  <c r="M10" i="5" s="1"/>
  <c r="F2" i="1"/>
  <c r="J7" i="4" s="1"/>
  <c r="D6" i="13" l="1"/>
  <c r="H2" i="9"/>
  <c r="E2" i="9"/>
  <c r="G2" i="9" s="1"/>
  <c r="B3" i="10"/>
  <c r="K13" i="4"/>
  <c r="J20" i="4"/>
  <c r="K37" i="4"/>
  <c r="J44" i="4"/>
  <c r="K61" i="4"/>
  <c r="K85" i="4"/>
  <c r="J116" i="4"/>
  <c r="K133" i="4"/>
  <c r="M2" i="5"/>
  <c r="L9" i="5"/>
  <c r="M26" i="5"/>
  <c r="L33" i="5"/>
  <c r="M50" i="5"/>
  <c r="L57" i="5"/>
  <c r="M74" i="5"/>
  <c r="L81" i="5"/>
  <c r="M98" i="5"/>
  <c r="L105" i="5"/>
  <c r="M122" i="5"/>
  <c r="L129" i="5"/>
  <c r="M146" i="5"/>
  <c r="L153" i="5"/>
  <c r="S7" i="8"/>
  <c r="S13" i="8"/>
  <c r="S19" i="8"/>
  <c r="L3" i="11"/>
  <c r="M3" i="11" s="1"/>
  <c r="F6" i="11"/>
  <c r="G6" i="11" s="1"/>
  <c r="J3" i="4"/>
  <c r="J27" i="4"/>
  <c r="K44" i="4"/>
  <c r="J51" i="4"/>
  <c r="K68" i="4"/>
  <c r="K92" i="4"/>
  <c r="J99" i="4"/>
  <c r="K116" i="4"/>
  <c r="J123" i="4"/>
  <c r="M9" i="5"/>
  <c r="L16" i="5"/>
  <c r="M33" i="5"/>
  <c r="L40" i="5"/>
  <c r="M57" i="5"/>
  <c r="L64" i="5"/>
  <c r="M81" i="5"/>
  <c r="L88" i="5"/>
  <c r="M105" i="5"/>
  <c r="L112" i="5"/>
  <c r="M129" i="5"/>
  <c r="L136" i="5"/>
  <c r="M153" i="5"/>
  <c r="T7" i="8"/>
  <c r="T13" i="8"/>
  <c r="T19" i="8"/>
  <c r="L8" i="11"/>
  <c r="M8" i="11" s="1"/>
  <c r="J4" i="13"/>
  <c r="K3" i="4"/>
  <c r="K51" i="4"/>
  <c r="M16" i="5"/>
  <c r="L23" i="5"/>
  <c r="M40" i="5"/>
  <c r="L47" i="5"/>
  <c r="M64" i="5"/>
  <c r="M88" i="5"/>
  <c r="L95" i="5"/>
  <c r="M112" i="5"/>
  <c r="L119" i="5"/>
  <c r="M136" i="5"/>
  <c r="L143" i="5"/>
  <c r="D4" i="11"/>
  <c r="E4" i="11" s="1"/>
  <c r="H6" i="11"/>
  <c r="I6" i="11" s="1"/>
  <c r="K4" i="13"/>
  <c r="M19" i="5"/>
  <c r="J10" i="4"/>
  <c r="J34" i="4"/>
  <c r="J58" i="4"/>
  <c r="K123" i="4"/>
  <c r="B34" i="22"/>
  <c r="K10" i="4"/>
  <c r="J17" i="4"/>
  <c r="K34" i="4"/>
  <c r="B7" i="17" s="1"/>
  <c r="J41" i="4"/>
  <c r="K58" i="4"/>
  <c r="J65" i="4"/>
  <c r="K82" i="4"/>
  <c r="J89" i="4"/>
  <c r="K106" i="4"/>
  <c r="J113" i="4"/>
  <c r="K130" i="4"/>
  <c r="J137" i="4"/>
  <c r="L6" i="5"/>
  <c r="M23" i="5"/>
  <c r="L30" i="5"/>
  <c r="M47" i="5"/>
  <c r="L54" i="5"/>
  <c r="M71" i="5"/>
  <c r="L78" i="5"/>
  <c r="M95" i="5"/>
  <c r="L102" i="5"/>
  <c r="M119" i="5"/>
  <c r="L126" i="5"/>
  <c r="M143" i="5"/>
  <c r="L150" i="5"/>
  <c r="D9" i="13"/>
  <c r="M67" i="5"/>
  <c r="K17" i="4"/>
  <c r="K41" i="4"/>
  <c r="K65" i="4"/>
  <c r="K89" i="4"/>
  <c r="J96" i="4"/>
  <c r="K113" i="4"/>
  <c r="J120" i="4"/>
  <c r="K137" i="4"/>
  <c r="M6" i="5"/>
  <c r="L13" i="5"/>
  <c r="M30" i="5"/>
  <c r="L37" i="5"/>
  <c r="M54" i="5"/>
  <c r="L61" i="5"/>
  <c r="M78" i="5"/>
  <c r="L85" i="5"/>
  <c r="M102" i="5"/>
  <c r="L109" i="5"/>
  <c r="M126" i="5"/>
  <c r="L133" i="5"/>
  <c r="M150" i="5"/>
  <c r="L157" i="5"/>
  <c r="S6" i="8"/>
  <c r="S12" i="8"/>
  <c r="S18" i="8"/>
  <c r="S24" i="8"/>
  <c r="F4" i="11"/>
  <c r="G4" i="11" s="1"/>
  <c r="K54" i="4"/>
  <c r="J24" i="4"/>
  <c r="J48" i="4"/>
  <c r="K24" i="4"/>
  <c r="J31" i="4"/>
  <c r="K48" i="4"/>
  <c r="J55" i="4"/>
  <c r="K72" i="4"/>
  <c r="J79" i="4"/>
  <c r="K96" i="4"/>
  <c r="J103" i="4"/>
  <c r="K120" i="4"/>
  <c r="J127" i="4"/>
  <c r="M13" i="5"/>
  <c r="L20" i="5"/>
  <c r="M37" i="5"/>
  <c r="L44" i="5"/>
  <c r="M61" i="5"/>
  <c r="L68" i="5"/>
  <c r="M85" i="5"/>
  <c r="L92" i="5"/>
  <c r="M109" i="5"/>
  <c r="L116" i="5"/>
  <c r="M133" i="5"/>
  <c r="L140" i="5"/>
  <c r="M157" i="5"/>
  <c r="T6" i="8"/>
  <c r="T12" i="8"/>
  <c r="T18" i="8"/>
  <c r="T24" i="8"/>
  <c r="F9" i="11"/>
  <c r="G9" i="11" s="1"/>
  <c r="C3" i="21"/>
  <c r="C6" i="25"/>
  <c r="K7" i="4"/>
  <c r="K31" i="4"/>
  <c r="J38" i="4"/>
  <c r="K55" i="4"/>
  <c r="J62" i="4"/>
  <c r="K103" i="4"/>
  <c r="J110" i="4"/>
  <c r="J134" i="4"/>
  <c r="L3" i="5"/>
  <c r="M20" i="5"/>
  <c r="L27" i="5"/>
  <c r="M44" i="5"/>
  <c r="L51" i="5"/>
  <c r="L75" i="5"/>
  <c r="M92" i="5"/>
  <c r="L99" i="5"/>
  <c r="M116" i="5"/>
  <c r="L123" i="5"/>
  <c r="M140" i="5"/>
  <c r="L147" i="5"/>
  <c r="L6" i="11"/>
  <c r="M6" i="11" s="1"/>
  <c r="D2" i="13"/>
  <c r="E2" i="13" s="1"/>
  <c r="C6" i="21"/>
  <c r="C5" i="21"/>
  <c r="D5" i="21" s="1"/>
  <c r="B36" i="22"/>
  <c r="M75" i="5"/>
  <c r="L82" i="5"/>
  <c r="L106" i="5"/>
  <c r="M123" i="5"/>
  <c r="L130" i="5"/>
  <c r="M147" i="5"/>
  <c r="L154" i="5"/>
  <c r="H9" i="11"/>
  <c r="I9" i="11" s="1"/>
  <c r="D5" i="13"/>
  <c r="E5" i="13" s="1"/>
  <c r="J61" i="4"/>
  <c r="B7" i="22"/>
  <c r="K14" i="4"/>
  <c r="K38" i="4"/>
  <c r="J93" i="4"/>
  <c r="K134" i="4"/>
  <c r="L58" i="5"/>
  <c r="N3" i="13"/>
  <c r="J3" i="13"/>
  <c r="J4" i="4"/>
  <c r="K21" i="4"/>
  <c r="J28" i="4"/>
  <c r="K45" i="4"/>
  <c r="J52" i="4"/>
  <c r="K69" i="4"/>
  <c r="J76" i="4"/>
  <c r="K93" i="4"/>
  <c r="J100" i="4"/>
  <c r="K117" i="4"/>
  <c r="J124" i="4"/>
  <c r="L17" i="5"/>
  <c r="M34" i="5"/>
  <c r="L41" i="5"/>
  <c r="M58" i="5"/>
  <c r="L65" i="5"/>
  <c r="M82" i="5"/>
  <c r="L89" i="5"/>
  <c r="M106" i="5"/>
  <c r="L113" i="5"/>
  <c r="M130" i="5"/>
  <c r="L137" i="5"/>
  <c r="M154" i="5"/>
  <c r="S5" i="8"/>
  <c r="S11" i="8"/>
  <c r="S23" i="8"/>
  <c r="F2" i="11"/>
  <c r="G2" i="11" s="1"/>
  <c r="D10" i="13"/>
  <c r="J37" i="4"/>
  <c r="C5" i="25"/>
  <c r="N4" i="13"/>
  <c r="B14" i="22"/>
  <c r="C8" i="21"/>
  <c r="J21" i="4"/>
  <c r="J45" i="4"/>
  <c r="K110" i="4"/>
  <c r="M3" i="5"/>
  <c r="L10" i="5"/>
  <c r="M27" i="5"/>
  <c r="M51" i="5"/>
  <c r="B2" i="22"/>
  <c r="C41" i="22" s="1"/>
  <c r="K4" i="4"/>
  <c r="J11" i="4"/>
  <c r="K28" i="4"/>
  <c r="J35" i="4"/>
  <c r="K52" i="4"/>
  <c r="J59" i="4"/>
  <c r="K76" i="4"/>
  <c r="J83" i="4"/>
  <c r="K100" i="4"/>
  <c r="J107" i="4"/>
  <c r="K124" i="4"/>
  <c r="J131" i="4"/>
  <c r="M17" i="5"/>
  <c r="L24" i="5"/>
  <c r="M41" i="5"/>
  <c r="L48" i="5"/>
  <c r="M65" i="5"/>
  <c r="L72" i="5"/>
  <c r="M89" i="5"/>
  <c r="L96" i="5"/>
  <c r="M113" i="5"/>
  <c r="L120" i="5"/>
  <c r="M137" i="5"/>
  <c r="L144" i="5"/>
  <c r="T5" i="8"/>
  <c r="T11" i="8"/>
  <c r="T23" i="8"/>
  <c r="K2" i="13"/>
  <c r="K62" i="4"/>
  <c r="K86" i="4"/>
  <c r="J117" i="4"/>
  <c r="L34" i="5"/>
  <c r="K11" i="4"/>
  <c r="J18" i="4"/>
  <c r="K35" i="4"/>
  <c r="B6" i="17" s="1"/>
  <c r="J42" i="4"/>
  <c r="K59" i="4"/>
  <c r="J66" i="4"/>
  <c r="K83" i="4"/>
  <c r="J90" i="4"/>
  <c r="K107" i="4"/>
  <c r="J114" i="4"/>
  <c r="K131" i="4"/>
  <c r="J138" i="4"/>
  <c r="L7" i="5"/>
  <c r="M24" i="5"/>
  <c r="L31" i="5"/>
  <c r="M48" i="5"/>
  <c r="L55" i="5"/>
  <c r="M72" i="5"/>
  <c r="L79" i="5"/>
  <c r="M96" i="5"/>
  <c r="L103" i="5"/>
  <c r="M120" i="5"/>
  <c r="L127" i="5"/>
  <c r="M144" i="5"/>
  <c r="L151" i="5"/>
  <c r="L4" i="11"/>
  <c r="M4" i="11" s="1"/>
  <c r="L9" i="11"/>
  <c r="M9" i="11" s="1"/>
  <c r="K18" i="4"/>
  <c r="J49" i="4"/>
  <c r="K66" i="4"/>
  <c r="K90" i="4"/>
  <c r="B9" i="17" s="1"/>
  <c r="K114" i="4"/>
  <c r="J121" i="4"/>
  <c r="M7" i="5"/>
  <c r="L14" i="5"/>
  <c r="M31" i="5"/>
  <c r="L38" i="5"/>
  <c r="M55" i="5"/>
  <c r="L62" i="5"/>
  <c r="M79" i="5"/>
  <c r="L86" i="5"/>
  <c r="M103" i="5"/>
  <c r="L110" i="5"/>
  <c r="M127" i="5"/>
  <c r="L134" i="5"/>
  <c r="M151" i="5"/>
  <c r="L5" i="13"/>
  <c r="M5" i="13" s="1"/>
  <c r="J8" i="4"/>
  <c r="J32" i="4"/>
  <c r="K49" i="4"/>
  <c r="J56" i="4"/>
  <c r="K121" i="4"/>
  <c r="M14" i="5"/>
  <c r="L21" i="5"/>
  <c r="M38" i="5"/>
  <c r="L45" i="5"/>
  <c r="M62" i="5"/>
  <c r="L69" i="5"/>
  <c r="M86" i="5"/>
  <c r="L93" i="5"/>
  <c r="M110" i="5"/>
  <c r="L117" i="5"/>
  <c r="M134" i="5"/>
  <c r="L141" i="5"/>
  <c r="S4" i="8"/>
  <c r="S10" i="8"/>
  <c r="S16" i="8"/>
  <c r="D5" i="11"/>
  <c r="E5" i="11" s="1"/>
  <c r="B11" i="22"/>
  <c r="K8" i="4"/>
  <c r="K32" i="4"/>
  <c r="J39" i="4"/>
  <c r="K56" i="4"/>
  <c r="J63" i="4"/>
  <c r="K80" i="4"/>
  <c r="J87" i="4"/>
  <c r="K104" i="4"/>
  <c r="J111" i="4"/>
  <c r="K128" i="4"/>
  <c r="J135" i="4"/>
  <c r="L4" i="5"/>
  <c r="M21" i="5"/>
  <c r="L28" i="5"/>
  <c r="M45" i="5"/>
  <c r="L52" i="5"/>
  <c r="M69" i="5"/>
  <c r="L76" i="5"/>
  <c r="M93" i="5"/>
  <c r="L100" i="5"/>
  <c r="M117" i="5"/>
  <c r="L124" i="5"/>
  <c r="M141" i="5"/>
  <c r="L148" i="5"/>
  <c r="T4" i="8"/>
  <c r="T10" i="8"/>
  <c r="T16" i="8"/>
  <c r="T22" i="8"/>
  <c r="K15" i="4"/>
  <c r="K63" i="4"/>
  <c r="K111" i="4"/>
  <c r="J118" i="4"/>
  <c r="M4" i="5"/>
  <c r="L11" i="5"/>
  <c r="L35" i="5"/>
  <c r="M52" i="5"/>
  <c r="L59" i="5"/>
  <c r="L107" i="5"/>
  <c r="M124" i="5"/>
  <c r="L131" i="5"/>
  <c r="M148" i="5"/>
  <c r="L155" i="5"/>
  <c r="L2" i="11"/>
  <c r="M2" i="11" s="1"/>
  <c r="F5" i="11"/>
  <c r="G5" i="11" s="1"/>
  <c r="E6" i="13"/>
  <c r="J5" i="4"/>
  <c r="J29" i="4"/>
  <c r="K46" i="4"/>
  <c r="J53" i="4"/>
  <c r="K70" i="4"/>
  <c r="J101" i="4"/>
  <c r="K118" i="4"/>
  <c r="M11" i="5"/>
  <c r="L18" i="5"/>
  <c r="M35" i="5"/>
  <c r="L42" i="5"/>
  <c r="M59" i="5"/>
  <c r="L66" i="5"/>
  <c r="M83" i="5"/>
  <c r="L90" i="5"/>
  <c r="M107" i="5"/>
  <c r="L114" i="5"/>
  <c r="M131" i="5"/>
  <c r="L138" i="5"/>
  <c r="M155" i="5"/>
  <c r="C39" i="22"/>
  <c r="K29" i="4"/>
  <c r="J36" i="4"/>
  <c r="K53" i="4"/>
  <c r="J60" i="4"/>
  <c r="J108" i="4"/>
  <c r="M18" i="5"/>
  <c r="L25" i="5"/>
  <c r="M42" i="5"/>
  <c r="L49" i="5"/>
  <c r="M66" i="5"/>
  <c r="L73" i="5"/>
  <c r="M90" i="5"/>
  <c r="L97" i="5"/>
  <c r="M114" i="5"/>
  <c r="L121" i="5"/>
  <c r="M138" i="5"/>
  <c r="L145" i="5"/>
  <c r="S3" i="8"/>
  <c r="S9" i="8"/>
  <c r="S15" i="8"/>
  <c r="S21" i="8"/>
  <c r="K12" i="4"/>
  <c r="K36" i="4"/>
  <c r="J43" i="4"/>
  <c r="K60" i="4"/>
  <c r="K84" i="4"/>
  <c r="J115" i="4"/>
  <c r="K132" i="4"/>
  <c r="L8" i="5"/>
  <c r="M25" i="5"/>
  <c r="L32" i="5"/>
  <c r="M49" i="5"/>
  <c r="L56" i="5"/>
  <c r="M73" i="5"/>
  <c r="L80" i="5"/>
  <c r="M97" i="5"/>
  <c r="L104" i="5"/>
  <c r="M121" i="5"/>
  <c r="L128" i="5"/>
  <c r="M145" i="5"/>
  <c r="L152" i="5"/>
  <c r="T3" i="8"/>
  <c r="T9" i="8"/>
  <c r="T15" i="8"/>
  <c r="T21" i="8"/>
  <c r="K3" i="13"/>
  <c r="D13" i="13"/>
  <c r="B30" i="22"/>
  <c r="J2" i="13"/>
  <c r="N2" i="13"/>
  <c r="J2" i="4"/>
  <c r="K19" i="4"/>
  <c r="B3" i="17" s="1"/>
  <c r="J26" i="4"/>
  <c r="K43" i="4"/>
  <c r="J50" i="4"/>
  <c r="K67" i="4"/>
  <c r="J74" i="4"/>
  <c r="K91" i="4"/>
  <c r="J98" i="4"/>
  <c r="K115" i="4"/>
  <c r="J122" i="4"/>
  <c r="K139" i="4"/>
  <c r="M8" i="5"/>
  <c r="L15" i="5"/>
  <c r="M32" i="5"/>
  <c r="L39" i="5"/>
  <c r="M56" i="5"/>
  <c r="L63" i="5"/>
  <c r="M80" i="5"/>
  <c r="L87" i="5"/>
  <c r="M104" i="5"/>
  <c r="L111" i="5"/>
  <c r="M128" i="5"/>
  <c r="L135" i="5"/>
  <c r="M152" i="5"/>
  <c r="F3" i="11"/>
  <c r="G3" i="11" s="1"/>
  <c r="H58" i="23"/>
  <c r="K2" i="4"/>
  <c r="J9" i="4"/>
  <c r="K26" i="4"/>
  <c r="J33" i="4"/>
  <c r="K50" i="4"/>
  <c r="J57" i="4"/>
  <c r="K74" i="4"/>
  <c r="J81" i="4"/>
  <c r="K98" i="4"/>
  <c r="J105" i="4"/>
  <c r="K122" i="4"/>
  <c r="J129" i="4"/>
  <c r="M15" i="5"/>
  <c r="L22" i="5"/>
  <c r="M39" i="5"/>
  <c r="L46" i="5"/>
  <c r="M63" i="5"/>
  <c r="L70" i="5"/>
  <c r="M87" i="5"/>
  <c r="L94" i="5"/>
  <c r="M111" i="5"/>
  <c r="M135" i="5"/>
  <c r="L142" i="5"/>
  <c r="F8" i="11"/>
  <c r="G8" i="11" s="1"/>
  <c r="H68" i="23"/>
  <c r="D9" i="21"/>
  <c r="K9" i="4"/>
  <c r="J16" i="4"/>
  <c r="K33" i="4"/>
  <c r="J40" i="4"/>
  <c r="K57" i="4"/>
  <c r="K81" i="4"/>
  <c r="J88" i="4"/>
  <c r="K105" i="4"/>
  <c r="J112" i="4"/>
  <c r="K129" i="4"/>
  <c r="L5" i="5"/>
  <c r="M22" i="5"/>
  <c r="L29" i="5"/>
  <c r="M46" i="5"/>
  <c r="L53" i="5"/>
  <c r="M70" i="5"/>
  <c r="L77" i="5"/>
  <c r="M94" i="5"/>
  <c r="L101" i="5"/>
  <c r="L125" i="5"/>
  <c r="M142" i="5"/>
  <c r="L149" i="5"/>
  <c r="S2" i="8"/>
  <c r="S8" i="8"/>
  <c r="S14" i="8"/>
  <c r="S20" i="8"/>
  <c r="L5" i="11"/>
  <c r="M5" i="11" s="1"/>
  <c r="D7" i="13"/>
  <c r="E7" i="13" s="1"/>
  <c r="J95" i="4"/>
  <c r="K112" i="4"/>
  <c r="J119" i="4"/>
  <c r="M5" i="5"/>
  <c r="L12" i="5"/>
  <c r="M29" i="5"/>
  <c r="L36" i="5"/>
  <c r="M53" i="5"/>
  <c r="L60" i="5"/>
  <c r="M101" i="5"/>
  <c r="L108" i="5"/>
  <c r="T2" i="8"/>
  <c r="T8" i="8"/>
  <c r="T14" i="8"/>
  <c r="T20" i="8"/>
  <c r="H8" i="11"/>
  <c r="I8" i="11" s="1"/>
  <c r="B15" i="22"/>
  <c r="C4" i="21"/>
  <c r="B4" i="22"/>
  <c r="C4" i="22" s="1"/>
  <c r="K40" i="4"/>
  <c r="J47" i="4"/>
  <c r="B18" i="22"/>
  <c r="J6" i="4"/>
  <c r="K47" i="4"/>
  <c r="K95" i="4"/>
  <c r="K119" i="4"/>
  <c r="J126" i="4"/>
  <c r="M12" i="5"/>
  <c r="B6" i="18" s="1"/>
  <c r="M36" i="5"/>
  <c r="M108" i="5"/>
  <c r="M156" i="5"/>
  <c r="M91" i="5"/>
  <c r="E8" i="13"/>
  <c r="I4" i="23"/>
  <c r="I8" i="23"/>
  <c r="I12" i="23"/>
  <c r="I14" i="23"/>
  <c r="I18" i="23"/>
  <c r="I24" i="23"/>
  <c r="I44" i="23"/>
  <c r="I52" i="23"/>
  <c r="I56" i="23"/>
  <c r="I60" i="23"/>
  <c r="I62" i="23"/>
  <c r="I66" i="23"/>
  <c r="I72" i="23"/>
  <c r="E85" i="23"/>
  <c r="J87" i="23"/>
  <c r="E97" i="23"/>
  <c r="J99" i="23"/>
  <c r="H107" i="23"/>
  <c r="K107" i="23" s="1"/>
  <c r="E109" i="23"/>
  <c r="G116" i="23"/>
  <c r="I116" i="23" s="1"/>
  <c r="C129" i="23"/>
  <c r="C133" i="23"/>
  <c r="C137" i="23"/>
  <c r="C141" i="23"/>
  <c r="C145" i="23"/>
  <c r="J167" i="23"/>
  <c r="G167" i="23"/>
  <c r="I167" i="23" s="1"/>
  <c r="L176" i="23"/>
  <c r="K176" i="23"/>
  <c r="J176" i="23"/>
  <c r="I176" i="23"/>
  <c r="H176" i="23"/>
  <c r="G176" i="23"/>
  <c r="E176" i="23"/>
  <c r="C176" i="23"/>
  <c r="B176" i="23"/>
  <c r="J2" i="23"/>
  <c r="J4" i="23"/>
  <c r="J6" i="23"/>
  <c r="J8" i="23"/>
  <c r="J10" i="23"/>
  <c r="J12" i="23"/>
  <c r="J14" i="23"/>
  <c r="J16" i="23"/>
  <c r="J18" i="23"/>
  <c r="J20" i="23"/>
  <c r="J22" i="23"/>
  <c r="J24" i="23"/>
  <c r="J26" i="23"/>
  <c r="J28" i="23"/>
  <c r="J30" i="23"/>
  <c r="J32" i="23"/>
  <c r="J34" i="23"/>
  <c r="J36" i="23"/>
  <c r="J38" i="23"/>
  <c r="J40" i="23"/>
  <c r="J42" i="23"/>
  <c r="J44" i="23"/>
  <c r="J46" i="23"/>
  <c r="J48" i="23"/>
  <c r="J50" i="23"/>
  <c r="J52" i="23"/>
  <c r="J54" i="23"/>
  <c r="J56" i="23"/>
  <c r="J58" i="23"/>
  <c r="J60" i="23"/>
  <c r="J62" i="23"/>
  <c r="J64" i="23"/>
  <c r="J66" i="23"/>
  <c r="J68" i="23"/>
  <c r="J70" i="23"/>
  <c r="J72" i="23"/>
  <c r="J74" i="23"/>
  <c r="J76" i="23"/>
  <c r="J78" i="23"/>
  <c r="J80" i="23"/>
  <c r="B83" i="23"/>
  <c r="B95" i="23"/>
  <c r="B107" i="23"/>
  <c r="D129" i="23"/>
  <c r="F129" i="23" s="1"/>
  <c r="D133" i="23"/>
  <c r="F133" i="23" s="1"/>
  <c r="D137" i="23"/>
  <c r="F137" i="23" s="1"/>
  <c r="D141" i="23"/>
  <c r="F141" i="23" s="1"/>
  <c r="H141" i="23" s="1"/>
  <c r="D145" i="23"/>
  <c r="F145" i="23" s="1"/>
  <c r="J158" i="23"/>
  <c r="H158" i="23"/>
  <c r="L158" i="23" s="1"/>
  <c r="G158" i="23"/>
  <c r="I158" i="23" s="1"/>
  <c r="E158" i="23"/>
  <c r="C158" i="23"/>
  <c r="B158" i="23"/>
  <c r="B167" i="23"/>
  <c r="D176" i="23"/>
  <c r="F176" i="23" s="1"/>
  <c r="C83" i="23"/>
  <c r="G85" i="23"/>
  <c r="I85" i="23" s="1"/>
  <c r="C95" i="23"/>
  <c r="G97" i="23"/>
  <c r="C107" i="23"/>
  <c r="G109" i="23"/>
  <c r="E129" i="23"/>
  <c r="E133" i="23"/>
  <c r="H133" i="23" s="1"/>
  <c r="E137" i="23"/>
  <c r="E141" i="23"/>
  <c r="E145" i="23"/>
  <c r="J163" i="23"/>
  <c r="H163" i="23"/>
  <c r="L163" i="23" s="1"/>
  <c r="G163" i="23"/>
  <c r="C167" i="23"/>
  <c r="L192" i="23"/>
  <c r="K192" i="23"/>
  <c r="J192" i="23"/>
  <c r="I192" i="23"/>
  <c r="H192" i="23"/>
  <c r="G192" i="23"/>
  <c r="E192" i="23"/>
  <c r="C192" i="23"/>
  <c r="B192" i="23"/>
  <c r="D83" i="23"/>
  <c r="F83" i="23" s="1"/>
  <c r="L88" i="23"/>
  <c r="I88" i="23"/>
  <c r="C88" i="23"/>
  <c r="D95" i="23"/>
  <c r="F95" i="23" s="1"/>
  <c r="I97" i="23"/>
  <c r="I100" i="23"/>
  <c r="C100" i="23"/>
  <c r="D107" i="23"/>
  <c r="F107" i="23" s="1"/>
  <c r="I109" i="23"/>
  <c r="C112" i="23"/>
  <c r="J122" i="23"/>
  <c r="E122" i="23"/>
  <c r="H122" i="23" s="1"/>
  <c r="C122" i="23"/>
  <c r="B122" i="23"/>
  <c r="J154" i="23"/>
  <c r="I154" i="23"/>
  <c r="G154" i="23"/>
  <c r="E154" i="23"/>
  <c r="H154" i="23" s="1"/>
  <c r="C154" i="23"/>
  <c r="B154" i="23"/>
  <c r="L177" i="23"/>
  <c r="K177" i="23"/>
  <c r="J177" i="23"/>
  <c r="H177" i="23"/>
  <c r="G177" i="23"/>
  <c r="E83" i="23"/>
  <c r="H83" i="23" s="1"/>
  <c r="J85" i="23"/>
  <c r="B88" i="23"/>
  <c r="E95" i="23"/>
  <c r="H95" i="23" s="1"/>
  <c r="J97" i="23"/>
  <c r="E107" i="23"/>
  <c r="J109" i="23"/>
  <c r="D122" i="23"/>
  <c r="F122" i="23" s="1"/>
  <c r="G129" i="23"/>
  <c r="I129" i="23" s="1"/>
  <c r="G133" i="23"/>
  <c r="I133" i="23" s="1"/>
  <c r="G137" i="23"/>
  <c r="G141" i="23"/>
  <c r="I141" i="23" s="1"/>
  <c r="G145" i="23"/>
  <c r="D154" i="23"/>
  <c r="F154" i="23" s="1"/>
  <c r="J159" i="23"/>
  <c r="H159" i="23"/>
  <c r="K159" i="23" s="1"/>
  <c r="G159" i="23"/>
  <c r="E167" i="23"/>
  <c r="H167" i="23" s="1"/>
  <c r="J172" i="23"/>
  <c r="G172" i="23"/>
  <c r="I172" i="23" s="1"/>
  <c r="E172" i="23"/>
  <c r="H172" i="23" s="1"/>
  <c r="C172" i="23"/>
  <c r="B172" i="23"/>
  <c r="B177" i="23"/>
  <c r="B117" i="23"/>
  <c r="I137" i="23"/>
  <c r="I145" i="23"/>
  <c r="J150" i="23"/>
  <c r="I150" i="23"/>
  <c r="G150" i="23"/>
  <c r="E150" i="23"/>
  <c r="H150" i="23" s="1"/>
  <c r="C150" i="23"/>
  <c r="B150" i="23"/>
  <c r="L182" i="23"/>
  <c r="K182" i="23"/>
  <c r="J182" i="23"/>
  <c r="I182" i="23"/>
  <c r="H182" i="23"/>
  <c r="G182" i="23"/>
  <c r="E182" i="23"/>
  <c r="C182" i="23"/>
  <c r="B182" i="23"/>
  <c r="C117" i="23"/>
  <c r="G122" i="23"/>
  <c r="I122" i="23" s="1"/>
  <c r="J126" i="23"/>
  <c r="I126" i="23"/>
  <c r="E126" i="23"/>
  <c r="H126" i="23" s="1"/>
  <c r="C126" i="23"/>
  <c r="B126" i="23"/>
  <c r="J155" i="23"/>
  <c r="H155" i="23"/>
  <c r="K155" i="23" s="1"/>
  <c r="G155" i="23"/>
  <c r="D182" i="23"/>
  <c r="F182" i="23" s="1"/>
  <c r="C86" i="23"/>
  <c r="C98" i="23"/>
  <c r="C110" i="23"/>
  <c r="J123" i="23"/>
  <c r="D126" i="23"/>
  <c r="F126" i="23" s="1"/>
  <c r="J130" i="23"/>
  <c r="I130" i="23"/>
  <c r="G130" i="23"/>
  <c r="E130" i="23"/>
  <c r="H130" i="23" s="1"/>
  <c r="C130" i="23"/>
  <c r="B130" i="23"/>
  <c r="J134" i="23"/>
  <c r="I134" i="23"/>
  <c r="G134" i="23"/>
  <c r="E134" i="23"/>
  <c r="H134" i="23" s="1"/>
  <c r="C134" i="23"/>
  <c r="B134" i="23"/>
  <c r="J138" i="23"/>
  <c r="G138" i="23"/>
  <c r="I138" i="23" s="1"/>
  <c r="E138" i="23"/>
  <c r="H138" i="23" s="1"/>
  <c r="C138" i="23"/>
  <c r="B138" i="23"/>
  <c r="J142" i="23"/>
  <c r="I142" i="23"/>
  <c r="G142" i="23"/>
  <c r="E142" i="23"/>
  <c r="H142" i="23" s="1"/>
  <c r="C142" i="23"/>
  <c r="B142" i="23"/>
  <c r="J146" i="23"/>
  <c r="I146" i="23"/>
  <c r="G146" i="23"/>
  <c r="E146" i="23"/>
  <c r="H146" i="23" s="1"/>
  <c r="C146" i="23"/>
  <c r="B146" i="23"/>
  <c r="B155" i="23"/>
  <c r="D159" i="23"/>
  <c r="F159" i="23" s="1"/>
  <c r="J173" i="23"/>
  <c r="G173" i="23"/>
  <c r="I173" i="23" s="1"/>
  <c r="E177" i="23"/>
  <c r="L183" i="23"/>
  <c r="K183" i="23"/>
  <c r="J183" i="23"/>
  <c r="H183" i="23"/>
  <c r="G183" i="23"/>
  <c r="E3" i="23"/>
  <c r="E5" i="23"/>
  <c r="H5" i="23" s="1"/>
  <c r="E7" i="23"/>
  <c r="E9" i="23"/>
  <c r="E11" i="23"/>
  <c r="H11" i="23" s="1"/>
  <c r="E13" i="23"/>
  <c r="E15" i="23"/>
  <c r="H15" i="23" s="1"/>
  <c r="E17" i="23"/>
  <c r="H17" i="23" s="1"/>
  <c r="E19" i="23"/>
  <c r="E21" i="23"/>
  <c r="H21" i="23" s="1"/>
  <c r="E23" i="23"/>
  <c r="E25" i="23"/>
  <c r="E27" i="23"/>
  <c r="H27" i="23" s="1"/>
  <c r="E29" i="23"/>
  <c r="H29" i="23" s="1"/>
  <c r="E31" i="23"/>
  <c r="E33" i="23"/>
  <c r="H33" i="23" s="1"/>
  <c r="E35" i="23"/>
  <c r="H35" i="23" s="1"/>
  <c r="E37" i="23"/>
  <c r="H37" i="23" s="1"/>
  <c r="E39" i="23"/>
  <c r="E41" i="23"/>
  <c r="H41" i="23" s="1"/>
  <c r="E43" i="23"/>
  <c r="H43" i="23" s="1"/>
  <c r="E45" i="23"/>
  <c r="E47" i="23"/>
  <c r="H47" i="23" s="1"/>
  <c r="E49" i="23"/>
  <c r="E51" i="23"/>
  <c r="E53" i="23"/>
  <c r="H53" i="23" s="1"/>
  <c r="E55" i="23"/>
  <c r="E57" i="23"/>
  <c r="E59" i="23"/>
  <c r="H59" i="23" s="1"/>
  <c r="E61" i="23"/>
  <c r="E63" i="23"/>
  <c r="H63" i="23" s="1"/>
  <c r="E65" i="23"/>
  <c r="H65" i="23" s="1"/>
  <c r="E67" i="23"/>
  <c r="E69" i="23"/>
  <c r="H69" i="23" s="1"/>
  <c r="E71" i="23"/>
  <c r="E73" i="23"/>
  <c r="E75" i="23"/>
  <c r="H75" i="23" s="1"/>
  <c r="E77" i="23"/>
  <c r="H77" i="23" s="1"/>
  <c r="E79" i="23"/>
  <c r="E81" i="23"/>
  <c r="H81" i="23" s="1"/>
  <c r="J83" i="23"/>
  <c r="B86" i="23"/>
  <c r="G88" i="23"/>
  <c r="E93" i="23"/>
  <c r="H93" i="23" s="1"/>
  <c r="J95" i="23"/>
  <c r="B98" i="23"/>
  <c r="G100" i="23"/>
  <c r="E105" i="23"/>
  <c r="H105" i="23" s="1"/>
  <c r="J107" i="23"/>
  <c r="B110" i="23"/>
  <c r="G112" i="23"/>
  <c r="I112" i="23" s="1"/>
  <c r="K112" i="23" s="1"/>
  <c r="E117" i="23"/>
  <c r="H117" i="23" s="1"/>
  <c r="B123" i="23"/>
  <c r="D130" i="23"/>
  <c r="F130" i="23" s="1"/>
  <c r="D134" i="23"/>
  <c r="F134" i="23" s="1"/>
  <c r="D138" i="23"/>
  <c r="F138" i="23" s="1"/>
  <c r="D142" i="23"/>
  <c r="F142" i="23" s="1"/>
  <c r="D146" i="23"/>
  <c r="F146" i="23" s="1"/>
  <c r="J151" i="23"/>
  <c r="G151" i="23"/>
  <c r="C155" i="23"/>
  <c r="E159" i="23"/>
  <c r="I163" i="23"/>
  <c r="J168" i="23"/>
  <c r="G168" i="23"/>
  <c r="I168" i="23" s="1"/>
  <c r="E168" i="23"/>
  <c r="C168" i="23"/>
  <c r="B168" i="23"/>
  <c r="B173" i="23"/>
  <c r="B183" i="23"/>
  <c r="L188" i="23"/>
  <c r="K188" i="23"/>
  <c r="J188" i="23"/>
  <c r="I188" i="23"/>
  <c r="H188" i="23"/>
  <c r="G188" i="23"/>
  <c r="E188" i="23"/>
  <c r="C188" i="23"/>
  <c r="B188" i="23"/>
  <c r="D86" i="23"/>
  <c r="F86" i="23" s="1"/>
  <c r="H88" i="23"/>
  <c r="B91" i="23"/>
  <c r="D98" i="23"/>
  <c r="F98" i="23" s="1"/>
  <c r="H100" i="23"/>
  <c r="L100" i="23" s="1"/>
  <c r="B103" i="23"/>
  <c r="D110" i="23"/>
  <c r="F110" i="23" s="1"/>
  <c r="H112" i="23"/>
  <c r="L112" i="23" s="1"/>
  <c r="B115" i="23"/>
  <c r="C123" i="23"/>
  <c r="G126" i="23"/>
  <c r="B151" i="23"/>
  <c r="D155" i="23"/>
  <c r="F155" i="23" s="1"/>
  <c r="D168" i="23"/>
  <c r="F168" i="23" s="1"/>
  <c r="H168" i="23" s="1"/>
  <c r="C173" i="23"/>
  <c r="I177" i="23"/>
  <c r="C183" i="23"/>
  <c r="D188" i="23"/>
  <c r="F188" i="23" s="1"/>
  <c r="G3" i="23"/>
  <c r="G5" i="23"/>
  <c r="I5" i="23" s="1"/>
  <c r="G7" i="23"/>
  <c r="I7" i="23" s="1"/>
  <c r="G9" i="23"/>
  <c r="G11" i="23"/>
  <c r="G13" i="23"/>
  <c r="I13" i="23" s="1"/>
  <c r="G15" i="23"/>
  <c r="I15" i="23" s="1"/>
  <c r="G17" i="23"/>
  <c r="G19" i="23"/>
  <c r="I19" i="23" s="1"/>
  <c r="G21" i="23"/>
  <c r="G23" i="23"/>
  <c r="I23" i="23" s="1"/>
  <c r="K23" i="23" s="1"/>
  <c r="G25" i="23"/>
  <c r="I25" i="23" s="1"/>
  <c r="G27" i="23"/>
  <c r="G29" i="23"/>
  <c r="G31" i="23"/>
  <c r="I31" i="23" s="1"/>
  <c r="G33" i="23"/>
  <c r="G35" i="23"/>
  <c r="I35" i="23" s="1"/>
  <c r="G37" i="23"/>
  <c r="G39" i="23"/>
  <c r="G41" i="23"/>
  <c r="G43" i="23"/>
  <c r="I43" i="23" s="1"/>
  <c r="G45" i="23"/>
  <c r="G47" i="23"/>
  <c r="G49" i="23"/>
  <c r="I49" i="23" s="1"/>
  <c r="G51" i="23"/>
  <c r="G53" i="23"/>
  <c r="I53" i="23" s="1"/>
  <c r="G55" i="23"/>
  <c r="I55" i="23" s="1"/>
  <c r="L55" i="23" s="1"/>
  <c r="G57" i="23"/>
  <c r="G59" i="23"/>
  <c r="G61" i="23"/>
  <c r="I61" i="23" s="1"/>
  <c r="G63" i="23"/>
  <c r="I63" i="23" s="1"/>
  <c r="G65" i="23"/>
  <c r="G67" i="23"/>
  <c r="I67" i="23" s="1"/>
  <c r="G69" i="23"/>
  <c r="G71" i="23"/>
  <c r="I71" i="23" s="1"/>
  <c r="K71" i="23" s="1"/>
  <c r="G73" i="23"/>
  <c r="I73" i="23" s="1"/>
  <c r="G75" i="23"/>
  <c r="G77" i="23"/>
  <c r="G79" i="23"/>
  <c r="I79" i="23" s="1"/>
  <c r="G81" i="23"/>
  <c r="I81" i="23" s="1"/>
  <c r="E86" i="23"/>
  <c r="J88" i="23"/>
  <c r="C91" i="23"/>
  <c r="G93" i="23"/>
  <c r="E98" i="23"/>
  <c r="J100" i="23"/>
  <c r="C103" i="23"/>
  <c r="G105" i="23"/>
  <c r="L107" i="23"/>
  <c r="E110" i="23"/>
  <c r="H110" i="23" s="1"/>
  <c r="J112" i="23"/>
  <c r="C115" i="23"/>
  <c r="G117" i="23"/>
  <c r="I117" i="23" s="1"/>
  <c r="C120" i="23"/>
  <c r="B120" i="23"/>
  <c r="J127" i="23"/>
  <c r="J131" i="23"/>
  <c r="J135" i="23"/>
  <c r="J139" i="23"/>
  <c r="H139" i="23"/>
  <c r="J143" i="23"/>
  <c r="J147" i="23"/>
  <c r="H147" i="23"/>
  <c r="G147" i="23"/>
  <c r="I147" i="23" s="1"/>
  <c r="E155" i="23"/>
  <c r="I159" i="23"/>
  <c r="J164" i="23"/>
  <c r="G164" i="23"/>
  <c r="I164" i="23" s="1"/>
  <c r="E164" i="23"/>
  <c r="H164" i="23" s="1"/>
  <c r="C164" i="23"/>
  <c r="B164" i="23"/>
  <c r="L178" i="23"/>
  <c r="K178" i="23"/>
  <c r="J178" i="23"/>
  <c r="I178" i="23"/>
  <c r="H178" i="23"/>
  <c r="G178" i="23"/>
  <c r="E178" i="23"/>
  <c r="C178" i="23"/>
  <c r="B178" i="23"/>
  <c r="H3" i="23"/>
  <c r="K3" i="23" s="1"/>
  <c r="H7" i="23"/>
  <c r="L7" i="23" s="1"/>
  <c r="H9" i="23"/>
  <c r="L9" i="23" s="1"/>
  <c r="H13" i="23"/>
  <c r="K13" i="23" s="1"/>
  <c r="H19" i="23"/>
  <c r="L19" i="23" s="1"/>
  <c r="H23" i="23"/>
  <c r="L23" i="23" s="1"/>
  <c r="H25" i="23"/>
  <c r="H31" i="23"/>
  <c r="L31" i="23" s="1"/>
  <c r="H39" i="23"/>
  <c r="L39" i="23" s="1"/>
  <c r="H45" i="23"/>
  <c r="K45" i="23" s="1"/>
  <c r="H49" i="23"/>
  <c r="H51" i="23"/>
  <c r="K51" i="23" s="1"/>
  <c r="H55" i="23"/>
  <c r="K55" i="23" s="1"/>
  <c r="H57" i="23"/>
  <c r="K57" i="23" s="1"/>
  <c r="H61" i="23"/>
  <c r="H67" i="23"/>
  <c r="H71" i="23"/>
  <c r="H73" i="23"/>
  <c r="H79" i="23"/>
  <c r="I84" i="23"/>
  <c r="C84" i="23"/>
  <c r="K88" i="23"/>
  <c r="D91" i="23"/>
  <c r="F91" i="23" s="1"/>
  <c r="H91" i="23" s="1"/>
  <c r="I93" i="23"/>
  <c r="I96" i="23"/>
  <c r="C96" i="23"/>
  <c r="D103" i="23"/>
  <c r="F103" i="23" s="1"/>
  <c r="H103" i="23" s="1"/>
  <c r="I105" i="23"/>
  <c r="I108" i="23"/>
  <c r="C108" i="23"/>
  <c r="D115" i="23"/>
  <c r="F115" i="23" s="1"/>
  <c r="D120" i="23"/>
  <c r="F120" i="23" s="1"/>
  <c r="E123" i="23"/>
  <c r="H123" i="23" s="1"/>
  <c r="B127" i="23"/>
  <c r="B131" i="23"/>
  <c r="B135" i="23"/>
  <c r="B139" i="23"/>
  <c r="B143" i="23"/>
  <c r="B147" i="23"/>
  <c r="D151" i="23"/>
  <c r="F151" i="23" s="1"/>
  <c r="D164" i="23"/>
  <c r="F164" i="23" s="1"/>
  <c r="J169" i="23"/>
  <c r="G169" i="23"/>
  <c r="E173" i="23"/>
  <c r="H173" i="23" s="1"/>
  <c r="D178" i="23"/>
  <c r="F178" i="23" s="1"/>
  <c r="E183" i="23"/>
  <c r="I3" i="23"/>
  <c r="I9" i="23"/>
  <c r="I11" i="23"/>
  <c r="I17" i="23"/>
  <c r="I21" i="23"/>
  <c r="I27" i="23"/>
  <c r="I29" i="23"/>
  <c r="I33" i="23"/>
  <c r="I37" i="23"/>
  <c r="I39" i="23"/>
  <c r="I41" i="23"/>
  <c r="I45" i="23"/>
  <c r="L45" i="23" s="1"/>
  <c r="I47" i="23"/>
  <c r="I51" i="23"/>
  <c r="I57" i="23"/>
  <c r="I59" i="23"/>
  <c r="I65" i="23"/>
  <c r="I69" i="23"/>
  <c r="I75" i="23"/>
  <c r="I77" i="23"/>
  <c r="J81" i="23"/>
  <c r="G86" i="23"/>
  <c r="I86" i="23" s="1"/>
  <c r="L86" i="23" s="1"/>
  <c r="J93" i="23"/>
  <c r="G98" i="23"/>
  <c r="I98" i="23" s="1"/>
  <c r="J105" i="23"/>
  <c r="G110" i="23"/>
  <c r="I110" i="23" s="1"/>
  <c r="H113" i="23"/>
  <c r="L113" i="23" s="1"/>
  <c r="E115" i="23"/>
  <c r="H115" i="23" s="1"/>
  <c r="J117" i="23"/>
  <c r="E120" i="23"/>
  <c r="C127" i="23"/>
  <c r="C131" i="23"/>
  <c r="C135" i="23"/>
  <c r="C139" i="23"/>
  <c r="C143" i="23"/>
  <c r="C147" i="23"/>
  <c r="E151" i="23"/>
  <c r="H151" i="23" s="1"/>
  <c r="I155" i="23"/>
  <c r="J160" i="23"/>
  <c r="I160" i="23"/>
  <c r="H160" i="23"/>
  <c r="L160" i="23" s="1"/>
  <c r="G160" i="23"/>
  <c r="E160" i="23"/>
  <c r="C160" i="23"/>
  <c r="B160" i="23"/>
  <c r="B169" i="23"/>
  <c r="D11" i="13"/>
  <c r="J3" i="23"/>
  <c r="J5" i="23"/>
  <c r="J7" i="23"/>
  <c r="J9" i="23"/>
  <c r="J11" i="23"/>
  <c r="J13" i="23"/>
  <c r="J15" i="23"/>
  <c r="J17" i="23"/>
  <c r="J19" i="23"/>
  <c r="J21" i="23"/>
  <c r="J23" i="23"/>
  <c r="J25" i="23"/>
  <c r="J27" i="23"/>
  <c r="J29" i="23"/>
  <c r="J31" i="23"/>
  <c r="J33" i="23"/>
  <c r="J35" i="23"/>
  <c r="J37" i="23"/>
  <c r="J39" i="23"/>
  <c r="J41" i="23"/>
  <c r="J43" i="23"/>
  <c r="J45" i="23"/>
  <c r="J47" i="23"/>
  <c r="J49" i="23"/>
  <c r="J51" i="23"/>
  <c r="J53" i="23"/>
  <c r="J55" i="23"/>
  <c r="J57" i="23"/>
  <c r="J59" i="23"/>
  <c r="J61" i="23"/>
  <c r="J63" i="23"/>
  <c r="J65" i="23"/>
  <c r="J67" i="23"/>
  <c r="J69" i="23"/>
  <c r="J71" i="23"/>
  <c r="J73" i="23"/>
  <c r="J75" i="23"/>
  <c r="J77" i="23"/>
  <c r="J79" i="23"/>
  <c r="D84" i="23"/>
  <c r="F84" i="23" s="1"/>
  <c r="H86" i="23"/>
  <c r="K86" i="23" s="1"/>
  <c r="B89" i="23"/>
  <c r="D96" i="23"/>
  <c r="F96" i="23" s="1"/>
  <c r="H98" i="23"/>
  <c r="B101" i="23"/>
  <c r="D108" i="23"/>
  <c r="F108" i="23" s="1"/>
  <c r="B113" i="23"/>
  <c r="G123" i="23"/>
  <c r="D127" i="23"/>
  <c r="F127" i="23" s="1"/>
  <c r="H127" i="23" s="1"/>
  <c r="D131" i="23"/>
  <c r="F131" i="23" s="1"/>
  <c r="D135" i="23"/>
  <c r="F135" i="23" s="1"/>
  <c r="D139" i="23"/>
  <c r="F139" i="23" s="1"/>
  <c r="D143" i="23"/>
  <c r="F143" i="23" s="1"/>
  <c r="H143" i="23" s="1"/>
  <c r="D147" i="23"/>
  <c r="F147" i="23" s="1"/>
  <c r="D160" i="23"/>
  <c r="F160" i="23" s="1"/>
  <c r="J165" i="23"/>
  <c r="H165" i="23"/>
  <c r="G165" i="23"/>
  <c r="I165" i="23" s="1"/>
  <c r="C169" i="23"/>
  <c r="L179" i="23"/>
  <c r="K179" i="23"/>
  <c r="J179" i="23"/>
  <c r="H179" i="23"/>
  <c r="G179" i="23"/>
  <c r="I183" i="23"/>
  <c r="K39" i="23"/>
  <c r="E84" i="23"/>
  <c r="H84" i="23" s="1"/>
  <c r="K84" i="23" s="1"/>
  <c r="J86" i="23"/>
  <c r="C89" i="23"/>
  <c r="G91" i="23"/>
  <c r="I91" i="23" s="1"/>
  <c r="E96" i="23"/>
  <c r="J98" i="23"/>
  <c r="C101" i="23"/>
  <c r="G103" i="23"/>
  <c r="E108" i="23"/>
  <c r="J110" i="23"/>
  <c r="C113" i="23"/>
  <c r="G115" i="23"/>
  <c r="G120" i="23"/>
  <c r="I120" i="23" s="1"/>
  <c r="K120" i="23" s="1"/>
  <c r="I123" i="23"/>
  <c r="E127" i="23"/>
  <c r="E131" i="23"/>
  <c r="H131" i="23" s="1"/>
  <c r="E135" i="23"/>
  <c r="H135" i="23" s="1"/>
  <c r="E139" i="23"/>
  <c r="E143" i="23"/>
  <c r="E147" i="23"/>
  <c r="I151" i="23"/>
  <c r="J156" i="23"/>
  <c r="I156" i="23"/>
  <c r="G156" i="23"/>
  <c r="E156" i="23"/>
  <c r="H156" i="23" s="1"/>
  <c r="C156" i="23"/>
  <c r="B156" i="23"/>
  <c r="D169" i="23"/>
  <c r="F169" i="23" s="1"/>
  <c r="J174" i="23"/>
  <c r="G174" i="23"/>
  <c r="I174" i="23" s="1"/>
  <c r="E174" i="23"/>
  <c r="H174" i="23" s="1"/>
  <c r="C174" i="23"/>
  <c r="B174" i="23"/>
  <c r="B179" i="23"/>
  <c r="L184" i="23"/>
  <c r="K184" i="23"/>
  <c r="J184" i="23"/>
  <c r="I184" i="23"/>
  <c r="H184" i="23"/>
  <c r="G184" i="23"/>
  <c r="E184" i="23"/>
  <c r="C184" i="23"/>
  <c r="B184" i="23"/>
  <c r="L82" i="23"/>
  <c r="I82" i="23"/>
  <c r="C82" i="23"/>
  <c r="D89" i="23"/>
  <c r="F89" i="23" s="1"/>
  <c r="H89" i="23" s="1"/>
  <c r="I94" i="23"/>
  <c r="C94" i="23"/>
  <c r="D101" i="23"/>
  <c r="F101" i="23" s="1"/>
  <c r="H101" i="23" s="1"/>
  <c r="I103" i="23"/>
  <c r="I106" i="23"/>
  <c r="C106" i="23"/>
  <c r="I115" i="23"/>
  <c r="I118" i="23"/>
  <c r="C118" i="23"/>
  <c r="B118" i="23"/>
  <c r="H120" i="23"/>
  <c r="J161" i="23"/>
  <c r="H161" i="23"/>
  <c r="K161" i="23" s="1"/>
  <c r="G161" i="23"/>
  <c r="E169" i="23"/>
  <c r="H169" i="23" s="1"/>
  <c r="H111" i="23"/>
  <c r="E113" i="23"/>
  <c r="J115" i="23"/>
  <c r="D118" i="23"/>
  <c r="F118" i="23" s="1"/>
  <c r="H118" i="23" s="1"/>
  <c r="L118" i="23" s="1"/>
  <c r="J120" i="23"/>
  <c r="G127" i="23"/>
  <c r="I127" i="23" s="1"/>
  <c r="G131" i="23"/>
  <c r="G135" i="23"/>
  <c r="G139" i="23"/>
  <c r="G143" i="23"/>
  <c r="I143" i="23" s="1"/>
  <c r="J152" i="23"/>
  <c r="I152" i="23"/>
  <c r="G152" i="23"/>
  <c r="E152" i="23"/>
  <c r="H152" i="23" s="1"/>
  <c r="C152" i="23"/>
  <c r="B152" i="23"/>
  <c r="B161" i="23"/>
  <c r="B2" i="23"/>
  <c r="B4" i="23"/>
  <c r="B6" i="23"/>
  <c r="B8" i="23"/>
  <c r="B10" i="23"/>
  <c r="B12" i="23"/>
  <c r="B14" i="23"/>
  <c r="B16" i="23"/>
  <c r="B18" i="23"/>
  <c r="B20" i="23"/>
  <c r="B22" i="23"/>
  <c r="B24" i="23"/>
  <c r="B26" i="23"/>
  <c r="B28" i="23"/>
  <c r="B30" i="23"/>
  <c r="B32" i="23"/>
  <c r="B34" i="23"/>
  <c r="B36" i="23"/>
  <c r="B38" i="23"/>
  <c r="B40" i="23"/>
  <c r="B42" i="23"/>
  <c r="B44" i="23"/>
  <c r="B46" i="23"/>
  <c r="B48" i="23"/>
  <c r="B50" i="23"/>
  <c r="B52" i="23"/>
  <c r="B54" i="23"/>
  <c r="B56" i="23"/>
  <c r="B58" i="23"/>
  <c r="B60" i="23"/>
  <c r="B62" i="23"/>
  <c r="B64" i="23"/>
  <c r="B66" i="23"/>
  <c r="B68" i="23"/>
  <c r="B70" i="23"/>
  <c r="B72" i="23"/>
  <c r="B74" i="23"/>
  <c r="B76" i="23"/>
  <c r="B78" i="23"/>
  <c r="B80" i="23"/>
  <c r="B87" i="23"/>
  <c r="B99" i="23"/>
  <c r="J121" i="23"/>
  <c r="H121" i="23"/>
  <c r="L121" i="23" s="1"/>
  <c r="J124" i="23"/>
  <c r="I124" i="23"/>
  <c r="E124" i="23"/>
  <c r="H124" i="23" s="1"/>
  <c r="C124" i="23"/>
  <c r="B124" i="23"/>
  <c r="I131" i="23"/>
  <c r="I135" i="23"/>
  <c r="I139" i="23"/>
  <c r="J157" i="23"/>
  <c r="H157" i="23"/>
  <c r="G157" i="23"/>
  <c r="I169" i="23"/>
  <c r="J175" i="23"/>
  <c r="G175" i="23"/>
  <c r="I175" i="23" s="1"/>
  <c r="L190" i="23"/>
  <c r="K190" i="23"/>
  <c r="J190" i="23"/>
  <c r="I190" i="23"/>
  <c r="H190" i="23"/>
  <c r="G190" i="23"/>
  <c r="E190" i="23"/>
  <c r="C190" i="23"/>
  <c r="B190" i="23"/>
  <c r="C2" i="23"/>
  <c r="C4" i="23"/>
  <c r="C6" i="23"/>
  <c r="C8" i="23"/>
  <c r="C10" i="23"/>
  <c r="C12" i="23"/>
  <c r="C14" i="23"/>
  <c r="C16" i="23"/>
  <c r="C18" i="23"/>
  <c r="C20" i="23"/>
  <c r="C22" i="23"/>
  <c r="C24" i="23"/>
  <c r="C26" i="23"/>
  <c r="C28" i="23"/>
  <c r="C30" i="23"/>
  <c r="C32" i="23"/>
  <c r="C34" i="23"/>
  <c r="C36" i="23"/>
  <c r="C38" i="23"/>
  <c r="C40" i="23"/>
  <c r="C42" i="23"/>
  <c r="C44" i="23"/>
  <c r="C46" i="23"/>
  <c r="C48" i="23"/>
  <c r="C50" i="23"/>
  <c r="C52" i="23"/>
  <c r="C54" i="23"/>
  <c r="C56" i="23"/>
  <c r="C58" i="23"/>
  <c r="C60" i="23"/>
  <c r="C62" i="23"/>
  <c r="C64" i="23"/>
  <c r="C66" i="23"/>
  <c r="C68" i="23"/>
  <c r="C70" i="23"/>
  <c r="C72" i="23"/>
  <c r="C74" i="23"/>
  <c r="C76" i="23"/>
  <c r="C78" i="23"/>
  <c r="C80" i="23"/>
  <c r="C87" i="23"/>
  <c r="C99" i="23"/>
  <c r="J148" i="23"/>
  <c r="G148" i="23"/>
  <c r="I148" i="23" s="1"/>
  <c r="E148" i="23"/>
  <c r="H148" i="23" s="1"/>
  <c r="C148" i="23"/>
  <c r="B148" i="23"/>
  <c r="J170" i="23"/>
  <c r="G170" i="23"/>
  <c r="I170" i="23" s="1"/>
  <c r="E170" i="23"/>
  <c r="C170" i="23"/>
  <c r="B170" i="23"/>
  <c r="D2" i="23"/>
  <c r="F2" i="23" s="1"/>
  <c r="D4" i="23"/>
  <c r="F4" i="23" s="1"/>
  <c r="D6" i="23"/>
  <c r="F6" i="23" s="1"/>
  <c r="D8" i="23"/>
  <c r="F8" i="23" s="1"/>
  <c r="H8" i="23" s="1"/>
  <c r="D10" i="23"/>
  <c r="F10" i="23" s="1"/>
  <c r="D12" i="23"/>
  <c r="F12" i="23" s="1"/>
  <c r="D14" i="23"/>
  <c r="F14" i="23" s="1"/>
  <c r="D16" i="23"/>
  <c r="F16" i="23" s="1"/>
  <c r="D18" i="23"/>
  <c r="F18" i="23" s="1"/>
  <c r="H18" i="23" s="1"/>
  <c r="D20" i="23"/>
  <c r="F20" i="23" s="1"/>
  <c r="D22" i="23"/>
  <c r="F22" i="23" s="1"/>
  <c r="D24" i="23"/>
  <c r="F24" i="23" s="1"/>
  <c r="D26" i="23"/>
  <c r="F26" i="23" s="1"/>
  <c r="D28" i="23"/>
  <c r="F28" i="23" s="1"/>
  <c r="D30" i="23"/>
  <c r="F30" i="23" s="1"/>
  <c r="D32" i="23"/>
  <c r="F32" i="23" s="1"/>
  <c r="D34" i="23"/>
  <c r="F34" i="23" s="1"/>
  <c r="D36" i="23"/>
  <c r="F36" i="23" s="1"/>
  <c r="D38" i="23"/>
  <c r="F38" i="23" s="1"/>
  <c r="D40" i="23"/>
  <c r="F40" i="23" s="1"/>
  <c r="D42" i="23"/>
  <c r="F42" i="23" s="1"/>
  <c r="D44" i="23"/>
  <c r="F44" i="23" s="1"/>
  <c r="D46" i="23"/>
  <c r="F46" i="23" s="1"/>
  <c r="D48" i="23"/>
  <c r="F48" i="23" s="1"/>
  <c r="D50" i="23"/>
  <c r="F50" i="23" s="1"/>
  <c r="D52" i="23"/>
  <c r="F52" i="23" s="1"/>
  <c r="D54" i="23"/>
  <c r="F54" i="23" s="1"/>
  <c r="D56" i="23"/>
  <c r="F56" i="23" s="1"/>
  <c r="D58" i="23"/>
  <c r="F58" i="23" s="1"/>
  <c r="D60" i="23"/>
  <c r="F60" i="23" s="1"/>
  <c r="D62" i="23"/>
  <c r="F62" i="23" s="1"/>
  <c r="D64" i="23"/>
  <c r="F64" i="23" s="1"/>
  <c r="D66" i="23"/>
  <c r="F66" i="23" s="1"/>
  <c r="D68" i="23"/>
  <c r="F68" i="23" s="1"/>
  <c r="D70" i="23"/>
  <c r="F70" i="23" s="1"/>
  <c r="D72" i="23"/>
  <c r="F72" i="23" s="1"/>
  <c r="D74" i="23"/>
  <c r="F74" i="23" s="1"/>
  <c r="D76" i="23"/>
  <c r="F76" i="23" s="1"/>
  <c r="D78" i="23"/>
  <c r="F78" i="23" s="1"/>
  <c r="H78" i="23" s="1"/>
  <c r="D80" i="23"/>
  <c r="F80" i="23" s="1"/>
  <c r="D87" i="23"/>
  <c r="F87" i="23" s="1"/>
  <c r="I92" i="23"/>
  <c r="C92" i="23"/>
  <c r="D99" i="23"/>
  <c r="F99" i="23" s="1"/>
  <c r="I104" i="23"/>
  <c r="C104" i="23"/>
  <c r="C116" i="23"/>
  <c r="J128" i="23"/>
  <c r="G128" i="23"/>
  <c r="I128" i="23" s="1"/>
  <c r="E128" i="23"/>
  <c r="C128" i="23"/>
  <c r="B128" i="23"/>
  <c r="J132" i="23"/>
  <c r="I132" i="23"/>
  <c r="G132" i="23"/>
  <c r="E132" i="23"/>
  <c r="H132" i="23" s="1"/>
  <c r="C132" i="23"/>
  <c r="B132" i="23"/>
  <c r="J136" i="23"/>
  <c r="G136" i="23"/>
  <c r="I136" i="23" s="1"/>
  <c r="E136" i="23"/>
  <c r="H136" i="23" s="1"/>
  <c r="C136" i="23"/>
  <c r="B136" i="23"/>
  <c r="J140" i="23"/>
  <c r="G140" i="23"/>
  <c r="I140" i="23" s="1"/>
  <c r="E140" i="23"/>
  <c r="H140" i="23" s="1"/>
  <c r="C140" i="23"/>
  <c r="B140" i="23"/>
  <c r="J144" i="23"/>
  <c r="G144" i="23"/>
  <c r="I144" i="23" s="1"/>
  <c r="E144" i="23"/>
  <c r="C144" i="23"/>
  <c r="B144" i="23"/>
  <c r="D148" i="23"/>
  <c r="F148" i="23" s="1"/>
  <c r="J153" i="23"/>
  <c r="H153" i="23"/>
  <c r="K153" i="23" s="1"/>
  <c r="G153" i="23"/>
  <c r="I153" i="23" s="1"/>
  <c r="D170" i="23"/>
  <c r="F170" i="23" s="1"/>
  <c r="H170" i="23" s="1"/>
  <c r="C175" i="23"/>
  <c r="E2" i="23"/>
  <c r="H2" i="23" s="1"/>
  <c r="E4" i="23"/>
  <c r="H4" i="23" s="1"/>
  <c r="E6" i="23"/>
  <c r="H6" i="23" s="1"/>
  <c r="E8" i="23"/>
  <c r="E10" i="23"/>
  <c r="H10" i="23" s="1"/>
  <c r="E12" i="23"/>
  <c r="H12" i="23" s="1"/>
  <c r="E14" i="23"/>
  <c r="H14" i="23" s="1"/>
  <c r="E16" i="23"/>
  <c r="H16" i="23" s="1"/>
  <c r="E18" i="23"/>
  <c r="E20" i="23"/>
  <c r="H20" i="23" s="1"/>
  <c r="E22" i="23"/>
  <c r="H22" i="23" s="1"/>
  <c r="E24" i="23"/>
  <c r="H24" i="23" s="1"/>
  <c r="E26" i="23"/>
  <c r="H26" i="23" s="1"/>
  <c r="E28" i="23"/>
  <c r="H28" i="23" s="1"/>
  <c r="E30" i="23"/>
  <c r="H30" i="23" s="1"/>
  <c r="E32" i="23"/>
  <c r="H32" i="23" s="1"/>
  <c r="E34" i="23"/>
  <c r="H34" i="23" s="1"/>
  <c r="E36" i="23"/>
  <c r="H36" i="23" s="1"/>
  <c r="E38" i="23"/>
  <c r="H38" i="23" s="1"/>
  <c r="E40" i="23"/>
  <c r="H40" i="23" s="1"/>
  <c r="E42" i="23"/>
  <c r="H42" i="23" s="1"/>
  <c r="E44" i="23"/>
  <c r="H44" i="23" s="1"/>
  <c r="E46" i="23"/>
  <c r="H46" i="23" s="1"/>
  <c r="E48" i="23"/>
  <c r="H48" i="23" s="1"/>
  <c r="E50" i="23"/>
  <c r="H50" i="23" s="1"/>
  <c r="E52" i="23"/>
  <c r="H52" i="23" s="1"/>
  <c r="E54" i="23"/>
  <c r="H54" i="23" s="1"/>
  <c r="E56" i="23"/>
  <c r="H56" i="23" s="1"/>
  <c r="E58" i="23"/>
  <c r="E60" i="23"/>
  <c r="H60" i="23" s="1"/>
  <c r="E62" i="23"/>
  <c r="H62" i="23" s="1"/>
  <c r="E64" i="23"/>
  <c r="H64" i="23" s="1"/>
  <c r="E66" i="23"/>
  <c r="H66" i="23" s="1"/>
  <c r="E68" i="23"/>
  <c r="E70" i="23"/>
  <c r="H70" i="23" s="1"/>
  <c r="E72" i="23"/>
  <c r="H72" i="23" s="1"/>
  <c r="E74" i="23"/>
  <c r="H74" i="23" s="1"/>
  <c r="E76" i="23"/>
  <c r="H76" i="23" s="1"/>
  <c r="E78" i="23"/>
  <c r="E80" i="23"/>
  <c r="H80" i="23" s="1"/>
  <c r="E87" i="23"/>
  <c r="H87" i="23" s="1"/>
  <c r="E99" i="23"/>
  <c r="H99" i="23" s="1"/>
  <c r="H109" i="23"/>
  <c r="L109" i="23" s="1"/>
  <c r="D128" i="23"/>
  <c r="F128" i="23" s="1"/>
  <c r="H128" i="23" s="1"/>
  <c r="D132" i="23"/>
  <c r="F132" i="23" s="1"/>
  <c r="D136" i="23"/>
  <c r="F136" i="23" s="1"/>
  <c r="D140" i="23"/>
  <c r="F140" i="23" s="1"/>
  <c r="D144" i="23"/>
  <c r="F144" i="23" s="1"/>
  <c r="H144" i="23" s="1"/>
  <c r="B153" i="23"/>
  <c r="D175" i="23"/>
  <c r="F175" i="23" s="1"/>
  <c r="L180" i="23"/>
  <c r="K180" i="23"/>
  <c r="J180" i="23"/>
  <c r="I180" i="23"/>
  <c r="H180" i="23"/>
  <c r="G180" i="23"/>
  <c r="E180" i="23"/>
  <c r="C180" i="23"/>
  <c r="B180" i="23"/>
  <c r="H82" i="23"/>
  <c r="B85" i="23"/>
  <c r="D92" i="23"/>
  <c r="F92" i="23" s="1"/>
  <c r="H92" i="23" s="1"/>
  <c r="H94" i="23"/>
  <c r="B97" i="23"/>
  <c r="D104" i="23"/>
  <c r="F104" i="23" s="1"/>
  <c r="H104" i="23" s="1"/>
  <c r="H106" i="23"/>
  <c r="L106" i="23" s="1"/>
  <c r="B109" i="23"/>
  <c r="D116" i="23"/>
  <c r="F116" i="23" s="1"/>
  <c r="H116" i="23" s="1"/>
  <c r="J118" i="23"/>
  <c r="E121" i="23"/>
  <c r="J125" i="23"/>
  <c r="H125" i="23"/>
  <c r="J149" i="23"/>
  <c r="H149" i="23"/>
  <c r="G149" i="23"/>
  <c r="I149" i="23" s="1"/>
  <c r="L149" i="23" s="1"/>
  <c r="C153" i="23"/>
  <c r="E157" i="23"/>
  <c r="I161" i="23"/>
  <c r="J166" i="23"/>
  <c r="I166" i="23"/>
  <c r="G166" i="23"/>
  <c r="E166" i="23"/>
  <c r="H166" i="23" s="1"/>
  <c r="C166" i="23"/>
  <c r="B166" i="23"/>
  <c r="L171" i="23"/>
  <c r="J171" i="23"/>
  <c r="H171" i="23"/>
  <c r="K171" i="23" s="1"/>
  <c r="G171" i="23"/>
  <c r="I171" i="23" s="1"/>
  <c r="E175" i="23"/>
  <c r="H175" i="23" s="1"/>
  <c r="D180" i="23"/>
  <c r="F180" i="23" s="1"/>
  <c r="G2" i="23"/>
  <c r="I2" i="23" s="1"/>
  <c r="G4" i="23"/>
  <c r="G6" i="23"/>
  <c r="I6" i="23" s="1"/>
  <c r="G8" i="23"/>
  <c r="G10" i="23"/>
  <c r="I10" i="23" s="1"/>
  <c r="G12" i="23"/>
  <c r="G14" i="23"/>
  <c r="G16" i="23"/>
  <c r="I16" i="23" s="1"/>
  <c r="G18" i="23"/>
  <c r="G20" i="23"/>
  <c r="I20" i="23" s="1"/>
  <c r="G22" i="23"/>
  <c r="I22" i="23" s="1"/>
  <c r="G24" i="23"/>
  <c r="G26" i="23"/>
  <c r="I26" i="23" s="1"/>
  <c r="G28" i="23"/>
  <c r="I28" i="23" s="1"/>
  <c r="G30" i="23"/>
  <c r="I30" i="23" s="1"/>
  <c r="G32" i="23"/>
  <c r="I32" i="23" s="1"/>
  <c r="G34" i="23"/>
  <c r="I34" i="23" s="1"/>
  <c r="G36" i="23"/>
  <c r="I36" i="23" s="1"/>
  <c r="G38" i="23"/>
  <c r="I38" i="23" s="1"/>
  <c r="G40" i="23"/>
  <c r="I40" i="23" s="1"/>
  <c r="G42" i="23"/>
  <c r="I42" i="23" s="1"/>
  <c r="G44" i="23"/>
  <c r="G46" i="23"/>
  <c r="I46" i="23" s="1"/>
  <c r="G48" i="23"/>
  <c r="I48" i="23" s="1"/>
  <c r="G50" i="23"/>
  <c r="I50" i="23" s="1"/>
  <c r="G52" i="23"/>
  <c r="G54" i="23"/>
  <c r="I54" i="23" s="1"/>
  <c r="G56" i="23"/>
  <c r="G58" i="23"/>
  <c r="I58" i="23" s="1"/>
  <c r="G60" i="23"/>
  <c r="G62" i="23"/>
  <c r="G64" i="23"/>
  <c r="I64" i="23" s="1"/>
  <c r="G66" i="23"/>
  <c r="G68" i="23"/>
  <c r="I68" i="23" s="1"/>
  <c r="G70" i="23"/>
  <c r="I70" i="23" s="1"/>
  <c r="G72" i="23"/>
  <c r="G74" i="23"/>
  <c r="I74" i="23" s="1"/>
  <c r="G76" i="23"/>
  <c r="I76" i="23" s="1"/>
  <c r="G78" i="23"/>
  <c r="I78" i="23" s="1"/>
  <c r="G80" i="23"/>
  <c r="I80" i="23" s="1"/>
  <c r="G87" i="23"/>
  <c r="C109" i="23"/>
  <c r="J129" i="23"/>
  <c r="H129" i="23"/>
  <c r="J133" i="23"/>
  <c r="J137" i="23"/>
  <c r="H137" i="23"/>
  <c r="L137" i="23" s="1"/>
  <c r="J141" i="23"/>
  <c r="J145" i="23"/>
  <c r="H145" i="23"/>
  <c r="K145" i="23" s="1"/>
  <c r="L181" i="23"/>
  <c r="K181" i="23"/>
  <c r="J181" i="23"/>
  <c r="H181" i="23"/>
  <c r="G181" i="23"/>
  <c r="D85" i="23"/>
  <c r="F85" i="23" s="1"/>
  <c r="H85" i="23" s="1"/>
  <c r="I87" i="23"/>
  <c r="I90" i="23"/>
  <c r="L90" i="23" s="1"/>
  <c r="C90" i="23"/>
  <c r="D97" i="23"/>
  <c r="F97" i="23" s="1"/>
  <c r="H97" i="23" s="1"/>
  <c r="I99" i="23"/>
  <c r="I102" i="23"/>
  <c r="K102" i="23" s="1"/>
  <c r="C102" i="23"/>
  <c r="D109" i="23"/>
  <c r="F109" i="23" s="1"/>
  <c r="I114" i="23"/>
  <c r="L114" i="23" s="1"/>
  <c r="C114" i="23"/>
  <c r="H119" i="23"/>
  <c r="G121" i="23"/>
  <c r="I121" i="23" s="1"/>
  <c r="C125" i="23"/>
  <c r="B129" i="23"/>
  <c r="B133" i="23"/>
  <c r="B137" i="23"/>
  <c r="B141" i="23"/>
  <c r="B145" i="23"/>
  <c r="C149" i="23"/>
  <c r="E153" i="23"/>
  <c r="I157" i="23"/>
  <c r="J162" i="23"/>
  <c r="H162" i="23"/>
  <c r="G162" i="23"/>
  <c r="I162" i="23" s="1"/>
  <c r="L162" i="23" s="1"/>
  <c r="E162" i="23"/>
  <c r="C162" i="23"/>
  <c r="B162" i="23"/>
  <c r="C171" i="23"/>
  <c r="B181" i="23"/>
  <c r="L186" i="23"/>
  <c r="K186" i="23"/>
  <c r="J186" i="23"/>
  <c r="I186" i="23"/>
  <c r="H186" i="23"/>
  <c r="G186" i="23"/>
  <c r="E186" i="23"/>
  <c r="C186" i="23"/>
  <c r="B186" i="23"/>
  <c r="G185" i="23"/>
  <c r="G187" i="23"/>
  <c r="G189" i="23"/>
  <c r="G191" i="23"/>
  <c r="G193" i="23"/>
  <c r="G195" i="23"/>
  <c r="G197" i="23"/>
  <c r="G199" i="23"/>
  <c r="G201" i="23"/>
  <c r="G203" i="23"/>
  <c r="G205" i="23"/>
  <c r="G207" i="23"/>
  <c r="G209" i="23"/>
  <c r="G211" i="23"/>
  <c r="G213" i="23"/>
  <c r="G215" i="23"/>
  <c r="G217" i="23"/>
  <c r="G219" i="23"/>
  <c r="G221" i="23"/>
  <c r="G223" i="23"/>
  <c r="G225" i="23"/>
  <c r="G227" i="23"/>
  <c r="G229" i="23"/>
  <c r="G231" i="23"/>
  <c r="G233" i="23"/>
  <c r="G235" i="23"/>
  <c r="G237" i="23"/>
  <c r="G239" i="23"/>
  <c r="G241" i="23"/>
  <c r="G243" i="23"/>
  <c r="G245" i="23"/>
  <c r="G247" i="23"/>
  <c r="G249" i="23"/>
  <c r="H185" i="23"/>
  <c r="H187" i="23"/>
  <c r="H189" i="23"/>
  <c r="H191" i="23"/>
  <c r="H193" i="23"/>
  <c r="H195" i="23"/>
  <c r="H197" i="23"/>
  <c r="H199" i="23"/>
  <c r="H201" i="23"/>
  <c r="H203" i="23"/>
  <c r="H205" i="23"/>
  <c r="H207" i="23"/>
  <c r="H209" i="23"/>
  <c r="H211" i="23"/>
  <c r="H213" i="23"/>
  <c r="H215" i="23"/>
  <c r="H217" i="23"/>
  <c r="H219" i="23"/>
  <c r="H221" i="23"/>
  <c r="H223" i="23"/>
  <c r="H225" i="23"/>
  <c r="H227" i="23"/>
  <c r="H229" i="23"/>
  <c r="H231" i="23"/>
  <c r="H233" i="23"/>
  <c r="H235" i="23"/>
  <c r="H237" i="23"/>
  <c r="H239" i="23"/>
  <c r="H241" i="23"/>
  <c r="H243" i="23"/>
  <c r="H245" i="23"/>
  <c r="H247" i="23"/>
  <c r="H249" i="23"/>
  <c r="I249" i="23"/>
  <c r="J185" i="23"/>
  <c r="J187" i="23"/>
  <c r="J189" i="23"/>
  <c r="J191" i="23"/>
  <c r="J193" i="23"/>
  <c r="J195" i="23"/>
  <c r="J197" i="23"/>
  <c r="J199" i="23"/>
  <c r="J201" i="23"/>
  <c r="J203" i="23"/>
  <c r="J205" i="23"/>
  <c r="J207" i="23"/>
  <c r="J209" i="23"/>
  <c r="J211" i="23"/>
  <c r="J213" i="23"/>
  <c r="J215" i="23"/>
  <c r="J217" i="23"/>
  <c r="J219" i="23"/>
  <c r="J221" i="23"/>
  <c r="J223" i="23"/>
  <c r="J225" i="23"/>
  <c r="J227" i="23"/>
  <c r="J229" i="23"/>
  <c r="J231" i="23"/>
  <c r="J233" i="23"/>
  <c r="J235" i="23"/>
  <c r="J237" i="23"/>
  <c r="J239" i="23"/>
  <c r="J241" i="23"/>
  <c r="J243" i="23"/>
  <c r="J245" i="23"/>
  <c r="J247" i="23"/>
  <c r="J249" i="23"/>
  <c r="K185" i="23"/>
  <c r="K187" i="23"/>
  <c r="K189" i="23"/>
  <c r="K191" i="23"/>
  <c r="K193" i="23"/>
  <c r="K195" i="23"/>
  <c r="K197" i="23"/>
  <c r="K199" i="23"/>
  <c r="K201" i="23"/>
  <c r="K203" i="23"/>
  <c r="K205" i="23"/>
  <c r="K207" i="23"/>
  <c r="K209" i="23"/>
  <c r="K211" i="23"/>
  <c r="K213" i="23"/>
  <c r="K215" i="23"/>
  <c r="K217" i="23"/>
  <c r="K219" i="23"/>
  <c r="K221" i="23"/>
  <c r="K223" i="23"/>
  <c r="K225" i="23"/>
  <c r="K227" i="23"/>
  <c r="K229" i="23"/>
  <c r="K231" i="23"/>
  <c r="K233" i="23"/>
  <c r="K235" i="23"/>
  <c r="K237" i="23"/>
  <c r="K239" i="23"/>
  <c r="K241" i="23"/>
  <c r="K243" i="23"/>
  <c r="K245" i="23"/>
  <c r="K247" i="23"/>
  <c r="K249" i="23"/>
  <c r="B194" i="23"/>
  <c r="B196" i="23"/>
  <c r="B198" i="23"/>
  <c r="B200" i="23"/>
  <c r="B202" i="23"/>
  <c r="B204" i="23"/>
  <c r="B206" i="23"/>
  <c r="B208" i="23"/>
  <c r="B210" i="23"/>
  <c r="B212" i="23"/>
  <c r="B214" i="23"/>
  <c r="B216" i="23"/>
  <c r="B218" i="23"/>
  <c r="B220" i="23"/>
  <c r="B222" i="23"/>
  <c r="B224" i="23"/>
  <c r="B226" i="23"/>
  <c r="B228" i="23"/>
  <c r="B230" i="23"/>
  <c r="B232" i="23"/>
  <c r="B234" i="23"/>
  <c r="B236" i="23"/>
  <c r="B238" i="23"/>
  <c r="B240" i="23"/>
  <c r="B242" i="23"/>
  <c r="B244" i="23"/>
  <c r="B246" i="23"/>
  <c r="B248" i="23"/>
  <c r="B250" i="23"/>
  <c r="C194" i="23"/>
  <c r="C196" i="23"/>
  <c r="C198" i="23"/>
  <c r="C200" i="23"/>
  <c r="C202" i="23"/>
  <c r="C204" i="23"/>
  <c r="C206" i="23"/>
  <c r="C208" i="23"/>
  <c r="C210" i="23"/>
  <c r="C212" i="23"/>
  <c r="C214" i="23"/>
  <c r="C216" i="23"/>
  <c r="C218" i="23"/>
  <c r="C220" i="23"/>
  <c r="C222" i="23"/>
  <c r="C224" i="23"/>
  <c r="C226" i="23"/>
  <c r="C228" i="23"/>
  <c r="C230" i="23"/>
  <c r="C232" i="23"/>
  <c r="C234" i="23"/>
  <c r="C236" i="23"/>
  <c r="C238" i="23"/>
  <c r="C240" i="23"/>
  <c r="C242" i="23"/>
  <c r="C244" i="23"/>
  <c r="C246" i="23"/>
  <c r="C248" i="23"/>
  <c r="C250" i="23"/>
  <c r="D250" i="23"/>
  <c r="F250" i="23" s="1"/>
  <c r="E194" i="23"/>
  <c r="E196" i="23"/>
  <c r="E198" i="23"/>
  <c r="E200" i="23"/>
  <c r="E202" i="23"/>
  <c r="E204" i="23"/>
  <c r="E206" i="23"/>
  <c r="E208" i="23"/>
  <c r="E210" i="23"/>
  <c r="E212" i="23"/>
  <c r="E214" i="23"/>
  <c r="E216" i="23"/>
  <c r="E218" i="23"/>
  <c r="E220" i="23"/>
  <c r="E222" i="23"/>
  <c r="E224" i="23"/>
  <c r="E226" i="23"/>
  <c r="E228" i="23"/>
  <c r="E230" i="23"/>
  <c r="E232" i="23"/>
  <c r="E234" i="23"/>
  <c r="E236" i="23"/>
  <c r="E238" i="23"/>
  <c r="E240" i="23"/>
  <c r="E242" i="23"/>
  <c r="E244" i="23"/>
  <c r="E246" i="23"/>
  <c r="E248" i="23"/>
  <c r="E250" i="23"/>
  <c r="G194" i="23"/>
  <c r="G196" i="23"/>
  <c r="G198" i="23"/>
  <c r="G200" i="23"/>
  <c r="G202" i="23"/>
  <c r="G204" i="23"/>
  <c r="G206" i="23"/>
  <c r="G208" i="23"/>
  <c r="G210" i="23"/>
  <c r="G212" i="23"/>
  <c r="G214" i="23"/>
  <c r="G216" i="23"/>
  <c r="G218" i="23"/>
  <c r="G220" i="23"/>
  <c r="G222" i="23"/>
  <c r="G224" i="23"/>
  <c r="G226" i="23"/>
  <c r="G228" i="23"/>
  <c r="G230" i="23"/>
  <c r="G232" i="23"/>
  <c r="G234" i="23"/>
  <c r="G236" i="23"/>
  <c r="G238" i="23"/>
  <c r="G240" i="23"/>
  <c r="G242" i="23"/>
  <c r="G244" i="23"/>
  <c r="G246" i="23"/>
  <c r="G248" i="23"/>
  <c r="G250" i="23"/>
  <c r="H194" i="23"/>
  <c r="H196" i="23"/>
  <c r="H198" i="23"/>
  <c r="H200" i="23"/>
  <c r="H202" i="23"/>
  <c r="H204" i="23"/>
  <c r="H206" i="23"/>
  <c r="H208" i="23"/>
  <c r="H210" i="23"/>
  <c r="H212" i="23"/>
  <c r="H214" i="23"/>
  <c r="H216" i="23"/>
  <c r="H218" i="23"/>
  <c r="H220" i="23"/>
  <c r="H222" i="23"/>
  <c r="H224" i="23"/>
  <c r="H226" i="23"/>
  <c r="H228" i="23"/>
  <c r="H230" i="23"/>
  <c r="H232" i="23"/>
  <c r="H234" i="23"/>
  <c r="H236" i="23"/>
  <c r="H238" i="23"/>
  <c r="H240" i="23"/>
  <c r="H242" i="23"/>
  <c r="H244" i="23"/>
  <c r="H246" i="23"/>
  <c r="H248" i="23"/>
  <c r="H250" i="23"/>
  <c r="I194" i="23"/>
  <c r="I196" i="23"/>
  <c r="I198" i="23"/>
  <c r="I200" i="23"/>
  <c r="I202" i="23"/>
  <c r="I204" i="23"/>
  <c r="I206" i="23"/>
  <c r="I208" i="23"/>
  <c r="I210" i="23"/>
  <c r="I212" i="23"/>
  <c r="I214" i="23"/>
  <c r="I216" i="23"/>
  <c r="I218" i="23"/>
  <c r="I220" i="23"/>
  <c r="I222" i="23"/>
  <c r="I224" i="23"/>
  <c r="I226" i="23"/>
  <c r="I228" i="23"/>
  <c r="I230" i="23"/>
  <c r="I232" i="23"/>
  <c r="I234" i="23"/>
  <c r="I236" i="23"/>
  <c r="I238" i="23"/>
  <c r="I240" i="23"/>
  <c r="I242" i="23"/>
  <c r="I244" i="23"/>
  <c r="I246" i="23"/>
  <c r="I248" i="23"/>
  <c r="I250" i="23"/>
  <c r="J194" i="23"/>
  <c r="J196" i="23"/>
  <c r="J198" i="23"/>
  <c r="J200" i="23"/>
  <c r="J202" i="23"/>
  <c r="J204" i="23"/>
  <c r="J206" i="23"/>
  <c r="J208" i="23"/>
  <c r="J210" i="23"/>
  <c r="J212" i="23"/>
  <c r="J214" i="23"/>
  <c r="J216" i="23"/>
  <c r="J218" i="23"/>
  <c r="J220" i="23"/>
  <c r="J222" i="23"/>
  <c r="J224" i="23"/>
  <c r="J226" i="23"/>
  <c r="J228" i="23"/>
  <c r="J230" i="23"/>
  <c r="J232" i="23"/>
  <c r="J234" i="23"/>
  <c r="J236" i="23"/>
  <c r="J238" i="23"/>
  <c r="J240" i="23"/>
  <c r="J242" i="23"/>
  <c r="J244" i="23"/>
  <c r="J246" i="23"/>
  <c r="J248" i="23"/>
  <c r="J250" i="23"/>
  <c r="K194" i="23"/>
  <c r="K196" i="23"/>
  <c r="K198" i="23"/>
  <c r="K200" i="23"/>
  <c r="K202" i="23"/>
  <c r="K204" i="23"/>
  <c r="K206" i="23"/>
  <c r="K208" i="23"/>
  <c r="K210" i="23"/>
  <c r="K212" i="23"/>
  <c r="K214" i="23"/>
  <c r="K216" i="23"/>
  <c r="K218" i="23"/>
  <c r="K220" i="23"/>
  <c r="K222" i="23"/>
  <c r="K224" i="23"/>
  <c r="K226" i="23"/>
  <c r="K228" i="23"/>
  <c r="K230" i="23"/>
  <c r="K232" i="23"/>
  <c r="K234" i="23"/>
  <c r="K236" i="23"/>
  <c r="K238" i="23"/>
  <c r="K240" i="23"/>
  <c r="K242" i="23"/>
  <c r="K244" i="23"/>
  <c r="K246" i="23"/>
  <c r="K248" i="23"/>
  <c r="K250" i="23"/>
  <c r="L56" i="23" l="1"/>
  <c r="K56" i="23"/>
  <c r="K135" i="23"/>
  <c r="L135" i="23"/>
  <c r="L35" i="23"/>
  <c r="K35" i="23"/>
  <c r="L167" i="23"/>
  <c r="K167" i="23"/>
  <c r="L54" i="23"/>
  <c r="K54" i="23"/>
  <c r="L6" i="23"/>
  <c r="K6" i="23"/>
  <c r="K131" i="23"/>
  <c r="L131" i="23"/>
  <c r="K25" i="23"/>
  <c r="K147" i="23"/>
  <c r="K81" i="23"/>
  <c r="L81" i="23"/>
  <c r="K33" i="23"/>
  <c r="L33" i="23"/>
  <c r="L154" i="23"/>
  <c r="K154" i="23"/>
  <c r="K48" i="23"/>
  <c r="L48" i="23"/>
  <c r="K75" i="23"/>
  <c r="L75" i="23"/>
  <c r="K27" i="23"/>
  <c r="L27" i="23"/>
  <c r="L130" i="23"/>
  <c r="K130" i="23"/>
  <c r="L170" i="23"/>
  <c r="K170" i="23"/>
  <c r="L146" i="23"/>
  <c r="K146" i="23"/>
  <c r="K141" i="23"/>
  <c r="L141" i="23"/>
  <c r="L103" i="23"/>
  <c r="K103" i="23"/>
  <c r="K44" i="23"/>
  <c r="L44" i="23"/>
  <c r="K143" i="23"/>
  <c r="L143" i="23"/>
  <c r="L115" i="23"/>
  <c r="K115" i="23"/>
  <c r="K46" i="23"/>
  <c r="L46" i="23"/>
  <c r="L8" i="23"/>
  <c r="K8" i="23"/>
  <c r="L120" i="23"/>
  <c r="K69" i="23"/>
  <c r="L69" i="23"/>
  <c r="K21" i="23"/>
  <c r="L21" i="23"/>
  <c r="L122" i="23"/>
  <c r="K122" i="23"/>
  <c r="L68" i="23"/>
  <c r="K42" i="23"/>
  <c r="L42" i="23"/>
  <c r="K116" i="23"/>
  <c r="L116" i="23"/>
  <c r="K128" i="23"/>
  <c r="L128" i="23"/>
  <c r="K40" i="23"/>
  <c r="L40" i="23"/>
  <c r="L58" i="23"/>
  <c r="K15" i="23"/>
  <c r="L15" i="23"/>
  <c r="K87" i="23"/>
  <c r="L87" i="23"/>
  <c r="L150" i="23"/>
  <c r="K150" i="23"/>
  <c r="L169" i="23"/>
  <c r="K169" i="23"/>
  <c r="L34" i="23"/>
  <c r="K34" i="23"/>
  <c r="L142" i="23"/>
  <c r="K142" i="23"/>
  <c r="L80" i="23"/>
  <c r="K80" i="23"/>
  <c r="L32" i="23"/>
  <c r="K32" i="23"/>
  <c r="L173" i="23"/>
  <c r="K173" i="23"/>
  <c r="K59" i="23"/>
  <c r="L59" i="23"/>
  <c r="L11" i="23"/>
  <c r="K11" i="23"/>
  <c r="K133" i="23"/>
  <c r="L133" i="23"/>
  <c r="L175" i="23"/>
  <c r="K175" i="23"/>
  <c r="K104" i="23"/>
  <c r="L104" i="23"/>
  <c r="K124" i="23"/>
  <c r="L124" i="23"/>
  <c r="L30" i="23"/>
  <c r="K30" i="23"/>
  <c r="L152" i="23"/>
  <c r="K152" i="23"/>
  <c r="L79" i="23"/>
  <c r="K117" i="23"/>
  <c r="L117" i="23"/>
  <c r="K52" i="23"/>
  <c r="L52" i="23"/>
  <c r="L132" i="23"/>
  <c r="K132" i="23"/>
  <c r="L77" i="23"/>
  <c r="K77" i="23"/>
  <c r="L91" i="23"/>
  <c r="K91" i="23"/>
  <c r="L174" i="23"/>
  <c r="K174" i="23"/>
  <c r="L129" i="23"/>
  <c r="K92" i="23"/>
  <c r="L92" i="23"/>
  <c r="L76" i="23"/>
  <c r="K76" i="23"/>
  <c r="L28" i="23"/>
  <c r="K28" i="23"/>
  <c r="K73" i="23"/>
  <c r="L110" i="23"/>
  <c r="K110" i="23"/>
  <c r="K95" i="23"/>
  <c r="L95" i="23"/>
  <c r="K4" i="23"/>
  <c r="L4" i="23"/>
  <c r="K162" i="23"/>
  <c r="L29" i="23"/>
  <c r="K29" i="23"/>
  <c r="L144" i="23"/>
  <c r="K144" i="23"/>
  <c r="K127" i="23"/>
  <c r="L127" i="23"/>
  <c r="L74" i="23"/>
  <c r="K74" i="23"/>
  <c r="L26" i="23"/>
  <c r="K26" i="23"/>
  <c r="L101" i="23"/>
  <c r="K101" i="23"/>
  <c r="K98" i="23"/>
  <c r="L71" i="23"/>
  <c r="K53" i="23"/>
  <c r="L53" i="23"/>
  <c r="L5" i="23"/>
  <c r="K5" i="23"/>
  <c r="L85" i="23"/>
  <c r="K85" i="23"/>
  <c r="L72" i="23"/>
  <c r="K72" i="23"/>
  <c r="L24" i="23"/>
  <c r="K24" i="23"/>
  <c r="L156" i="23"/>
  <c r="K156" i="23"/>
  <c r="L67" i="23"/>
  <c r="K49" i="23"/>
  <c r="L49" i="23"/>
  <c r="L70" i="23"/>
  <c r="K70" i="23"/>
  <c r="L22" i="23"/>
  <c r="K22" i="23"/>
  <c r="L140" i="23"/>
  <c r="K140" i="23"/>
  <c r="K61" i="23"/>
  <c r="L105" i="23"/>
  <c r="K105" i="23"/>
  <c r="L138" i="23"/>
  <c r="K138" i="23"/>
  <c r="L83" i="23"/>
  <c r="K83" i="23"/>
  <c r="L18" i="23"/>
  <c r="K18" i="23"/>
  <c r="K38" i="23"/>
  <c r="L38" i="23"/>
  <c r="L166" i="23"/>
  <c r="K166" i="23"/>
  <c r="L148" i="23"/>
  <c r="K148" i="23"/>
  <c r="L89" i="23"/>
  <c r="K89" i="23"/>
  <c r="L47" i="23"/>
  <c r="K47" i="23"/>
  <c r="K65" i="23"/>
  <c r="L65" i="23"/>
  <c r="L164" i="23"/>
  <c r="K164" i="23"/>
  <c r="L126" i="23"/>
  <c r="K126" i="23"/>
  <c r="K168" i="23"/>
  <c r="L168" i="23"/>
  <c r="L43" i="23"/>
  <c r="K43" i="23"/>
  <c r="K93" i="23"/>
  <c r="L93" i="23"/>
  <c r="L172" i="23"/>
  <c r="K172" i="23"/>
  <c r="K50" i="23"/>
  <c r="L50" i="23"/>
  <c r="L36" i="23"/>
  <c r="K36" i="23"/>
  <c r="L20" i="23"/>
  <c r="K20" i="23"/>
  <c r="L64" i="23"/>
  <c r="K64" i="23"/>
  <c r="L78" i="23"/>
  <c r="K78" i="23"/>
  <c r="L62" i="23"/>
  <c r="K62" i="23"/>
  <c r="L14" i="23"/>
  <c r="K14" i="23"/>
  <c r="L97" i="23"/>
  <c r="K97" i="23"/>
  <c r="L12" i="23"/>
  <c r="K12" i="23"/>
  <c r="L136" i="23"/>
  <c r="K136" i="23"/>
  <c r="K134" i="23"/>
  <c r="L134" i="23"/>
  <c r="K2" i="23"/>
  <c r="L2" i="23"/>
  <c r="K17" i="23"/>
  <c r="L17" i="23"/>
  <c r="K99" i="23"/>
  <c r="L99" i="23"/>
  <c r="K63" i="23"/>
  <c r="L63" i="23"/>
  <c r="L66" i="23"/>
  <c r="K66" i="23"/>
  <c r="L16" i="23"/>
  <c r="K16" i="23"/>
  <c r="L151" i="23"/>
  <c r="K151" i="23"/>
  <c r="L41" i="23"/>
  <c r="K41" i="23"/>
  <c r="L60" i="23"/>
  <c r="K60" i="23"/>
  <c r="L10" i="23"/>
  <c r="K10" i="23"/>
  <c r="L123" i="23"/>
  <c r="K123" i="23"/>
  <c r="L37" i="23"/>
  <c r="K37" i="23"/>
  <c r="L153" i="23"/>
  <c r="L161" i="23"/>
  <c r="H96" i="23"/>
  <c r="K100" i="23"/>
  <c r="L159" i="23"/>
  <c r="C11" i="22"/>
  <c r="L73" i="23"/>
  <c r="C10" i="22"/>
  <c r="K94" i="23"/>
  <c r="L147" i="23"/>
  <c r="B7" i="18"/>
  <c r="C33" i="22"/>
  <c r="K121" i="23"/>
  <c r="K158" i="23"/>
  <c r="C18" i="22"/>
  <c r="K90" i="23"/>
  <c r="C9" i="22"/>
  <c r="L3" i="13"/>
  <c r="M3" i="13" s="1"/>
  <c r="L25" i="23"/>
  <c r="B11" i="17"/>
  <c r="L4" i="13"/>
  <c r="M4" i="13" s="1"/>
  <c r="B8" i="18"/>
  <c r="C44" i="22"/>
  <c r="D6" i="21"/>
  <c r="L2" i="13"/>
  <c r="M2" i="13" s="1"/>
  <c r="C2" i="22"/>
  <c r="C35" i="22"/>
  <c r="C23" i="22"/>
  <c r="C22" i="22"/>
  <c r="K137" i="23"/>
  <c r="C37" i="22"/>
  <c r="C4" i="25"/>
  <c r="H20" i="12"/>
  <c r="H19" i="12"/>
  <c r="H18" i="12"/>
  <c r="B2" i="18"/>
  <c r="H17" i="12"/>
  <c r="H21" i="12"/>
  <c r="K139" i="23"/>
  <c r="C30" i="22"/>
  <c r="C8" i="22"/>
  <c r="K157" i="23"/>
  <c r="D4" i="21"/>
  <c r="L61" i="23"/>
  <c r="L145" i="23"/>
  <c r="K165" i="23"/>
  <c r="L139" i="23"/>
  <c r="K68" i="23"/>
  <c r="L51" i="23"/>
  <c r="C15" i="22"/>
  <c r="C3" i="22"/>
  <c r="K79" i="23"/>
  <c r="K31" i="23"/>
  <c r="L157" i="23"/>
  <c r="K160" i="23"/>
  <c r="K129" i="23"/>
  <c r="B5" i="17"/>
  <c r="K114" i="23"/>
  <c r="L13" i="23"/>
  <c r="L155" i="23"/>
  <c r="L119" i="23"/>
  <c r="K119" i="23"/>
  <c r="L165" i="23"/>
  <c r="L84" i="23"/>
  <c r="K109" i="23"/>
  <c r="L3" i="23"/>
  <c r="C25" i="22"/>
  <c r="B3" i="18"/>
  <c r="C7" i="22"/>
  <c r="C43" i="22"/>
  <c r="C32" i="22"/>
  <c r="K149" i="23"/>
  <c r="K163" i="23"/>
  <c r="C28" i="22"/>
  <c r="D3" i="21"/>
  <c r="K58" i="23"/>
  <c r="C26" i="22"/>
  <c r="B8" i="17"/>
  <c r="C31" i="22"/>
  <c r="C40" i="22"/>
  <c r="C38" i="22"/>
  <c r="K125" i="23"/>
  <c r="K67" i="23"/>
  <c r="K19" i="23"/>
  <c r="B2" i="17"/>
  <c r="C9" i="17" s="1"/>
  <c r="D8" i="21"/>
  <c r="C14" i="22"/>
  <c r="L98" i="23"/>
  <c r="L125" i="23"/>
  <c r="C19" i="22"/>
  <c r="C21" i="22"/>
  <c r="K118" i="23"/>
  <c r="L102" i="23"/>
  <c r="C27" i="22"/>
  <c r="L57" i="23"/>
  <c r="C13" i="22"/>
  <c r="C6" i="22"/>
  <c r="C5" i="22"/>
  <c r="C42" i="22"/>
  <c r="C12" i="22"/>
  <c r="D5" i="9"/>
  <c r="C5" i="9"/>
  <c r="E5" i="9" s="1"/>
  <c r="L94" i="23"/>
  <c r="K9" i="23"/>
  <c r="C16" i="22"/>
  <c r="C34" i="22"/>
  <c r="C20" i="22"/>
  <c r="L111" i="23"/>
  <c r="K111" i="23"/>
  <c r="K113" i="23"/>
  <c r="H108" i="23"/>
  <c r="K7" i="23"/>
  <c r="C17" i="22"/>
  <c r="B4" i="18"/>
  <c r="D2" i="21"/>
  <c r="B10" i="17"/>
  <c r="K106" i="23"/>
  <c r="C24" i="22"/>
  <c r="C3" i="25"/>
  <c r="H14" i="12"/>
  <c r="H13" i="12"/>
  <c r="H12" i="12"/>
  <c r="H16" i="12"/>
  <c r="B12" i="17"/>
  <c r="H15" i="12"/>
  <c r="B5" i="18"/>
  <c r="C5" i="18" s="1"/>
  <c r="C36" i="22"/>
  <c r="C29" i="22"/>
  <c r="C11" i="17" l="1"/>
  <c r="C3" i="17"/>
  <c r="C2" i="18"/>
  <c r="C7" i="18"/>
  <c r="C2" i="17"/>
  <c r="C4" i="17"/>
  <c r="C8" i="17"/>
  <c r="C7" i="17"/>
  <c r="C12" i="17"/>
  <c r="C2" i="25"/>
  <c r="B5" i="10"/>
  <c r="G5" i="9"/>
  <c r="C5" i="17"/>
  <c r="C10" i="12"/>
  <c r="D9" i="12"/>
  <c r="E9" i="12" s="1"/>
  <c r="C9" i="12"/>
  <c r="D8" i="12"/>
  <c r="E8" i="12" s="1"/>
  <c r="C8" i="12"/>
  <c r="D7" i="12"/>
  <c r="E7" i="12" s="1"/>
  <c r="C7" i="12"/>
  <c r="D11" i="12"/>
  <c r="E11" i="12" s="1"/>
  <c r="C11" i="12"/>
  <c r="D10" i="12"/>
  <c r="E10" i="12" s="1"/>
  <c r="K108" i="23"/>
  <c r="L108" i="23"/>
  <c r="K96" i="23"/>
  <c r="L96" i="23"/>
  <c r="C6" i="18"/>
  <c r="C10" i="17"/>
  <c r="D5" i="12"/>
  <c r="E5" i="12" s="1"/>
  <c r="C5" i="12"/>
  <c r="D4" i="12"/>
  <c r="E4" i="12" s="1"/>
  <c r="C4" i="12"/>
  <c r="D3" i="12"/>
  <c r="E3" i="12" s="1"/>
  <c r="C3" i="12"/>
  <c r="D2" i="12"/>
  <c r="E2" i="12" s="1"/>
  <c r="C2" i="12"/>
  <c r="D6" i="12"/>
  <c r="E6" i="12" s="1"/>
  <c r="C6" i="12"/>
  <c r="C6" i="17"/>
  <c r="C8" i="18"/>
  <c r="C4" i="18"/>
  <c r="C3" i="18"/>
  <c r="D16" i="12" l="1"/>
  <c r="E16" i="12" s="1"/>
  <c r="D14" i="12"/>
  <c r="E14" i="12" s="1"/>
  <c r="D15" i="12"/>
  <c r="E15" i="12" s="1"/>
  <c r="C15" i="12"/>
  <c r="C14" i="12"/>
  <c r="D13" i="12"/>
  <c r="E13" i="12" s="1"/>
  <c r="C13" i="12"/>
  <c r="D12" i="12"/>
  <c r="E12" i="12" s="1"/>
  <c r="C12" i="12"/>
  <c r="C16" i="12"/>
  <c r="D18" i="12"/>
  <c r="E18" i="12" s="1"/>
  <c r="C21" i="12"/>
  <c r="C19" i="12"/>
  <c r="D20" i="12"/>
  <c r="E20" i="12" s="1"/>
  <c r="C20" i="12"/>
  <c r="D19" i="12"/>
  <c r="E19" i="12" s="1"/>
  <c r="C18" i="12"/>
  <c r="D17" i="12"/>
  <c r="E17" i="12" s="1"/>
  <c r="C17" i="12"/>
  <c r="D21" i="12"/>
  <c r="E21" i="1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<sst xmlns="http://schemas.openxmlformats.org/spreadsheetml/2006/main" count="8763" uniqueCount="2178">
  <si>
    <t>Obs_ID</t>
  </si>
  <si>
    <t>Observation_Sequence</t>
  </si>
  <si>
    <t>PSIE_Eligible</t>
  </si>
  <si>
    <t>Baseline_Obs_ID</t>
  </si>
  <si>
    <t>Improvement_ID</t>
  </si>
  <si>
    <t>Observation_Status</t>
  </si>
  <si>
    <t>Active_Observation</t>
  </si>
  <si>
    <t>Protocols_code</t>
  </si>
  <si>
    <t>Protocols_name</t>
  </si>
  <si>
    <t>Question_Ref</t>
  </si>
  <si>
    <t>CCVC_ID</t>
  </si>
  <si>
    <t>Observation_Question</t>
  </si>
  <si>
    <t>YES</t>
  </si>
  <si>
    <t>NO</t>
  </si>
  <si>
    <t>NA</t>
  </si>
  <si>
    <t>Comments</t>
  </si>
  <si>
    <t>SIF_Exposure</t>
  </si>
  <si>
    <t>Critical_Safeguard</t>
  </si>
  <si>
    <t>Observation_Date</t>
  </si>
  <si>
    <t>Year</t>
  </si>
  <si>
    <t>Quarter</t>
  </si>
  <si>
    <t>Zona</t>
  </si>
  <si>
    <t>Site</t>
  </si>
  <si>
    <t>Area_Equipment</t>
  </si>
  <si>
    <t>Activity</t>
  </si>
  <si>
    <t>Company</t>
  </si>
  <si>
    <t>Observer_1</t>
  </si>
  <si>
    <t>Observer_2</t>
  </si>
  <si>
    <t>Observer_3</t>
  </si>
  <si>
    <t>SC_name</t>
  </si>
  <si>
    <t>AA_name</t>
  </si>
  <si>
    <t>PA_name</t>
  </si>
  <si>
    <t>OBS-001</t>
  </si>
  <si>
    <t>N</t>
  </si>
  <si>
    <t>WAH</t>
  </si>
  <si>
    <t>A</t>
  </si>
  <si>
    <t>CLSR07-A</t>
  </si>
  <si>
    <t>Pemahaman fall restraint vs fall arrest</t>
  </si>
  <si>
    <t>Crew belum memahami hierarchy of control</t>
  </si>
  <si>
    <t>Fall from height</t>
  </si>
  <si>
    <t>Fall Protection</t>
  </si>
  <si>
    <t>CPP MATINDOK</t>
  </si>
  <si>
    <t>GTG Area</t>
  </si>
  <si>
    <t>Scaffolding Dismantling</t>
  </si>
  <si>
    <t>PT Petro Teknik Konstruksi</t>
  </si>
  <si>
    <t>Iman Sudirman</t>
  </si>
  <si>
    <t>Endong Darwilisan Yahya</t>
  </si>
  <si>
    <t>Wayan Edi Wijaya</t>
  </si>
  <si>
    <t>B</t>
  </si>
  <si>
    <t>CLSR07-B</t>
  </si>
  <si>
    <t>Pemahaman restraint vs arrest lanyard</t>
  </si>
  <si>
    <t>Perbedaan fungsi belum dipahami</t>
  </si>
  <si>
    <t>Correct Equipment</t>
  </si>
  <si>
    <t>C</t>
  </si>
  <si>
    <t>CLSR07-C</t>
  </si>
  <si>
    <t>Free fall distance calculation</t>
  </si>
  <si>
    <t>Tidak ada free fall calculation</t>
  </si>
  <si>
    <t>Fatality</t>
  </si>
  <si>
    <t>Engineering Safeguard</t>
  </si>
  <si>
    <t>D</t>
  </si>
  <si>
    <t>CLSR07-D</t>
  </si>
  <si>
    <t>Anchorage point verification</t>
  </si>
  <si>
    <t>Anchorage cukup kuat</t>
  </si>
  <si>
    <t>Anchorage Integrity</t>
  </si>
  <si>
    <t>E</t>
  </si>
  <si>
    <t>CLSR07-E</t>
  </si>
  <si>
    <t>100% tie off</t>
  </si>
  <si>
    <t>Crew melakukan 100% tie off</t>
  </si>
  <si>
    <t>Continuous Connection</t>
  </si>
  <si>
    <t>F</t>
  </si>
  <si>
    <t>CLSR07-F</t>
  </si>
  <si>
    <t>Swing fall prevention</t>
  </si>
  <si>
    <t>Swing fall belum diperhitungkan</t>
  </si>
  <si>
    <t>Secondary impact</t>
  </si>
  <si>
    <t>Safe Anchorage</t>
  </si>
  <si>
    <t>G</t>
  </si>
  <si>
    <t>CLSR07-G</t>
  </si>
  <si>
    <t>Inspection equipment</t>
  </si>
  <si>
    <t>Harness dan lanyard diperiksa</t>
  </si>
  <si>
    <t>Equipment Integrity</t>
  </si>
  <si>
    <t>Equipment Inspection</t>
  </si>
  <si>
    <t>H</t>
  </si>
  <si>
    <t>CLSR07-H</t>
  </si>
  <si>
    <t>Correct harness use</t>
  </si>
  <si>
    <t>Harness digunakan dengan benar</t>
  </si>
  <si>
    <t>Proper Harness Use</t>
  </si>
  <si>
    <t>I</t>
  </si>
  <si>
    <t>CLSR07-I</t>
  </si>
  <si>
    <t>Rescue plan</t>
  </si>
  <si>
    <t>Tidak ada suspension trauma rescue plan</t>
  </si>
  <si>
    <t>Rescue Preparedness</t>
  </si>
  <si>
    <t>OBS-002</t>
  </si>
  <si>
    <t>IHE</t>
  </si>
  <si>
    <t>CLSR05-A</t>
  </si>
  <si>
    <t>Safe atmosphere &amp; zero energy verification</t>
  </si>
  <si>
    <t>Crew menjelaskan isolasi dan zero energy verification</t>
  </si>
  <si>
    <t>Hazardous Energy</t>
  </si>
  <si>
    <t>Zero Energy State</t>
  </si>
  <si>
    <t>Condensate Transfer pump</t>
  </si>
  <si>
    <t>Pump Overhaul Activity</t>
  </si>
  <si>
    <t>CLSR05-B</t>
  </si>
  <si>
    <t>Isolation point identification</t>
  </si>
  <si>
    <t>IA/AA/PA mampu menunjukkan titik isolasi</t>
  </si>
  <si>
    <t>Isolation Verification</t>
  </si>
  <si>
    <t>CLSR05-C</t>
  </si>
  <si>
    <t>Individual LOTO implementation</t>
  </si>
  <si>
    <t>Hanya IA yang memasang LOTO pada 4 titik isolasi</t>
  </si>
  <si>
    <t>Individual Protection Barrier</t>
  </si>
  <si>
    <t>CLSR05-D</t>
  </si>
  <si>
    <t>Hazardous energy identification</t>
  </si>
  <si>
    <t>Individual LOTO belum diterapkan oleh seluruh personel yang terekspos hazardous energy sehingga meningkatkan risiko unexpected energization</t>
  </si>
  <si>
    <t>Hazard Identification</t>
  </si>
  <si>
    <t>CLSR05-E</t>
  </si>
  <si>
    <t>Communication of isolation points</t>
  </si>
  <si>
    <t>Titik isolasi telah dikomunikasikan kepada pekerja</t>
  </si>
  <si>
    <t>Isolation Communication</t>
  </si>
  <si>
    <t>CLSR05-F</t>
  </si>
  <si>
    <t>Residual energy dissipation verification</t>
  </si>
  <si>
    <t>Crew menjelaskan verifikasi zero energy dan residual energy dissipation</t>
  </si>
  <si>
    <t>Residual Energy Control</t>
  </si>
  <si>
    <t>CLSR05-G</t>
  </si>
  <si>
    <t>First-on last-off lock policy</t>
  </si>
  <si>
    <t>Operation lock diterapkan sesuai requirement</t>
  </si>
  <si>
    <t>Lock Management</t>
  </si>
  <si>
    <t>CLSR05-H</t>
  </si>
  <si>
    <t>Restoration of isolation points</t>
  </si>
  <si>
    <t>Proses normalisasi sistem belum dapat diobservasi</t>
  </si>
  <si>
    <t>System Restoration</t>
  </si>
  <si>
    <t>CLSR05-I</t>
  </si>
  <si>
    <t>Mandatory SWA for failed isolation</t>
  </si>
  <si>
    <t>Chain lock masih longgar dan berpotensi slip sehingga positive isolation belum optimal</t>
  </si>
  <si>
    <t>Positive Isolation Integrity</t>
  </si>
  <si>
    <t>OBS-003</t>
  </si>
  <si>
    <t>CPP DONGGI</t>
  </si>
  <si>
    <t>Booster Compressor Area</t>
  </si>
  <si>
    <t>Alignment Booster Compressor #A</t>
  </si>
  <si>
    <t>Yoga Swara Jeni Pratama</t>
  </si>
  <si>
    <t>Thamar Thalib Mbau</t>
  </si>
  <si>
    <t>Hanya IA yang memasang LOTO pada 4 titik isolasi (Motor, Suction valve, Discharge dan Drain Valve)</t>
  </si>
  <si>
    <t>Walaupun sumber energi berbahaya telah diidentifikasi, individual LOTO belum diterapkan oleh seluruh personel yang terekspos hazardous energy. Kondisi ini meningkatkan risiko unexpected energization akibat miskomunikasi atau kesalahan asumsi bahwa pekerjaan telah selesai</t>
  </si>
  <si>
    <t>PA dan pekerja tidak memasang LOTO atau INDIVIDUAL ACCOUNTABILITY tidak diimplementasikan</t>
  </si>
  <si>
    <t>Individual Accountability</t>
  </si>
  <si>
    <t>OBS-004</t>
  </si>
  <si>
    <t>GD</t>
  </si>
  <si>
    <t>CLSR08-A</t>
  </si>
  <si>
    <t>Underground utility hazard identification</t>
  </si>
  <si>
    <t>Crew telah melakukan identifikasi bahaya underground utilities menggunakan excavation certificate dan penggalian manual</t>
  </si>
  <si>
    <t>Underground Utility Strike</t>
  </si>
  <si>
    <t>Utility Identification</t>
  </si>
  <si>
    <t>Hydrant Line Area</t>
  </si>
  <si>
    <t>Excavation for Hydrant Pipe Leak Repair</t>
  </si>
  <si>
    <t>CLSR08-B</t>
  </si>
  <si>
    <t>Personnel safety relative to excavating equipment</t>
  </si>
  <si>
    <t>Aktivitas excavating equipment tidak sedang berlangsung saat observasi dilakukan</t>
  </si>
  <si>
    <t>Line of Fire</t>
  </si>
  <si>
    <t>Equipment Separation</t>
  </si>
  <si>
    <t>CLSR08-C</t>
  </si>
  <si>
    <t>Significant excavation hazard identification</t>
  </si>
  <si>
    <t>Potensi bahaya underground electrical cable belum teridentifikasi secara spesifik di dalam Risk Assessment (RA) dan JSA karena pekerjaan telah mengacu pada excavation certificate</t>
  </si>
  <si>
    <t>Electrical Contact / Fatality</t>
  </si>
  <si>
    <t>CLSR08-D</t>
  </si>
  <si>
    <t>Hidden hazard and soil stability verification</t>
  </si>
  <si>
    <t>Crew menjelaskan pengendalian terhadap kondisi tanah dan hidden hazard excavation</t>
  </si>
  <si>
    <t>Cave-In Hazard</t>
  </si>
  <si>
    <t>Soil Stability Verification</t>
  </si>
  <si>
    <t>CLSR08-E</t>
  </si>
  <si>
    <t>Mandatory SWA and permit revalidation</t>
  </si>
  <si>
    <t>Pekerja dan pengawas telah melakukan SWA setelah ditemukan kabel bawah tanah yang tidak teridentifikasi, namun mandatory permit revalidation terhadap unidentified underground utilities belum sepenuhnya dipahami</t>
  </si>
  <si>
    <t>Utility Strike / Fatality</t>
  </si>
  <si>
    <t>SWA &amp; Permit Revalidation</t>
  </si>
  <si>
    <t>OBS-005</t>
  </si>
  <si>
    <t>Para pekerja yang berada diatas scaffolding sudah mencoba menggunakan fall restraint system (D-ring dibelakang dan lanyard tanpa absorber). Tetapi karena konfigurasi dari lanyard dan titik angkur yang kurang tepat, masih memungkinkan pekerja mencapai bahaya jatuh</t>
  </si>
  <si>
    <t>CPP GUNDIH</t>
  </si>
  <si>
    <t>New GTG Area</t>
  </si>
  <si>
    <t>Erection Struktur Shelter New GTG</t>
  </si>
  <si>
    <t>PT Petrowell Energy</t>
  </si>
  <si>
    <t>Andy Kurniawan</t>
  </si>
  <si>
    <t>Angga Saptya Pratama &amp; Aldila Faza Zulfah</t>
  </si>
  <si>
    <t>Yusuf A.</t>
  </si>
  <si>
    <t>Hawis A.</t>
  </si>
  <si>
    <t>Rusman</t>
  </si>
  <si>
    <t>Didalam dokumen Start Work Checklist (SWC) sebagai Human performance tools (HPT) tertulis penggunaan fall restraint dan/atau fall arrest, tetapi AA, PA dan pekerja tidak tahu perbedaan antara fall restraint dan arrest</t>
  </si>
  <si>
    <t>Tidak ditemukan dokumen yang menghitung jarak jatuh sehingga jarak safety factor diketahui</t>
  </si>
  <si>
    <t>Anchorage point belum diverifikasi oleh personel kompeten dan requirement kekuatan anchor point belum dipahami secara memadai</t>
  </si>
  <si>
    <t>Ditemukan satu pekerja tidak 100% tie-off saat mau berpindah posisi pada ketinggian sekitar 6 m (diatas struktur roof)</t>
  </si>
  <si>
    <t>Titik anchorage telah diposisikan untuk mengurangi potensi kontak dengan struktur saat jatuh</t>
  </si>
  <si>
    <t>Harness, lanyard dan scaffolding telah diinspeksi sebelum digunakan</t>
  </si>
  <si>
    <t>Harness digunakan dengan benar dan posisi D-ring sesuai</t>
  </si>
  <si>
    <t>Tidak ada safety standby saat pekerjaan dismantling scaffolding berlangsung dan tidak ada rescue plan terutama terhadap bahaya suspension trauma</t>
  </si>
  <si>
    <t>OBS-006</t>
  </si>
  <si>
    <t>Pekerja/PA belum memahami kapan fall restraint dan fall arrest digunakan sesuai hierarchy of control WAH.</t>
  </si>
  <si>
    <t>GSU / existing pipe rack near New Structure Heat Exchanger</t>
  </si>
  <si>
    <t>Scaffolding / Work at Height at Heat Exchanger area</t>
  </si>
  <si>
    <t>BUMDES (Subcont. PETROWELL ENERGY)</t>
  </si>
  <si>
    <t>Aldila Faza Zulfah</t>
  </si>
  <si>
    <t>Yusuf</t>
  </si>
  <si>
    <t>Harys</t>
  </si>
  <si>
    <t>Sandi</t>
  </si>
  <si>
    <t>Pekerja mencoba menggunakan fall restraint, namun konfigurasi lanyard dan titik anchor masih memungkinkan pekerja mencapai bahaya jatuh.</t>
  </si>
  <si>
    <t>Free fall distance, body length, shock absorber length, dan safety factor belum dapat dijelaskan/dihitung.</t>
  </si>
  <si>
    <t>Anchorage point belum ditentukan/dibuktikan oleh competent person dan belum jelas memenuhi 5,000 lbs / 22.2 kN atau safety factor 2.</t>
  </si>
  <si>
    <t>Pekerja memahami/menerapkan 100% tie-off pada saat observasi.</t>
  </si>
  <si>
    <t>Posisi anchorage point belum dievaluasi untuk mencegah kontak pekerja dengan objek/permukaan saat/setelah jatuh.</t>
  </si>
  <si>
    <t>Peralatan WAH dan scaffolding telah diinspeksi sebelum digunakan.</t>
  </si>
  <si>
    <t>Harness digunakan dengan benar; chest/thigh strap dan posisi D-ring sesuai.</t>
  </si>
  <si>
    <t>Tidak ada safety standby; rescue plan dan pemahaman suspension trauma serta suspension trauma relief/safety strap belum memadai.</t>
  </si>
  <si>
    <t>OBS-007</t>
  </si>
  <si>
    <t>CSE</t>
  </si>
  <si>
    <t>CLSR04-A</t>
  </si>
  <si>
    <t>Safe for entry</t>
  </si>
  <si>
    <t>Safe for entry belum lengkap: potensi kebocoran arus di ruang cable tray belum diverifikasi oleh personel kelistrikan kompeten dan gas tester masuk tanpa alat pelindung pernapasan.</t>
  </si>
  <si>
    <t>Confined space atmosphere / physical hazard</t>
  </si>
  <si>
    <t>Safe Entry Condition</t>
  </si>
  <si>
    <t>Sub Station Building (SSB) / cable tray below SSB</t>
  </si>
  <si>
    <t>Cable pulling in confined space below SSB</t>
  </si>
  <si>
    <t>PT. Indoturbine</t>
  </si>
  <si>
    <t>Johan Evvryn</t>
  </si>
  <si>
    <t>Yusuf / Adha Bayu</t>
  </si>
  <si>
    <t>Harys / Imam</t>
  </si>
  <si>
    <t>M. Baitul Kabir</t>
  </si>
  <si>
    <t>CLSR04-B</t>
  </si>
  <si>
    <t>Acceptable atmospheric condition</t>
  </si>
  <si>
    <t>Parameter atmosfer CSE dimonitor/dibahas sesuai batas O2, LEL, H2S, dan CO.</t>
  </si>
  <si>
    <t>Toxic / flammable / oxygen deficiency exposure</t>
  </si>
  <si>
    <t>Atmospheric Limits</t>
  </si>
  <si>
    <t>CLSR04-C</t>
  </si>
  <si>
    <t>Heat stress management</t>
  </si>
  <si>
    <t>Heat stress dipertimbangkan dalam dokumen pekerjaan.</t>
  </si>
  <si>
    <t>Heat stress</t>
  </si>
  <si>
    <t>Heat Stress Control</t>
  </si>
  <si>
    <t>CLSR04-D</t>
  </si>
  <si>
    <t>Atmospheric monitoring &amp; ventilation</t>
  </si>
  <si>
    <t>Atmospheric monitoring dan ventilasi dipertimbangkan untuk ruang terbatas.</t>
  </si>
  <si>
    <t>Atmospheric hazard</t>
  </si>
  <si>
    <t>Ventilation &amp; Monitoring</t>
  </si>
  <si>
    <t>CLSR04-E</t>
  </si>
  <si>
    <t>Isolation of hazardous energy</t>
  </si>
  <si>
    <t>Verifikasi isolasi/absence of electrical leakage untuk pekerjaan penarikan kabel di confined space belum memadai.</t>
  </si>
  <si>
    <t>Unexpected energy / hazardous atmosphere ingress</t>
  </si>
  <si>
    <t>CLSR04-G</t>
  </si>
  <si>
    <t>Entry Watch responsibilities</t>
  </si>
  <si>
    <t>Watch Man/standby person belum tersedia dan checklist kebutuhan Watch Man serta penanganan emergency belum dicentang.</t>
  </si>
  <si>
    <t>Failed emergency response</t>
  </si>
  <si>
    <t>Entry Watch</t>
  </si>
  <si>
    <t>CLSR04-F</t>
  </si>
  <si>
    <t>OBS-008</t>
  </si>
  <si>
    <t>Risk Assessment/RP3K belum memasukkan biological hazard dan pertolongan pertamanya; safe-entry review belum komprehensif.</t>
  </si>
  <si>
    <t>MOS MENGGUNG</t>
  </si>
  <si>
    <t>Tank T-0006</t>
  </si>
  <si>
    <t>Hot work repair bottom floor inside tank</t>
  </si>
  <si>
    <t>PT. EJJV</t>
  </si>
  <si>
    <t>Yoyok / Fahlevy</t>
  </si>
  <si>
    <t>Budi Handoyo</t>
  </si>
  <si>
    <t>Rudy Setianto</t>
  </si>
  <si>
    <t>Ahmad K / Fahlevy</t>
  </si>
  <si>
    <t>Adi</t>
  </si>
  <si>
    <t>Kondisi atmosfer dimonitor sesuai parameter CSE.</t>
  </si>
  <si>
    <t>Heat stress dipertimbangkan dalam pekerjaan di dalam tanki.</t>
  </si>
  <si>
    <t>Empat explosion proof blower tersedia untuk ventilasi tanki.</t>
  </si>
  <si>
    <t>Isolation of hazardous energy diverifikasi melalui permit/certificate sebelum entry.</t>
  </si>
  <si>
    <t>Rescue preparation</t>
  </si>
  <si>
    <t>Basket stretcher tersedia, tetapi rescue plan, SCBA, tali penarik, dan personel rescue kompeten belum memadai.</t>
  </si>
  <si>
    <t>Fatality during emergency rescue</t>
  </si>
  <si>
    <t>Watch Man merangkap HSSE/gas tester sehingga tidak fully dedicated memonitor entrant dan kondisi ruang terbatas.</t>
  </si>
  <si>
    <t>OBS-009</t>
  </si>
  <si>
    <t>Gas Plant Lengowangi</t>
  </si>
  <si>
    <t>Condensate Tank TK-5600 A/B</t>
  </si>
  <si>
    <t>Blasting painting inside condensate tank</t>
  </si>
  <si>
    <t>Ghofur / Wisnu / Angga Wahyu</t>
  </si>
  <si>
    <t>M. Sadad / Slamet</t>
  </si>
  <si>
    <t>Erwin</t>
  </si>
  <si>
    <t>Angga Wahyu</t>
  </si>
  <si>
    <t>Ghofur</t>
  </si>
  <si>
    <t>Heat stress dipertimbangkan dalam pekerjaan blasting/painting di dalam tanki.</t>
  </si>
  <si>
    <t>Watch Man tidak fully dedicated memonitor entrant/kondisi ruang terbatas karena merangkap aktivitas lain.</t>
  </si>
  <si>
    <t>OBS-010</t>
  </si>
  <si>
    <t>AA, PA, dan pekerja belum memahami perbedaan fall restraint dan fall arrest untuk pekerjaan pada scaffolding/struktur.</t>
  </si>
  <si>
    <t>New Heat Exchanger steel structure / scaffolding</t>
  </si>
  <si>
    <t>Install steel structure new HE CPP Gundih</t>
  </si>
  <si>
    <t>PT. PETROWELL ENERGY</t>
  </si>
  <si>
    <t>Johan</t>
  </si>
  <si>
    <t>Anwar</t>
  </si>
  <si>
    <t>Adha Bayu</t>
  </si>
  <si>
    <t>Umbu Nggala Lili</t>
  </si>
  <si>
    <t>SWC belum cukup menjelaskan perbedaan fall arrest lanyard dan fall restraint lanyard serta pemilihan equipment yang sesuai.</t>
  </si>
  <si>
    <t>Body harness/lanyard memiliki shock absorber tetapi minimum free fall distance/total fall clearance belum dievaluasi.</t>
  </si>
  <si>
    <t>Tim belum memahami anchorage point requirement dan belum membuktikan kapasitas anchor terhadap gaya jatuh.</t>
  </si>
  <si>
    <t>Posisi anchorage point belum dievaluasi untuk mencegah swing fall/impact hazard.</t>
  </si>
  <si>
    <t>Salah satu struktur scaffolding digunakan walaupun toe board belum lengkap dan belum dipasang Green Inspection Tag.</t>
  </si>
  <si>
    <t>Harness digunakan dengan benar oleh pekerja.</t>
  </si>
  <si>
    <t>Tidak ada rescue plan memadai terutama untuk suspension trauma dan tidak tersedia perlengkapan suspension trauma relief.</t>
  </si>
  <si>
    <t>OBS-011</t>
  </si>
  <si>
    <t>HW</t>
  </si>
  <si>
    <t>CLSR03-A</t>
  </si>
  <si>
    <t>Safe Atmosphere for Hot Work</t>
  </si>
  <si>
    <t>Personnel Gas Detector yang dimiliki dan dipergunakan oleh HSSE Officer berfungsi namun tidak dilakukan bump test setiap hari sebelum penggunaan</t>
  </si>
  <si>
    <t>Flammable atmosphere / ignition</t>
  </si>
  <si>
    <t>Atmospheric Verification</t>
  </si>
  <si>
    <t>Tank T-006</t>
  </si>
  <si>
    <t>Hot work repair bottom floor inside Tank T-006</t>
  </si>
  <si>
    <t>CLSR03-B</t>
  </si>
  <si>
    <t>LEL Shutdown Limit</t>
  </si>
  <si>
    <t>Fire / explosion</t>
  </si>
  <si>
    <t>LEL Stop-Work Limit</t>
  </si>
  <si>
    <t>CLSR03-C</t>
  </si>
  <si>
    <t>Mandatory Stop-Work Conditions</t>
  </si>
  <si>
    <t>Peran Ganda dari HSSE Officer sebagai Fire Watch juga sebagai Entry Watcher dari pekerjaan Hotwork dan Confined Space</t>
  </si>
  <si>
    <t>Stop Work Conditions</t>
  </si>
  <si>
    <t>CLSR03-D</t>
  </si>
  <si>
    <t>Initial Gas Testing</t>
  </si>
  <si>
    <t>Pengukuran dilakukan setiap jam dan ditulis di monitoring white board.</t>
  </si>
  <si>
    <t>CLSR03-E</t>
  </si>
  <si>
    <t>Open Drain Ignition Protection</t>
  </si>
  <si>
    <t>Drain Ignition Protection</t>
  </si>
  <si>
    <t>CLSR03-F</t>
  </si>
  <si>
    <t>Atmospheric &amp; Ignition Source Control</t>
  </si>
  <si>
    <t>Penggunaan 8 Welding Generator Miller Big Blue 600 yang ditempatkan di zona berpotensi tinggi terjadi awan gas hydrocarbon tanpa dilengkapi spark arrestor.</t>
  </si>
  <si>
    <t>Ignition Source Control</t>
  </si>
  <si>
    <t>CLSR03-G</t>
  </si>
  <si>
    <t>Continuous Monitoring</t>
  </si>
  <si>
    <t>Continuous Gas Monitoring</t>
  </si>
  <si>
    <t>OBS-012</t>
  </si>
  <si>
    <t>JTB GPF</t>
  </si>
  <si>
    <t>Unit 241 - H2S Removal / Flare Line Pipe Rack</t>
  </si>
  <si>
    <t>Install &amp; dismantle scaffolding for NDT UT flare header 475-LF &amp; 470-HF 32" at ~10 m</t>
  </si>
  <si>
    <t>PT Tripatra</t>
  </si>
  <si>
    <t>Yoseph Gunawan</t>
  </si>
  <si>
    <t>Punjung</t>
  </si>
  <si>
    <t>Adi Wibisono</t>
  </si>
  <si>
    <t>M Aguk Nurkholiq</t>
  </si>
  <si>
    <t>Pekerja belum memahami hierarki mitigasi bahaya bekerja di ketinggian. Tidak semua pekerja dapat menjelaskan perbedaan Fall Restraint dan Fall Arrest</t>
  </si>
  <si>
    <t>Anchorage Point dipasang pada point yang tidak mengacu pada best practice, tidak ada calculation support untuk memastikan mampu menahan gaya  sebesar 5000 lbs.</t>
  </si>
  <si>
    <t>Rescue Plan dengan mengandalkan trained responder standby di Fire Station. Pekerja tidak memahami bahaya suspension trauma dan tidak dilengkapi dengan alat pelindung dari risiko Suspension Trauma (misal SuspensionTrauma Strap)</t>
  </si>
  <si>
    <t>OBS-013</t>
  </si>
  <si>
    <t>Underground Utility Hazard Identification</t>
  </si>
  <si>
    <t>JSA Penggalian perlu perbaikan dalam hal kejelasan dari identifikasi bahayanya terhadap aktifitas yang telah disebutkan seperti 1. Perpindahan Dumptruk---belum menyebutkan bahaya tertabrak atau terlindas 2. Dumping--belum menyebutkan bahaya tertimbun atau terbentur.JSA yang tersedia masih belum sepenuhnya saling keterkaitan dengan RP3K dan SWC nya, seperti P3K gigitan binatang berbisa sudah tersedia namun di JSA terkait Biological Hazard belum disebutkan., sedangkan di SWC sudah dicentang.Belum adanya penyediaan Portable Eyewash sebagai alat RP3K dari bahaya kelilipan debu pasir atau debu bahan kimia (semen), fasilitas terdekat berjarak 80m dengan jalan memutar, dan sebaiknya disediakan dilokasi pekerjaan tersebut.Petugas HSSE Metrindo atau PA sebaiknya memiliki kompetensi pelatihan P3K sesuai paparan resiko dilokasi kerja, termasuk P3K untuk kemungkinan tersengat dari kejadian kebocoran arus Listrik.</t>
  </si>
  <si>
    <t>JTB Gas Plant</t>
  </si>
  <si>
    <t>Warehouse Atas JTB Gas Plant</t>
  </si>
  <si>
    <t>Pembuatan Jalan Beton / Rigid Pavement &amp; Power Cable &amp; Pipe Crossing</t>
  </si>
  <si>
    <t>PT. Metrindo</t>
  </si>
  <si>
    <t>Tinoto</t>
  </si>
  <si>
    <t>Abraham</t>
  </si>
  <si>
    <t>Purwanto</t>
  </si>
  <si>
    <t>Personnel Safety around Excavation Equipment</t>
  </si>
  <si>
    <t>Spotter menggunakan rompi hijau menginformasikan berposisi di luar radius swing dan mengkomunikasikan bahaya dari pergerakan excavator terhadap lingkungan dengan Peluit dan Bendera.Beberapa baricade dan palang penanda adanya pekerjaan galian perlu dipasang dan dirapikan kembali, dan papan peringatan ditempatkan di posisi yang bersinggungan dengan jalan atau lalu lintas orang/kendaraan lain.</t>
  </si>
  <si>
    <t>Significant Excavation Hazards</t>
  </si>
  <si>
    <t>Hidden Hazards / Cave-in / Unstable Ground</t>
  </si>
  <si>
    <t>Mandatory Stop-Work &amp; Permit Revalidation</t>
  </si>
  <si>
    <t>OBS-014</t>
  </si>
  <si>
    <t>Fall Restraint vs Fall Arrest Selection</t>
  </si>
  <si>
    <t>Pekerja menggunakan fall arrest pada saat bekerja menggunakan MEWP. Pekerja tidak memprioritaskan penggunaan fall restraint yang cukup jelas direkomendasikan didalam Manual Book</t>
  </si>
  <si>
    <t>Unit 241 - H2S / LP Flare System Removal</t>
  </si>
  <si>
    <t>Robotic NDT pada sistem perpipaan menggunakan RMS/NAV 2 dengan MEWP/scaffolding beserta kamera AORO</t>
  </si>
  <si>
    <t>PT Sucofindo &amp; PT. GTS</t>
  </si>
  <si>
    <t>Fall Arrest vs Fall Restraint Lanyard</t>
  </si>
  <si>
    <t>Pekerja belum memahami hierarki mitigasi bahaya bekerja di ketinggian (Passive Fall Protection - Fall Restraint - Fall Arrest). Dan belum paham risiko lain (suspension trauma), kesiapan rescue plan, jarak bebas jatuh yang perlu disiapkan saat mengimplementasikan Fall Arrest System.</t>
  </si>
  <si>
    <t>Fall Clearance Calculation</t>
  </si>
  <si>
    <t>Tidak ada perhitungan Jarak Jatuh yang disampaikan didalam dokumen SIKA.</t>
  </si>
  <si>
    <t>Anchorage Strength</t>
  </si>
  <si>
    <t>Anchoraged Point dipasang pada handrail basket MEWP yang tidak di design untuk menerima beban seberat 2,500 Kg. Merujuk pada Manual Book dari MEWP tsb, Anchor Point tersebut di design untuk keperluan fall restraint.</t>
  </si>
  <si>
    <t>100% Tie-Off</t>
  </si>
  <si>
    <t>Anchorage Position</t>
  </si>
  <si>
    <t>Inspection of WAH Equipment</t>
  </si>
  <si>
    <t>Proper Wearing of PFAS</t>
  </si>
  <si>
    <t>Rescue Plan</t>
  </si>
  <si>
    <t>Tidak tersedia Rescue Plan. Pekerja tidak memahami bahaya suspension trauma</t>
  </si>
  <si>
    <t>OBS-015</t>
  </si>
  <si>
    <t>Pekerja telah memakai Fall Arrest System namun belum paham hirarki mitigasi bahaya WAH (Passive Fall Protection - Fall Restraint - Fall Arrest). Dan belum paham risiko lain (suspension trauma), kesiapan rescue plan, jarak bebas jatuh yang perlu diantisipasi saat mengimplementasikan Fall Arrest System.</t>
  </si>
  <si>
    <t>Install &amp; Dismantle scaffolding for NDT UT flare header 475-LF &amp; 470-HF 32" at ~10 m</t>
  </si>
  <si>
    <t>Rescue Plan dengan mengandalkan trained responder yang standby di Fire Station. Pekerja tidak memahami bahaya suspension trauma dan tidak dilengkapi dengan alat pelindung dari risiko Suspension Trauma (misal SuspensionTrauma Strap)</t>
  </si>
  <si>
    <t>OBS-016</t>
  </si>
  <si>
    <t>JTB Klinik</t>
  </si>
  <si>
    <t>Klinik JTB</t>
  </si>
  <si>
    <t>Renovasi perluasan klinik: chipping beton, pondasi kanopi, plester/acian, plumbing, wastafel &amp; jendela, housekeeping</t>
  </si>
  <si>
    <t>SCM</t>
  </si>
  <si>
    <t>Mulyadi</t>
  </si>
  <si>
    <t>Juprianto</t>
  </si>
  <si>
    <t>SWC belum diperiksa dan di tandatangani ole PA dan AA</t>
  </si>
  <si>
    <t>OBS-017</t>
  </si>
  <si>
    <t>Safe for Entry</t>
  </si>
  <si>
    <t>The fin fan cooler hood was not recognized as a Confined Space with Special Hazardous Characteristics. CSEP was not submitted and CSE-specific hazards and safeguards were not identified in the JSA.</t>
  </si>
  <si>
    <t>Area 2 GPF - 242 CO2 Removal / Equipment 242-E9007B-1A</t>
  </si>
  <si>
    <t>PM fin fan cooler</t>
  </si>
  <si>
    <t>PT. TRIPATRA</t>
  </si>
  <si>
    <t>Heni Kusniati (PTW controller JTB field)</t>
  </si>
  <si>
    <t>Ary Iswanto</t>
  </si>
  <si>
    <t>Acceptable Atmospheric Condition</t>
  </si>
  <si>
    <t>Heat Stress Management</t>
  </si>
  <si>
    <t>Atmospheric Monitoring &amp; Ventilation</t>
  </si>
  <si>
    <t>Isolation of Hazardous Energy</t>
  </si>
  <si>
    <t>Rescue Preparation</t>
  </si>
  <si>
    <t>No documented CSE-specific rescue plan or rescue arrangement was established for two workers inside the hood/above the fan blade. EEBA was available for emergency escape but does not replace rescue preparedness for an incapacitated entrant.</t>
  </si>
  <si>
    <t>Entry Watch Responsibilities</t>
  </si>
  <si>
    <t>The PA remained outside the hood and maintained oversight; however, the activity was not recognized as CSE and an emergency egress response was not established. In the event of a PGD alarm, the mobile staircase had to be repositioned to the hood access point, creating potential delay in evacuating the two entrants.</t>
  </si>
  <si>
    <t>OBS-018</t>
  </si>
  <si>
    <t>Safe Atmosphere when Opening Equipment</t>
  </si>
  <si>
    <t>Isolation Point Location</t>
  </si>
  <si>
    <t>Individual Lock Protection</t>
  </si>
  <si>
    <t>The two workers exposed to hazardous energy were not protected by their own individual locks. Their protection was represented by the PA's lock on the LOTO box. The crew understood this arrangement as compliant with the current SIKA and Energy Isolation TKO and applied a stop-work rule whenever the PA left the worksite. An interpretation/interface gap was identified between the V&amp;V individual protection requirement and the current SIKA–ICC/group lock arrangement.</t>
  </si>
  <si>
    <t>Hazardous Energy Sources</t>
  </si>
  <si>
    <t>First-On Last-Off Lock Policy</t>
  </si>
  <si>
    <t>Return to Normal State</t>
  </si>
  <si>
    <t>OBS-019</t>
  </si>
  <si>
    <t>Workers used a fall arrest system; however, they were unable to explain how to determine when fall restraint should be selected instead of fall arrest. The system selection appeared to be based on the fall arrest equipment being available rather than a hierarchy-based assessment of preventing access to the fall hazard first.</t>
  </si>
  <si>
    <t>Workers were unable to clearly explain the technical difference between fall restraint, which prevents reaching the fall hazard, and fall arrest, which stops a worker after a fall has occurred.</t>
  </si>
  <si>
    <t>No fall clearance calculation was demonstrated for the approximately 2.5 m working height. The effectiveness of the fall arrest system to arrest the worker before contact with the lower surface/fan structure was not verified..</t>
  </si>
  <si>
    <t>The selected anchorage point was not verified to meet the required 5,000 lbf / 22.2 kN capacity or an engineered anchorage system with a safety factor of 2.</t>
  </si>
  <si>
    <t>The anchorage position and potential fall path were not demonstrated to prevent contact with the fan blade, structure or lower surface during a fall.</t>
  </si>
  <si>
    <t>No documented fall rescue plan was available despite the use of a personal fall arrest system. No specific arrangement for prompt rescue and suspension trauma response was demonstrated.</t>
  </si>
  <si>
    <t>OBS-020</t>
  </si>
  <si>
    <t>LoF</t>
  </si>
  <si>
    <t>CLSR02-A</t>
  </si>
  <si>
    <t>Identify Energy &amp; Line of Fire</t>
  </si>
  <si>
    <t>PT. Sucofindo &amp; PT. GTS</t>
  </si>
  <si>
    <t>CLSR02-B</t>
  </si>
  <si>
    <t>Eliminate, Control &amp; Mitigate LOF</t>
  </si>
  <si>
    <t>A barricade was installed around the work area; however, no specific dropped-object exclusion zone was identified or marked below the MEWP basket. The barricade boundary was not defined based on the basket position and potential falling-object path.</t>
  </si>
  <si>
    <t>CLSR02-C</t>
  </si>
  <si>
    <t>Stay Out of Line of Fire</t>
  </si>
  <si>
    <t>One worker was observed standing below the MEWP work area while two workers were performing work from the basket. The worker remained within the area directly below or adjacent to the basket where a dropped object could fall.</t>
  </si>
  <si>
    <t>CLSR02-D</t>
  </si>
  <si>
    <t>Manage Dynamic Changes</t>
  </si>
  <si>
    <t>OBS-021</t>
  </si>
  <si>
    <t>T&amp;E</t>
  </si>
  <si>
    <t>CLSR01-A</t>
  </si>
  <si>
    <t>Right Tool Selection</t>
  </si>
  <si>
    <t>Tools &amp; Equipment</t>
  </si>
  <si>
    <t>JTB</t>
  </si>
  <si>
    <t>Not specified in source</t>
  </si>
  <si>
    <t>Penggantian 4 buah stud bolts yang galvanized corrosion</t>
  </si>
  <si>
    <t>Heni Kusniati</t>
  </si>
  <si>
    <t>CLSR01-B</t>
  </si>
  <si>
    <t>Safe Condition</t>
  </si>
  <si>
    <t>CLSR01-C</t>
  </si>
  <si>
    <t>Safe Use of Tools &amp; Equipment</t>
  </si>
  <si>
    <t>CLSR01-D</t>
  </si>
  <si>
    <t>Positive Control of Tools &amp; Equipment</t>
  </si>
  <si>
    <t>OBS-022</t>
  </si>
  <si>
    <t>MACP</t>
  </si>
  <si>
    <t>PM Semi Annually MACP</t>
  </si>
  <si>
    <t>JTB ZONA 12</t>
  </si>
  <si>
    <t>Initial gas testing prior to hot work was not observed during the document review; therefore, verification of gas monitoring at potential LEL sources and within the 15-metre buffer zone could not be performed.</t>
  </si>
  <si>
    <t>The JSA requires gas testing to confirm no flammable gas before the 24 VDC voltage check and specifies spark prevention. However, the reviewed JSA does not identify the hazardous area classification of the work location or document how the area classification is used to determine ignition-source controls for the voltage-checking activity.</t>
  </si>
  <si>
    <t>OBS-023</t>
  </si>
  <si>
    <t>Fuel gas system sudah diisolasi valve, tetapi belum depressurize dan belum leak test.</t>
  </si>
  <si>
    <t>420 - Power Generator System</t>
  </si>
  <si>
    <t>PM 8000 HRS 420V9200</t>
  </si>
  <si>
    <t>PT. PLN INDONESIA POWER SERVICES</t>
  </si>
  <si>
    <t>LOTO hanya oleh IA dan PA, belum individual lock setiap pekerja.</t>
  </si>
  <si>
    <t>Zero energy listrik sudah diverifikasi dengan tombol start, tetapi residual energy fuel gas belum dihilangkan/dibuktikan aman.</t>
  </si>
  <si>
    <t>Protocols</t>
  </si>
  <si>
    <t>Error Trap Catergories</t>
  </si>
  <si>
    <t>Error Trap</t>
  </si>
  <si>
    <t>Individual_Factor</t>
  </si>
  <si>
    <t>Complacency</t>
  </si>
  <si>
    <t>Pekerja terlalu familiar terhadap aktivitas scaffolding sehingga questioning attitude terhadap bahaya fall hazard menurun.</t>
  </si>
  <si>
    <t>Organizational_Factor</t>
  </si>
  <si>
    <t>Inadequate Training</t>
  </si>
  <si>
    <t>Personel belum memahami hierarchy of control WAH, fall restraint vs fall arrest, serta bahaya suspension trauma.</t>
  </si>
  <si>
    <t>Task_Demands</t>
  </si>
  <si>
    <t>Vague Written Guidance</t>
  </si>
  <si>
    <t>Prosedur dan PTW belum menjelaskan anchorage point, free fall distance, swing fall hazard, dan rescue requirement secara detail.</t>
  </si>
  <si>
    <t>Work_Environment</t>
  </si>
  <si>
    <t>Limited Tool Availability</t>
  </si>
  <si>
    <t>Rescue equipment dan perangkat pendukung suspension trauma rescue belum tersedia secara memadai di lokasi kerja.</t>
  </si>
  <si>
    <t>Personel menganggap pengamanan isolasi oleh IA sudah cukup sehingga individual LOTO tidak diterapkan oleh seluruh pekerja terekspos.</t>
  </si>
  <si>
    <t>Pemahaman terkait filosofi “one man one lock one key” dan individual accountability terhadap hazardous energy masih lemah.</t>
  </si>
  <si>
    <t>Implementasi group lock box dan individual LOTO belum dijelaskan secara kuat dan konsisten dalam praktik lapangan.</t>
  </si>
  <si>
    <t>Ketersediaan dan distribusi equipment LOTO kepada seluruh pekerja belum optimal.</t>
  </si>
  <si>
    <t>Personel mulai terbiasa menggunakan pengendalian administratif tanpa personal lock sebagai barrier individual protection.</t>
  </si>
  <si>
    <t>Komunikasi mengenai mandatory individual LOTO belum dipahami konsisten oleh seluruh personel yang terekspos hazardous energy.</t>
  </si>
  <si>
    <t>Inadequate Job Design</t>
  </si>
  <si>
    <t>Penggunaan chain lock pada valve isolation dilakukan tanpa guidance engineering yang detail terkait efektivitas positive isolation.</t>
  </si>
  <si>
    <t>Handwheel valve lockout cover atau universal cable valve lockout yang lebih sesuai belum tersedia memadai.</t>
  </si>
  <si>
    <t>Risk Tolerance</t>
  </si>
  <si>
    <t>Pekerjaan excavation tetap dilanjutkan sebelum underground utility teridentifikasi secara lengkap.</t>
  </si>
  <si>
    <t>Poor Job Planning</t>
  </si>
  <si>
    <t>Identifikasi underground utility pada tahap perencanaan dan RA/JSA belum memadai sebelum excavation dimulai.</t>
  </si>
  <si>
    <t>Kondisi underground cable yang tidak teridentifikasi menciptakan ketidakpastian hazard pada pekerjaan excavation.</t>
  </si>
  <si>
    <t>Inadequate Labels / Signs / Display</t>
  </si>
  <si>
    <t>Underground cable/utilities tidak memiliki penandaan yang jelas di area excavation.</t>
  </si>
  <si>
    <t>Masih ditemukan pekerja belum 100% tie-off saat berpindah posisi pada scaffolding.</t>
  </si>
  <si>
    <t>Personel belum memahami engineering consequence fall arrest system, anchorage strength, dan suspension trauma.</t>
  </si>
  <si>
    <t>Rescue plan, anchorage requirement, dan free fall calculation belum dijelaskan detail pada prosedur dan PTW.</t>
  </si>
  <si>
    <t>Rescue equipment dan safety standby support terhadap suspension trauma belum tersedia secara memadai.</t>
  </si>
  <si>
    <t>Pekerja/PA terbiasa menggunakan fall arrest tanpa mempertanyakan adequacy fall prevention/fall restraint dan rescue readiness.</t>
  </si>
  <si>
    <t>Pemahaman fall restraint, fall arrest, free fall distance, anchorage strength, dan suspension trauma masih lemah.</t>
  </si>
  <si>
    <t>Prosedur/SWC belum menjelaskan anchor point, free fall calculation, swing fall, dan rescue requirement secara detail.</t>
  </si>
  <si>
    <t>Barricade/marking line of fire terhadap dropped object dari pekerja scaffolding di atas belum tersedia memadai.</t>
  </si>
  <si>
    <t>Pekerjaan di confined space tetap diproses walaupun watch man/rescue readiness dan verification electrical leakage belum lengkap.</t>
  </si>
  <si>
    <t>Pemahaman requirement CSE, penggunaan respiratory protection untuk gas tester, dan rescue readiness belum kuat.</t>
  </si>
  <si>
    <t>Sertifikat CSE/SWC belum secara jelas mengunci requirement watch man, rescue equipment, dan electrical leakage verification.</t>
  </si>
  <si>
    <t>Alat bantu/tali untuk menarik personel saat emergency serta respiratory protection untuk gas tester belum tersedia memadai.</t>
  </si>
  <si>
    <t>Watchman/HSSE merangkap fungsi dan kondisi ini berpotensi dianggap cukup karena pekerjaan berjalan tanpa insiden.</t>
  </si>
  <si>
    <t>Time Pressure</t>
  </si>
  <si>
    <t>Target penyelesaian tanki akhir Juli 2026 dan pergantian tim/permit berulang menurunkan kualitas verification.</t>
  </si>
  <si>
    <t>Rescue plan, biological hazard, SCBA, tali penarik, dan dedicated watchman belum direncanakan memadai.</t>
  </si>
  <si>
    <t>Hanya tersedia basket stretcher; SCBA, tali penarik, dan rescue equipment lain belum memadai.</t>
  </si>
  <si>
    <t>Target pekerjaan blasting/painting dan handover PA melalui telepon berpotensi menurunkan kualitas verification.</t>
  </si>
  <si>
    <t>Scaffolding yang belum lengkap tetap digunakan oleh rigger setelah dipertimbangkan operasional lapangan.</t>
  </si>
  <si>
    <t>AA, PA, dan pekerja belum memahami fall restraint vs fall arrest dan free fall clearance.</t>
  </si>
  <si>
    <t>Verifikasi Green Tag, toe board, anchorage, dan rescue plan belum dikunci sebelum pekerjaan dimulai.</t>
  </si>
  <si>
    <t>Green Inspection Tag belum dipasang pada scaffolding yang digunakan.</t>
  </si>
  <si>
    <t>High workload, multitasking</t>
  </si>
  <si>
    <t>Checked in source observation checklist</t>
  </si>
  <si>
    <t>Limited tool availability</t>
  </si>
  <si>
    <t>Inadeautea job design</t>
  </si>
  <si>
    <t>Vague written guidance</t>
  </si>
  <si>
    <t>Inadequate training</t>
  </si>
  <si>
    <t>Individual Factor</t>
  </si>
  <si>
    <t>Checked in source observation document OBS-013.</t>
  </si>
  <si>
    <t>Checked in source observation document OBS-014.</t>
  </si>
  <si>
    <t>Checked in source observation document OBS-015.</t>
  </si>
  <si>
    <t>Checked in source observation document OBS-017.</t>
  </si>
  <si>
    <t>Checked in source observation document OBS-018.</t>
  </si>
  <si>
    <t>Checked in source observation document OBS-019.</t>
  </si>
  <si>
    <t>Checked in source observation document OBS-020.</t>
  </si>
  <si>
    <t>Checked in source observation document OBS-023.</t>
  </si>
  <si>
    <t>HP_tool</t>
  </si>
  <si>
    <t>Tujuan</t>
  </si>
  <si>
    <t>Kapan digunakan</t>
  </si>
  <si>
    <t>Cara pakai / implementasi</t>
  </si>
  <si>
    <t>Effectiveness_Notes</t>
  </si>
  <si>
    <t>Stop and Get Help</t>
  </si>
  <si>
    <t>Menghentikan pekerjaan saat terdapat ketidakpastian terhadap critical safeguard WAH</t>
  </si>
  <si>
    <t>Saat pekerja tidak memahami fall restraint vs fall arrest, suspension trauma hazard, dan rescue preparedness</t>
  </si>
  <si>
    <t>Hentikan pekerjaan dan lakukan coaching/verifikasi dengan personel kompeten sebelum pekerjaan dilanjutkan</t>
  </si>
  <si>
    <t>SWA digunakan untuk coaching terhadap critical safeguard WAH, namun gap kompetensi dan engineering understanding masih ditemukan</t>
  </si>
  <si>
    <t>Pre-task brief</t>
  </si>
  <si>
    <t>Memastikan pekerja memahami hazard dan safeguard pekerjaan WAH</t>
  </si>
  <si>
    <t>Sebelum pekerjaan dismantling scaffolding dimulai</t>
  </si>
  <si>
    <t>Bahas hazard jatuh, dropped object, anchor point, dan rescue preparedness</t>
  </si>
  <si>
    <t>Briefing lebih dominan administratif dan belum membangun pemahaman engineering consequence secara mendalam</t>
  </si>
  <si>
    <t>Menghentikan pekerjaan saat ditemukan gap implementasi individual LOTO</t>
  </si>
  <si>
    <t>Saat diketahui hanya IA yang memasang LOTO sementara pekerja lain belum protected by personal lock</t>
  </si>
  <si>
    <t>Hentikan pekerjaan dan lakukan review ulang implementasi individual LOTO sebelum pekerjaan dilanjutkan</t>
  </si>
  <si>
    <t>Coaching berhasil meningkatkan awareness penggunaan LOTO BOX sebagai additional barrier</t>
  </si>
  <si>
    <t>Memastikan pekerja memahami hazardous energy exposure</t>
  </si>
  <si>
    <t>Sebelum pekerjaan overhaul dan alignment pompa dimulai</t>
  </si>
  <si>
    <t>Bahas isolation point, zero energy verification, dan individual accountability</t>
  </si>
  <si>
    <t>Briefing belum cukup menekankan fatal risk unexpected energization</t>
  </si>
  <si>
    <t>Menghentikan pekerjaan saat ditemukan gap individual LOTO</t>
  </si>
  <si>
    <t>Saat pekerja belum memasang personal lock pada pekerjaan alignment booster compressor</t>
  </si>
  <si>
    <t>Pekerjaan dihentikan sementara untuk review implementasi LOTO</t>
  </si>
  <si>
    <t>Coaching meningkatkan awareness terhadap kebutuhan personal protection barrier</t>
  </si>
  <si>
    <t>Membangun shared understanding terhadap hazardous energy</t>
  </si>
  <si>
    <t>Sebelum alignment booster compressor dilakukan</t>
  </si>
  <si>
    <t>Review ICC, titik isolasi, dan exposure hazardous energy</t>
  </si>
  <si>
    <t>Briefing belum memastikan implementasi individual accountability</t>
  </si>
  <si>
    <t>Menghentikan pekerjaan saat ditemukan utilitas bawah tanah yang tidak teridentifikasi</t>
  </si>
  <si>
    <t>Saat excavation menemukan kabel bawah tanah pada kedalaman ±0.5 meter</t>
  </si>
  <si>
    <t>Hentikan excavation dan lakukan reassessment sebelum pekerjaan dilanjutkan</t>
  </si>
  <si>
    <t>SWA telah digunakan dengan baik sebagai escalation trigger</t>
  </si>
  <si>
    <t>Memastikan pekerja memahami excavation hazard dan SWA trigger</t>
  </si>
  <si>
    <t>Sebelum excavation dimulai</t>
  </si>
  <si>
    <t>Bahas underground utilities, cave-in hazard, dan permit revalidation</t>
  </si>
  <si>
    <t>Briefing belum cukup membangun awareness escalation hazard</t>
  </si>
  <si>
    <t>Menghentikan pekerjaan saat rescue readiness dan tie-off belum memadai</t>
  </si>
  <si>
    <t>Saat rescue plan dan safety standby person belum tersedia</t>
  </si>
  <si>
    <t>Hentikan pekerjaan untuk verifikasi rescue preparedness dan safeguard</t>
  </si>
  <si>
    <t>SWA digunakan untuk coaching terhadap suspension trauma hazard dan rescue readiness</t>
  </si>
  <si>
    <t>Membangun pemahaman terhadap critical safeguard pekerjaan WAH</t>
  </si>
  <si>
    <t>Sebelum erection scaffolding dimulai</t>
  </si>
  <si>
    <t>Bahas anchor point, free fall distance, swing fall, dan rescue plan</t>
  </si>
  <si>
    <t>Briefing masih dominan administratif dan belum membahas engineering consequence secara mendalam</t>
  </si>
  <si>
    <t>Menghentikan pekerjaan saat critical safeguard Work at Height tidak siap</t>
  </si>
  <si>
    <t>Saat ditemukan gap pada rescue readiness, verification, atau safeguard utama</t>
  </si>
  <si>
    <t>Hentikan pekerjaan WAH pada scaffolding/heat exchanger, lakukan reassessment, lengkapi safeguard, lalu revalidasi permit/SWC</t>
  </si>
  <si>
    <t>SWA/stop-work digunakan sebagai trigger coaching dan perbaikan safeguard lapangan</t>
  </si>
  <si>
    <t>Membangun shared understanding terhadap critical safeguard Work at Height</t>
  </si>
  <si>
    <t>Sebelum pekerjaan high-risk dimulai atau setelah kondisi berubah</t>
  </si>
  <si>
    <t>Bahas scope, hazard, critical safeguard, emergency/rescue plan, dan stop-work trigger pada WAH pada scaffolding/heat exchanger</t>
  </si>
  <si>
    <t>Briefing perlu lebih teknikal, bukan hanya administratif</t>
  </si>
  <si>
    <t>Menghentikan pekerjaan saat critical safeguard Confined Space Entry tidak siap</t>
  </si>
  <si>
    <t>Hentikan pekerjaan penarikan kabel di ruang terbatas SSB, lakukan reassessment, lengkapi safeguard, lalu revalidasi permit/SWC</t>
  </si>
  <si>
    <t>Membangun shared understanding terhadap critical safeguard Confined Space Entry</t>
  </si>
  <si>
    <t>Bahas scope, hazard, critical safeguard, emergency/rescue plan, dan stop-work trigger pada penarikan kabel di ruang terbatas SSB</t>
  </si>
  <si>
    <t>Hentikan pekerjaan repair bottom floor Tank T-0006, lakukan reassessment, lengkapi safeguard, lalu revalidasi permit/SWC</t>
  </si>
  <si>
    <t>Bahas scope, hazard, critical safeguard, emergency/rescue plan, dan stop-work trigger pada repair bottom floor Tank T-0006</t>
  </si>
  <si>
    <t>Hentikan pekerjaan blasting painting inside condensate tank, lakukan reassessment, lengkapi safeguard, lalu revalidasi permit/SWC</t>
  </si>
  <si>
    <t>Bahas scope, hazard, critical safeguard, emergency/rescue plan, dan stop-work trigger pada blasting painting inside condensate tank</t>
  </si>
  <si>
    <t>Hentikan pekerjaan install steel structure new HE CPP Gundih, lakukan reassessment, lengkapi safeguard, lalu revalidasi permit/SWC</t>
  </si>
  <si>
    <t>Bahas scope, hazard, critical safeguard, emergency/rescue plan, dan stop-work trigger pada install steel structure new HE CPP Gundih</t>
  </si>
  <si>
    <t>Membangun shared understanding terhadap critical safeguard</t>
  </si>
  <si>
    <t>Bahas scope, hazard, critical safeguard, emergency/rescue plan, dan stop-work trigger pada Hot work repair bottom floor inside Tank T-006</t>
  </si>
  <si>
    <t>Briefing perlu teknikal dan spesifik terhadap critical safeguards</t>
  </si>
  <si>
    <t>Stop and get help</t>
  </si>
  <si>
    <t>Menghentikan pekerjaan saat critical safeguard belum siap</t>
  </si>
  <si>
    <t>Saat ditemukan gap critical safeguard atau kondisi berubah</t>
  </si>
  <si>
    <t>Hentikan pekerjaan, lakukan reassessment, lengkapi safeguard, lalu revalidasi permit/SWC pada Install &amp; dismantle scaffolding for NDT UT flare header 475-LF &amp; 470-HF 32" at ~10 m</t>
  </si>
  <si>
    <t>Digunakan sebagai trigger coaching dan perbaikan safeguard</t>
  </si>
  <si>
    <t>Bahas scope, hazard, critical safeguard, emergency/rescue plan, dan stop-work trigger pada Install &amp; dismantle scaffolding for NDT UT flare header 475-LF &amp; 470-HF 32" at ~10 m</t>
  </si>
  <si>
    <t>3-Way Communication</t>
  </si>
  <si>
    <t>Menghindari miskomunikasi</t>
  </si>
  <si>
    <t>Instruksi kritis</t>
  </si>
  <si>
    <t>Sender memberi instruksi → receiver repeat back → sender confirm.</t>
  </si>
  <si>
    <t>Checked/used in source observation document OBS-013.</t>
  </si>
  <si>
    <t>Membangun shared understanding sebelum pekerjaan dimulai</t>
  </si>
  <si>
    <t>Sebelum pekerjaan high risk</t>
  </si>
  <si>
    <t>Diskusikan scope, hazard, critical safeguard, error traps, SWA trigger, rescue plan, dan role tiap personel.</t>
  </si>
  <si>
    <t>Mencegah tindakan berdasarkan asumsi saat ragu</t>
  </si>
  <si>
    <t>Saat kondisi tidak dipahami, abnormal, atau tidak sesuai prosedur</t>
  </si>
  <si>
    <t>Hentikan pekerjaan sementara dan minta bantuan/verifikasi dari personel kompeten sebelum melanjutkan.</t>
  </si>
  <si>
    <t>Checked/used in source observation document OBS-014.</t>
  </si>
  <si>
    <t>Checked/used in source observation document OBS-015.</t>
  </si>
  <si>
    <t>Checked/used in source observation document OBS-016.</t>
  </si>
  <si>
    <t>Checked/used in source observation document OBS-017.</t>
  </si>
  <si>
    <t>Post Job Review</t>
  </si>
  <si>
    <t>Mengambil lesson learned</t>
  </si>
  <si>
    <t>Setelah pekerjaan</t>
  </si>
  <si>
    <t>Diskusikan apa yang berjalan baik, error traps, dan improvement.</t>
  </si>
  <si>
    <t>Checked/used in source observation document OBS-018.</t>
  </si>
  <si>
    <t>Checked/used in source observation document OBS-019.</t>
  </si>
  <si>
    <t>Checked/used in source observation document OBS-020.</t>
  </si>
  <si>
    <t>Checked/used in source observation document OBS-021.</t>
  </si>
  <si>
    <t>Checked/used in source observation document OBS-023.</t>
  </si>
  <si>
    <t>Situasi Drift</t>
  </si>
  <si>
    <t>Drift_Level_1</t>
  </si>
  <si>
    <t>Drift codes</t>
  </si>
  <si>
    <t>Drift_Level_2</t>
  </si>
  <si>
    <t>Alasan / Penjelasan</t>
  </si>
  <si>
    <t>Pelaksanaan pemasangan dan pembongkaran scaffolding di lapangan lebih banyak mengandalkan pengalaman pekerja dibanding prosedur tertulis yang detail dan step-by-step.</t>
  </si>
  <si>
    <t>Skill-Based Performance Drift</t>
  </si>
  <si>
    <t>Overreliance on experience</t>
  </si>
  <si>
    <t>Urutan dismantling scaffolding, metode penurunan material, dan titik anchor belum dijelaskan secara spesifik sehingga terbuka terhadap berbagai interpretasi saat pekerjaan berlangsung.</t>
  </si>
  <si>
    <t>Procedural Drift</t>
  </si>
  <si>
    <t>Procedure interpreted differently</t>
  </si>
  <si>
    <t>Metode penurunan material scaffolding seperti standard, ledger, transom, bracing, base plate, sole board, dan coupler belum dijelaskan secara detail di dalam prosedur kerja.</t>
  </si>
  <si>
    <t>Procedure simplified</t>
  </si>
  <si>
    <t>Beberapa pekerja belum secara konsisten mengikat tool seperti kunci ratchet untuk mencegah dropped object hazard.</t>
  </si>
  <si>
    <t>Barrier Management Drift</t>
  </si>
  <si>
    <t>Barrier verification ineffective</t>
  </si>
  <si>
    <t>Aktivitas dismantling scaffolding lebih banyak dilakukan dalam skill-based performance mode karena tingginya pengalaman kerja personel sehingga pekerja lebih mengandalkan kebiasaan dan pengalaman dibanding disiplin terhadap prosedur kerja berbasis rule-based performance.</t>
  </si>
  <si>
    <t>Familiarity-driven shortcut</t>
  </si>
  <si>
    <t>Penggunaan fall arrest system telah menjadi praktik yang dianggap normal tanpa evaluasi memadai terhadap hierarchy of control Work at Height, dimana fall prevention dan fall restraint seharusnya menjadi prioritas utama sebelum penggunaan fall arrest sebagai mitigasi terakhir.</t>
  </si>
  <si>
    <t>Risk Assessment Drift</t>
  </si>
  <si>
    <t>Hazard underestimated</t>
  </si>
  <si>
    <t>Free fall distance, swing fall hazard, jalur jatuh, serta potensi benturan terhadap struktur atau benda lain belum secara konsisten diperhitungkan dalam pekerjaan WAH.</t>
  </si>
  <si>
    <t>Engineering risk not evaluated</t>
  </si>
  <si>
    <t>Penggunaan harness lebih dipandang sebagai compliance penggunaan APD dibanding engineering safeguard terhadap bahaya jatuh.</t>
  </si>
  <si>
    <t>Administrative Compliance Drift</t>
  </si>
  <si>
    <t>Checklist mentality</t>
  </si>
  <si>
    <t>SWC dan checklist pekerjaan cenderung diperlakukan sebagai formalitas administratif, dengan asumsi bahwa pekerja telah memahami seluruh requirement teknikal secara otomatis tanpa diskusi mendalam mengenai critical safeguards dan engineering consequence pada pekerjaan WAH.</t>
  </si>
  <si>
    <t>SWC treated as formality</t>
  </si>
  <si>
    <t>Pelaksanaan isolasi energi di lapangan masih lebih berfokus pada kontrol administratif melalui form ICC dibanding implementasi physical personal protection barrier menggunakan individual LOTO.</t>
  </si>
  <si>
    <t>Pekerja, PA, AA, IA, dan safety officer belum sepenuhnya memahami filosofi “satu pekerja, satu gembok, satu kunci” sebagai bentuk individual accountability terhadap hazardous energy.</t>
  </si>
  <si>
    <t>Keberadaan form ICC yang hanya ditandatangani oleh IA, AA, dan PA menyebabkan sebagian pekerja berasumsi bahwa individual LOTO tidak wajib diterapkan selama pengendalian administratif telah dilakukan.</t>
  </si>
  <si>
    <t>IA menggunakan chain lock untuk mengunci tiga titik isolasi manual valve dengan kondisi penguncian yang masih longgar, berpotensi slip, dan belum sepenuhnya mampu mencegah partial movement valve.</t>
  </si>
  <si>
    <t>Engineering / Operating Drift</t>
  </si>
  <si>
    <t>Equipment operated outside design intent</t>
  </si>
  <si>
    <t>Penggunaan chain lock telah menjadi solusi lapangan akibat keterbatasan availability terhadap handwheel valve lockout cover atau universal cable valve lockout yang lebih sesuai dan aman.</t>
  </si>
  <si>
    <t>Normalization of Deviation</t>
  </si>
  <si>
    <t>Temporary workaround normalized</t>
  </si>
  <si>
    <t>Potensi bahaya unexpected energization akibat miskomunikasi atau kesalahan asumsi bahwa pekerjaan telah selesai belum secara konsisten dikenali sebagai skenario fatal risk pada Risk Assessment dan JSA pekerjaan overhaul pompa.</t>
  </si>
  <si>
    <t>Hanya IA yang memasang LOTO pada empat titik isolasi sementara personel lain yang terekspos hazardous energy belum menerapkan individual lock sebagai personal protection barrier.</t>
  </si>
  <si>
    <t>Isolation verification weakened</t>
  </si>
  <si>
    <t>Pekerjaan tetap dilanjutkan walaupun individual LOTO belum diterapkan oleh seluruh personel yang terekspos hazardous energy.</t>
  </si>
  <si>
    <t>Unsafe exposure considered acceptable</t>
  </si>
  <si>
    <t>Penggunaan chain lock yang masih longgar dan berpotensi bergeser (slip) belum mampu memberikan positive isolation secara optimal, namun pekerjaan tetap dilanjutkan.</t>
  </si>
  <si>
    <t>Critical safeguard degraded</t>
  </si>
  <si>
    <t>SimOps conflict underestimated</t>
  </si>
  <si>
    <t>Unsafe condition accepted as normal</t>
  </si>
  <si>
    <t>SWC #5 telah diparaf oleh AA dan PA, namun pada dokumen PTW tidak ditemukan evidence soil classification/soil assessment seperti hasil penilaian jenis tanah oleh competent person, dokumentasi klasifikasi tanah, maupun foto kondisi tanah aktual.</t>
  </si>
  <si>
    <t>Signature without technical validation</t>
  </si>
  <si>
    <t>Verifikasi stabilitas tanah cenderung diperlakukan sebagai compliance administratif dibanding critical safeguard terhadap cave-in hazard.</t>
  </si>
  <si>
    <t>Dokumen PTW tidak menunjukkan adanya excavation protection plan seperti sketch sloping, benching, shielding, atau protective system lainnya sebagai visual thinking tool untuk memastikan pekerja memahami metode perlindungan tanah sebelum penggalian dimulai.</t>
  </si>
  <si>
    <t>Incomplete documentation</t>
  </si>
  <si>
    <t>Walaupun excavation certificate tersedia dalam PTW, dokumen underground utility verification seperti utility drawing/mark-up line, hasil potholing, probing, atau daylighting tidak ditemukan secara memadai.</t>
  </si>
  <si>
    <t>Praktik identifikasi utilitas di lapangan tetap dilakukan menggunakan sekop dan besi beton ulir tumpul, namun belum terdokumentasi dan tervalidasi sesuai requirement TKO Ground Disturbance.</t>
  </si>
  <si>
    <t>Informal work method used</t>
  </si>
  <si>
    <t>Pekerjaan excavation tetap dilanjutkan setelah ditemukan kabel bawah tanah yang tidak teridentifikasi pada kedalaman ±0.5 meter, karena pekerja dan pengawas berasumsi kondisi masih dapat dikendalikan melalui kehati-hatian di lapangan tanpa segera melakukan permit revalidation dan eskalasi kepada AA.</t>
  </si>
  <si>
    <t>Leadership Drift</t>
  </si>
  <si>
    <t>Assumption-based supervision</t>
  </si>
  <si>
    <t>Perubahan hazard selama pekerjaan berlangsung belum secara konsisten diperlakukan sebagai mandatory trigger untuk SWA dan revalidasi izin kerja.</t>
  </si>
  <si>
    <t>Human Performance Tool Drift</t>
  </si>
  <si>
    <t>SWA not exercised</t>
  </si>
  <si>
    <t>Potensi bahaya underground electrical cable belum teridentifikasi secara spesifik di dalam Risk Assessment dan JSA karena pekerjaan telah mengacu pada excavation certificate, sehingga terdapat asumsi bahwa seluruh underground utilities pada area penggalian sudah tervalidasi aman sebelum pekerjaan dimulai.</t>
  </si>
  <si>
    <t>Generic JSA reused</t>
  </si>
  <si>
    <t>Kondisi mandatory permit revalidation terhadap unidentified underground utilities belum sepenuhnya dipahami sejak awal pekerjaan, karena terdapat asumsi bahwa excavation certificate telah memastikan seluruh underground utilities pada area kerja tervalidasi aman.</t>
  </si>
  <si>
    <t>Dynamic risk ignored</t>
  </si>
  <si>
    <t>Penggunaan fall arrest system telah menjadi praktik utama tanpa evaluasi memadai apakah fall prevention atau fall restraint masih dapat diterapkan sebagai pengendalian yang lebih efektif.</t>
  </si>
  <si>
    <t>SWC, PTW, dan checklist pekerjaan cenderung diperlakukan sebagai aktivitas administratif dan paraf compliance tanpa verifikasi mendalam terhadap critical safeguards pekerjaan WAH.</t>
  </si>
  <si>
    <t>Penggunaan fall arrest system tetap dilanjutkan walaupun rescue plan terhadap bahaya suspension trauma belum tersedia secara memadai.</t>
  </si>
  <si>
    <t>Pekerjaan tetap dilaksanakan walaupun belum tersedia personel rescue kompeten maupun safety standby person untuk memastikan kesiapan rescue dan pengawasan 100% tie-off.</t>
  </si>
  <si>
    <t>Penentuan anchorage point dilakukan berdasarkan pengalaman lapangan dan interpretasi pekerja karena prosedur belum menjelaskan titik anchor dan engineering requirement secara detail.</t>
  </si>
  <si>
    <t>Free fall distance, swing fall hazard, dan dynamic load akibat pekerja jatuh belum dipertimbangkan secara konsisten pada penggunaan fall arrest system.</t>
  </si>
  <si>
    <t>Barrier dan exclusion zone telah dipasang serta diparaf pada SWC, namun pekerja masih terlihat berada pada line of fire dropped object tanpa koreksi langsung dari pengawas maupun crew lain.</t>
  </si>
  <si>
    <t>Documentation prioritized over field verification</t>
  </si>
  <si>
    <t>Masih ditemukan pekerja belum 100% tie-off saat berpindah posisi pada area scaffolding sehingga deviasi terhadap continuous tie-off mulai berpotensi dinormalisasi di lapangan.</t>
  </si>
  <si>
    <t>Step skipped</t>
  </si>
  <si>
    <t>Verifikasi PTW, SWC, dan questioning attitude terhadap pekerjaan high-risk berpotensi mengalami degradation akibat tekanan schedule pekerjaan dan prioritas penyelesaian proyek.</t>
  </si>
  <si>
    <t>Penggunaan fall arrest system menjadi praktik utama tanpa evaluasi memadai apakah fall prevention atau fall restraint masih dapat diterapkan sebagai pengendalian lebih efektif.</t>
  </si>
  <si>
    <t>SWC, PTW, dan checklist pekerjaan cenderung diperlakukan sebagai aktivitas administratif tanpa verifikasi mendalam terhadap critical safeguards WAH.</t>
  </si>
  <si>
    <t>Fall arrest tetap dilanjutkan walaupun rescue plan untuk suspension trauma belum tersedia memadai.</t>
  </si>
  <si>
    <t>Pekerjaan tetap dilaksanakan walaupun belum tersedia personel rescue kompeten maupun safety standby untuk rescue dan 100% tie-off.</t>
  </si>
  <si>
    <t>Penentuan anchorage point dilakukan berdasarkan pengalaman lapangan karena prosedur belum menjelaskan titik anchor dan engineering requirement secara detail.</t>
  </si>
  <si>
    <t>Free fall distance, swing fall hazard, dan dynamic load akibat pekerja jatuh belum dipertimbangkan secara konsisten.</t>
  </si>
  <si>
    <t>Barrier/exclusion zone diparaf pada SWC, namun pekerja masih berada pada line of fire dropped object tanpa koreksi langsung.</t>
  </si>
  <si>
    <t>Masih ditemukan pekerja belum 100% tie-off saat berpindah posisi sehingga deviasi continuous tie-off berpotensi dinormalisasi.</t>
  </si>
  <si>
    <t>Verifikasi PTW, SWC, dan questioning attitude berpotensi menurun akibat tekanan schedule pekerjaan/proyek.</t>
  </si>
  <si>
    <t>Hazard pekerjaan cable pulling di confined space bawah SSB belum mengidentifikasi rinci potensi kebocoran arus dan mitigasinya.</t>
  </si>
  <si>
    <t>Sertifikat Confined Space dan SWC diperlakukan administratif tanpa verifikasi mendalam terhadap critical safeguards cable pulling di ruang terbatas.</t>
  </si>
  <si>
    <t>Pekerjaan confined space dilakukan walaupun Watchman dan rescue plan belum tersedia memadai.</t>
  </si>
  <si>
    <t>Belum ditentukan personel rescue kompeten maupun watch man untuk memastikan kesiapan rescue dan pengawasan.</t>
  </si>
  <si>
    <t>Pemasangan papan alas kerja sebagai isolator kebocoran arus ditentukan berdasarkan pengalaman dan interpretasi lapangan.</t>
  </si>
  <si>
    <t>Gas tester masuk terlebih dahulu ke ruang terbatas berpotensi toxic gas tanpa alat pelindung pernapasan.</t>
  </si>
  <si>
    <t>Checklist kebutuhan Watch Man/peralatan evakuasi tidak dicentang namun sertifikat tetap ditandatangani.</t>
  </si>
  <si>
    <t>Verifikasi PTW, Sertifikat CS, SWC, dan questioning attitude berpotensi terdegradasi akibat tekanan schedule/proyek.</t>
  </si>
  <si>
    <t>Risk Assessment dan RP3K belum memasukkan biological hazard beserta pertolongan pertamanya.</t>
  </si>
  <si>
    <t>PA pada permit/sertifikat digantikan melalui handover via handphone dan belum diatur dalam TKI handover tersendiri.</t>
  </si>
  <si>
    <t>Watchman merangkap HSSE/gas tester dan rescue plan belum tersedia memadai untuk pekerjaan confined space.</t>
  </si>
  <si>
    <t>Pekerjaan tetap dilaksanakan walaupun belum ditentukan personel rescue kompeten dan dedicated watchman.</t>
  </si>
  <si>
    <t>Welding engine ditempatkan di zona merah tanpa spark arrestor standar dan diganti selongsong logam berlubang.</t>
  </si>
  <si>
    <t>Lampu penerangan non-GFCI digunakan di dalam tanki yang lantainya sedang dilas.</t>
  </si>
  <si>
    <t>Tabung acetylene dan oxygen ditempatkan berdekatan dan dekat manhole, tidak sesuai jarak pemisahan aman.</t>
  </si>
  <si>
    <t>Checklist Watch Man/peralatan evakuasi dicentang, namun implementasi tidak sesuai: hanya tersedia basket stretcher tanpa SCBA dan tali penarik.</t>
  </si>
  <si>
    <t>Target penyelesaian tanki dan beberapa pergantian tim/permit menurunkan kualitas pemantauan.</t>
  </si>
  <si>
    <t>Persyaratan inspeksi scaffolding dan pemasangan Green Tag belum diverifikasi efektif sebelum scaffolding digunakan.</t>
  </si>
  <si>
    <t>Scaffolding tetap digunakan walaupun belum lengkap toe board dan Green Inspection Tag.</t>
  </si>
  <si>
    <t>PA mengizinkan penggunaan scaffolding yang belum memenuhi persyaratan berdasarkan pertimbangan operasional lapangan.</t>
  </si>
  <si>
    <t>Potensi personel/alat jatuh dan dropped object akibat toe board tidak lengkap belum dipertimbangkan memadai.</t>
  </si>
  <si>
    <t>Penggunaan shock absorber dilakukan tanpa evaluasi minimum free fall distance.</t>
  </si>
  <si>
    <t>Verifikasi PTW, SWC, dan questioning attitude berpotensi terdegradasi akibat tekanan schedule proyek.</t>
  </si>
  <si>
    <t>Personnel Gas Detector digunakan tanpa daily bump test sebelum penggunaan.</t>
  </si>
  <si>
    <t>Status kalibrasi dianggap cukup tanpa bump test harian.</t>
  </si>
  <si>
    <t>Verification quality degraded</t>
  </si>
  <si>
    <t>HSSE Officer merangkap Fire Watch dan Entry Watcher.</t>
  </si>
  <si>
    <t>Operational Drift</t>
  </si>
  <si>
    <t>Role overlap accepted as normal practice</t>
  </si>
  <si>
    <t>Welding Generator Miller Big Blue 600 di area potensi hydrocarbon tanpa spark arrestor.</t>
  </si>
  <si>
    <t>Risiko spark emission welding generator belum dievaluasi memadai.</t>
  </si>
  <si>
    <t>Pekerja tidak menghitung fall distance saat menggunakan fall arrest system.</t>
  </si>
  <si>
    <t>Hierarki pengendalian bahaya tidak dipahami dan langsung memilih fall arrest.</t>
  </si>
  <si>
    <t>JSA tidak mencantumkan bahaya suspension trauma.</t>
  </si>
  <si>
    <t>Supervisor berasumsi anchorage point aman tanpa verifikasi teknis.</t>
  </si>
  <si>
    <t>Tool Box Meeting tidak membahas fall restraint vs fall arrest dan rescue plan.</t>
  </si>
  <si>
    <t>1. Procedural Drift – Hazard identification quality degraded — JSA telah tersedia namun kualitas identifikasi bahaya belum menggambarkan secara spesifik bahaya pada setiap aktivitas pekerjaan. Contohnya, aktivitas perpindahan dump truck belum mengidentifikasi bahaya tertabrak atau terlindas, sedangkan aktivitas dumping belum mengidentifikasi bahaya tertimbun maupun terbentur. Hal ini menunjukkan proses penyusunan JSA mulai bergeser dari identifikasi bahaya spesifik menjadi bersifat umum.</t>
  </si>
  <si>
    <t>Temporary modification uncontrolled</t>
  </si>
  <si>
    <t>2. Administrative Drift – Safeguard documentation not fully aligned — Dokumen JSA, RP3K, dan SWC belum sepenuhnya saling terintegrasi. Beberapa pengendalian telah tersedia pada RP3K dan SWC (misalnya penanganan gigitan binatang berbisa), namun belum tercermin pada identifikasi bahaya di JSA sehingga konsistensi pengendalian menjadi berkurang.</t>
  </si>
  <si>
    <t>3. Barrier Management Drift – Emergency preparedness degraded — Pengendalian keadaan darurat untuk paparan debu pasir maupun semen belum didukung dengan penyediaan portable eyewash di area kerja. Pengendalian masih mengandalkan fasilitas yang berjarak sekitar 80 meter sehingga efektivitas respon awal terhadap cedera mata mengalami degradasi.</t>
  </si>
  <si>
    <t>Rescue preparedness degraded</t>
  </si>
  <si>
    <t>4. Competency Drift – Risk-based competency not fully implemented — Penugasan HSSE Officer maupun PA belum sepenuhnya mempertimbangkan kompetensi P3K yang sesuai dengan paparan risiko pekerjaan Ground Disturbance, khususnya potensi cedera mata, sengatan listrik akibat utilitas bawah tanah, serta paparan biological hazard.</t>
  </si>
  <si>
    <t>Toolbox meeting administrative only</t>
  </si>
  <si>
    <t>5. Worksite Protection Drift – Excavation barrier effectiveness reduced — Sebagian barricade, palang pengaman, dan papan peringatan belum ditempatkan secara optimal pada area yang berbatasan dengan jalur lalu lintas kendaraan maupun pejalan kaki sehingga efektivitas pengendalian terhadap Line of Fire dan unauthorized entry menurun.</t>
  </si>
  <si>
    <t>Risk Assessment Drift – Hazard not adequately evaluated — Pekerja menggunakan fall arrest pada saat bekerja dengan MEWP/ Man Lift, tidak memprioritaskan fall restraint sesuai rekomendasi Manual Book.</t>
  </si>
  <si>
    <t>Tidak ada perhitungan fall distance yang disampaikan dalam dokumen SIKA. — Procedural Drift – Procedure interpreted variably</t>
  </si>
  <si>
    <t>Anchorage point dipasang pada handrail basket MEWP yang hanya didesain untuk fall restraint, bukan untuk menahan beban ≥ 2,500 kg. — Barrier Management Drift – Critical safeguard degraded</t>
  </si>
  <si>
    <t>Tidak tersedia rescue plan terkait risiko suspension trauma. — Administrative Compliance Drift – SWC treated as formality document</t>
  </si>
  <si>
    <t>Procedural Drift — Step skipped: pekerja tidak menghitung fall distance.</t>
  </si>
  <si>
    <t>Communication Drift — Assumption-based communication: supervisor berasumsi anchorage point aman tanpa verifikasi teknis.</t>
  </si>
  <si>
    <t>Communication Drift</t>
  </si>
  <si>
    <t>Assumption-based communication</t>
  </si>
  <si>
    <t>Risk Assessment Drift — Knowledge gap: pekerja memakai Fall Arrest System namun belum paham hierarki mitigasi bahaya WAH dan risiko suspension trauma.</t>
  </si>
  <si>
    <t>Procedure / Documentation — Documentation quality: SWC tidak ditandatangani oleh PA/AA sehingga tidak sah secara administrati</t>
  </si>
  <si>
    <t>Drift pada Confined Space Recognition — Hood fin fan cooler tidak dikenali sebagai Ruang Terbatas karena secara visual tidak menyerupai tank, vessel, pit, atau ruang tertutup konvensional. Pengenalan CSE telah bergeser dari penilaian berdasarkan definisi dan konfigurasi ruang menjadi pengenalan berdasarkan nama atau jenis equipment yang secara umum dikenal sebagai confined space.</t>
  </si>
  <si>
    <t>Ground condition not reassessed</t>
  </si>
  <si>
    <t>Individual Hazard Control Drift — Pekerja telah mengenali dan mengendalikan bahaya H₂S menggunakan PGD dan EEBA, bahaya jatuh menggunakan fall arrest system, serta hazardous energy melalui LOTO. Keberhasilan mengenali bahaya secara individual membentuk keyakinan bahwa major hazards telah dikendalikan, sehingga konfigurasi pekerjaan sebagai integrated CSE exposure tidak teridentifikasi.</t>
  </si>
  <si>
    <t>Free fall calculation omitted</t>
  </si>
  <si>
    <t>Routine PM Classification Drift — Aktivitas dipahami sebagai pekerjaan preventive maintenance fin fan cooler dan diproses menggunakan General Work Permit. Karakter pekerjaan yang rutin menyebabkan job title and routine familiarity lebih dominan dalam hazard recognition dibandingkan evaluasi aktual terhadap lokasi, akses masuk-keluar, dan konfigurasi ruang tempat pekerjaan dilakukan.</t>
  </si>
  <si>
    <t>Verification without validation</t>
  </si>
  <si>
    <t>PA Presence as Entry Watch Drift — Keberadaan PA di luar hood dan pengawasan langsung terhadap dua pekerja secara praktis dianggap telah memberikan fungsi pengawasan yang memadai. Fungsi Entry Watch bergeser menjadi sekadar keberadaan personel di luar ruang, tanpa memastikan kesiapan komunikasi, pengenalan emergency trigger, pengendalian entry, dan tindakan evakuasi yang spesifik terhadap CSE.</t>
  </si>
  <si>
    <t>Normal Access as Emergency Egress Drift — Portable ladder dan mobile staircase yang digunakan untuk mendukung akses kerja dianggap cukup sebagai sarana keluar-masuk pekerja. Selama pekerjaan, mobile staircase dapat dipindahkan untuk mendukung aktivitas PA sehingga akses keluar dari hood tidak selalu tersedia secara langsung. Normal work access secara praktis telah dianggap ekuivalen dengan immediate emergency egress.</t>
  </si>
  <si>
    <t>EEBA as Emergency Preparedness Drift — Setiap pekerja membawa EEBA dan PGD serta memiliki kompetensi H₂S Level 2. Ketersediaan escape equipment membentuk keyakinan bahwa pekerja telah siap menghadapi kondisi H₂S emergency. Fungsi emergency escape dari EEBA secara tidak langsung telah menggantikan kebutuhan untuk mengevaluasi rescue preparedness bagi entrant yang incapacitated dan tidak mampu melakukan self-rescue.</t>
  </si>
  <si>
    <t>CSE Permit Trigger Drift — Karena CSE tidak dikenali pada tahap hazard identification dan JSA, CSEP tidak diajukan dan pekerjaan tetap diproses melalui General Work Permit. Sistem permit secara praktis memungkinkan work activity classification diselesaikan tanpa melakukan secondary screening terhadap konfigurasi lokasi kerja sebagai potential confined space.</t>
  </si>
  <si>
    <t>Drift terhadap Implementasi Individual LOTO — Pelaksanaan isolasi energi menggunakan LOTO Box telah diterapkan dan sumber energi motor fan telah diisolasi. Namun, perlindungan individual dua pekerja yang melakukan pekerjaan di dalam hood ditafsirkan dapat diwakili oleh gembok PA. Praktik ini telah menggeser prinsip “satu pekerja, satu gembok, satu kunci” dari direct personal control menjadi representative control melalui PA.</t>
  </si>
  <si>
    <t>Group Accountability Drift — PA dipahami sebagai pihak yang mewakili perlindungan seluruh anggota tim kerja terhadap hazardous energy. Selama PA berada di lokasi, pekerjaan dianggap dapat berlangsung dan apabila PA meninggalkan lokasi maka pekerjaan wajib dihentikan. Praktik ini menyebabkan group accountability secara bertahap dianggap ekuivalen dengan individual energy control bagi setiap pekerja yang terekspos.</t>
  </si>
  <si>
    <t>Administrative Assurance Drift — Keberadaan ICC yang telah dikonfirmasi, isolasi yang telah dilakukan oleh IA, serta penerbitan izin kerja membentuk keyakinan bahwa seluruh anggota tim telah terlindungi dari hazardous energy. Administrative and authorized-role assurance melalui proses ICC secara praktis telah menggantikan verifikasi bahwa setiap pekerja yang terekspos mempunyai direct personal control melalui individual lock.</t>
  </si>
  <si>
    <t>Compensating Stop-Work Drift — Aturan lokal bahwa pekerjaan harus dihentikan apabila PA meninggalkan lokasi telah berkembang sebagai compensating control terhadap penggunaan gembok PA untuk mewakili tim kerja. Walaupun aturan tersebut memberikan tambahan perlindungan, keselamatan pekerja menjadi bergantung pada keberadaan, komunikasi, dan tindakan satu orang sebagai single human dependency.</t>
  </si>
  <si>
    <t>Simple Isolation Confidence Drift — Karena hanya satu sumber energi utama, yaitu motor fan, yang diisolasi dan seluruh pekerja mengetahui peralatan yang di-LOTO, kesederhanaan isolasi membentuk keyakinan bahwa LOTO Box dan gembok PA telah memberikan perlindungan yang memadai. Kondisi ini berpotensi menurunkan sensitivitas terhadap kebutuhan individual lock pada pekerjaan yang dianggap memiliki simple isolation.</t>
  </si>
  <si>
    <t>Group Lock as Default Practice Drift — Mekanisme group lock yang diperbolehkan dalam sistem isolasi dipahami sebagai metode normal untuk melindungi tim kerja dan bukan sebagai alternatif yang memerlukan pertimbangan khusus. Praktik ini berpotensi menggeser prinsip individual LOTO dari preferred protection philosophy menjadi safeguard yang hanya diterapkan pada kondisi tertentu.</t>
  </si>
  <si>
    <t>Engineering safeguard bypassed</t>
  </si>
  <si>
    <t>Harness Compliance Drift — Kedua pekerja telah menggunakan full body harness dan fall arrest system selama bekerja di dalam hood. Penggunaan PPE tersebut membentuk persepsi bahwa persyaratan perlindungan jatuh telah terpenuhi. Fokus safeguard secara bertahap bergeser dari verifikasi efektivitas fall protection system menjadi verifikasi bahwa pekerja telah memakai harness.</t>
  </si>
  <si>
    <t>Fall Arrest as Default Protection Drift — Pada pekerjaan dengan ketinggian sekitar 2,5 meter, pekerja langsung menggunakan fall arrest system tanpa terlebih dahulu mengevaluasi apakah fall prevention atau fall restraint dapat diterapkan. Fall arrest telah berkembang menjadi default field solution setiap kali terdapat exposure bekerja di ketinggian.</t>
  </si>
  <si>
    <t>Fall Restraint–Fall Arrest Understanding Drift — Pekerja belum dapat menjelaskan perbedaan fungsi antara fall restraint yang mencegah pekerja mencapai titik jatuh dan fall arrest yang menghentikan pekerja setelah jatuh terjadi. Kedua sistem secara praktis dipahami sebagai variasi penggunaan harness dan lanyard, bukan sebagai safeguard dengan design intent yang berbeda.</t>
  </si>
  <si>
    <t>100% Tie-Off Compliance Drift — Pekerja mempertahankan tie-off selama berada pada posisi kerja sehingga pekerjaan dipersepsikan telah memenuhi prinsip 100% tie-off. Fokus terhadap status connected telah menggantikan verifikasi apakah anchorage, fall clearance, dan fall path mampu memastikan pekerja tidak menghantam blade atau struktur apabila jatuh terjadi.</t>
  </si>
  <si>
    <t>Available Structure as Anchorage Drift — Titik anchorage dipilih dari struktur yang tersedia di sekitar area kerja dan belum diverifikasi mampu menahan beban 5,000 lbf atau merupakan engineered anchorage dengan safety factor yang dipersyaratkan. Kemudahan akses terhadap struktur secara praktis telah menjadi dasar pemilihan anchorage menggantikan technical anchorage verification.</t>
  </si>
  <si>
    <t>Low Height–Low Risk Perception Drift — Ketinggian kerja sekitar 2,5 meter secara intuitif dipersepsikan sebagai exposure jatuh yang relatif rendah. Persepsi tersebut menyebabkan fall arrest digunakan tanpa fall clearance calculation, padahal ketinggian rendah justru menghasilkan limited clearance dan meningkatkan kemungkinan pekerja menghantam blade atau struktur sebelum fall arrest system bekerja penuh.</t>
  </si>
  <si>
    <t>Fall Arrest Equipment as System Design Drift — Ketersediaan full body harness, lanyard, dan shock absorber dianggap telah membentuk fall arrest system yang memadai. Kehadiran equipment secara praktis menggantikan kebutuhan untuk memverifikasi keseluruhan sistem yang terdiri dari body support, connecting device, anchorage, fall clearance, dan fall path.</t>
  </si>
  <si>
    <t>Rescue as Post-Incident Response Drift — Tidak tersedia documented fall rescue plan meskipun personal fall arrest system digunakan. Rescue masih dipersepsikan sebagai tindakan tanggap darurat setelah kejadian dan belum sepenuhnya dipahami sebagai bagian integral dari design dan penggunaan fall arrest system, termasuk kebutuhan prompt rescue dan pengendalian suspension trauma.</t>
  </si>
  <si>
    <t>Barricade Compliance Drift — Barricade telah dipasang mengelilingi area kerja dan dipahami sebagai pengendalian Line of Fire yang memadai. Namun, batas barricade belum ditentukan berdasarkan posisi basket MEWP dan jalur potensial benda jatuh. Keberadaan barricade secara bertahap dianggap ekuivalen dengan effective exclusion zone.</t>
  </si>
  <si>
    <t>Dropped Object Exclusion Zone Drift — Aktivitas dua pekerja dari basket MEWP menghasilkan potensi benda jatuh ke area di bawah basket, namun area tersebut belum ditetapkan secara spesifik sebagai dropped-object exclusion zone. Pengendalian LoF lebih berfokus pada pembatasan area kerja umum dibanding memastikan personel berada di luar potential energy path.</t>
  </si>
  <si>
    <t>Required Ground Personnel Exposure Drift — Satu pekerja berada di bawah/dekat area basket MEWP untuk mendukung pekerjaan. Karena keberadaannya dianggap diperlukan sebagai ground personnel, posisi tersebut diterima sebagai bagian normal dari pekerjaan tanpa penetapan safe position outside the falling-object Line of Fire.</t>
  </si>
  <si>
    <t>Electrical Hazard Recognition Drift — Aktivitas pemeriksaan tegangan 24 VDC diklasifikasikan dalam JSA sebagai bahaya “LISTRIK”. Pada langkah yang sama, JSA mencantumkan pengendalian mencegah spark dan gas test untuk memastikan tidak ada flammable gas. Praktik hazard identification telah bergeser pada pengenalan sumber energi pekerjaan, sementara interaksi antara potential ignition source dan flammable atmosphere belum dikembangkan secara eksplisit sebagai skenario fire/explosion.</t>
  </si>
  <si>
    <t>Gas Test as Routine Safeguard Drift — Gas test, PGD, dan bump test telah dicantumkan sebagai safeguard dalam JSA. Namun, kebutuhan gas test belum terlihat dikaitkan secara eksplisit dengan Hazardous Area Classification dan ignition-source exposure pada aktivitas voltage checking. Gas test secara bertahap diterapkan sebagai routine field requirement, tanpa mendokumentasikan secara jelas skenario fire/explosion yang ingin dicegah.</t>
  </si>
  <si>
    <t>Temporary safeguard relied upon</t>
  </si>
  <si>
    <t>Low-Voltage–Low-Ignition-Risk Drift — Pekerjaan didefinisikan sebagai pemeriksaan 24 VDC, dan hazard yang dicatat adalah electrical hazard. Walaupun JSA sendiri mencantumkan kebutuhan mencegah spark dan memastikan tidak ada flammable gas, potensi ignition source dari aktivitas testing belum dikembangkan sebagai fire/explosion scenario. Fokus pada besarnya tegangan berpotensi menggeser perhatian dari pertanyaan utama Hot Work: apakah aktivitas dapat menghasilkan ignition source di area dengan potential flammable atmosphere?</t>
  </si>
  <si>
    <t>Isolation Completion Drift – Isolated Is Treated as Zero Energy — Seluruh titik isolasi telah diidentifikasi dan ditandai pada Isolation Plan, serta valve fuel gas telah diisolasi. Namun, residual pressure/gas pada sisi terisolasi belum di-depressurize dan kondisi zero energy belum diverifikasi. Selesainya pemasangan isolasi pada seluruh isolation point diterima sebagai kondisi aman untuk pekerjaan.</t>
  </si>
  <si>
    <t>Residual Energy Verification Drift — Verifikasi zero-energy pada electrical system dilakukan melalui rack-out incoming breaker, isolasi DC power, dan START test. Pada fuel gas system, verifikasi berhenti setelah valve isolation dan belum dilanjutkan dengan depressurization serta zero-pressure/leak verification. Praktik verifikasi residual energy belum diterapkan secara konsisten pada setiap jenis energi.</t>
  </si>
  <si>
    <t>Individual LOTO Representation Drift — LOTO telah diterapkan menggunakan LOTO Box, namun personal lock hanya dipasang oleh IA dan PA. Pekerja yang melakukan PM direpresentasikan oleh lock PA, sehingga praktik perlindungan individual bergeser dari “each exposed worker applies their own personal lock” menjadi “PA lock represents the work crew.”</t>
  </si>
  <si>
    <t>Latent Observation</t>
  </si>
  <si>
    <t>Latent_Level_1</t>
  </si>
  <si>
    <t>Latent codes</t>
  </si>
  <si>
    <t>Latent_Level_2</t>
  </si>
  <si>
    <t>Terdapat gap kompetensi pada level workforce dan supervision terkait hierarchy of control Work at Height, khususnya mengenai perbedaan fall restraint dan fall arrest, suspension trauma hazard, rescue preparedness, serta engineering consequence penggunaan fall arrest system.</t>
  </si>
  <si>
    <t>Competency / Training</t>
  </si>
  <si>
    <t>Inadequate WAH understanding</t>
  </si>
  <si>
    <t>Pemahaman terhadap engineering consequence penggunaan fall arrest system seperti free fall distance, swing fall hazard, dynamic load, dan anchorage strength masih belum memadai.</t>
  </si>
  <si>
    <t>Inadequate engineering understanding</t>
  </si>
  <si>
    <t>Belum tersedia personel dengan kompetensi memadai untuk menentukan anchorage point dan memahami rescue preparedness terhadap suspension trauma sesuai risiko pekerjaan scaffolding.</t>
  </si>
  <si>
    <t>Qualification gap</t>
  </si>
  <si>
    <t>Prosedur pemasangan dan pembongkaran scaffolding belum menjelaskan secara detail urutan kerja, metode penurunan material, titik anchor, pengendalian dropped object hazard, dan langkah kerja untuk memastikan 100% tie-off.</t>
  </si>
  <si>
    <t>Procedure / Documentation</t>
  </si>
  <si>
    <t>Procedure not step-by-step</t>
  </si>
  <si>
    <t>Prosedur dan dokumen PTW belum menjelaskan secara jelas critical safeguard terkait suspension trauma, rescue preparedness, free fall distance, dan engineering safeguard penggunaan fall arrest system.</t>
  </si>
  <si>
    <t>Critical safeguard not defined</t>
  </si>
  <si>
    <t>Kriteria engineering terkait free fall distance, swing fall hazard, load rating anchorage point, dan acceptance criteria anchorage belum tersedia secara memadai di dokumen kerja.</t>
  </si>
  <si>
    <t>Missing engineering criteria</t>
  </si>
  <si>
    <t>SWC dan checklist pekerjaan belum efektif membantu hazard recognition dan critical thinking terhadap engineering consequence pekerjaan WAH.</t>
  </si>
  <si>
    <t>SWC quality weakness</t>
  </si>
  <si>
    <t>Supervisor dan pengawas lapangan masih berasumsi bahwa pekerja telah memahami risiko dan critical safeguards pekerjaan WAH tanpa validasi teknikal mendalam.</t>
  </si>
  <si>
    <t>Leadership / Supervision</t>
  </si>
  <si>
    <t>Validasi lapangan terhadap critical safeguards seperti rescue readiness, anchorage verification, dropped object prevention, dan 100% tie-off belum dilakukan secara mendalam.</t>
  </si>
  <si>
    <t>Inadequate field verification</t>
  </si>
  <si>
    <t>Coaching dan diskusi teknikal lapangan belum fokus terhadap critical safeguards, suspension trauma, hierarchy of control WAH, dan engineering consequence penggunaan fall arrest system.</t>
  </si>
  <si>
    <t>Weak coaching quality</t>
  </si>
  <si>
    <t>Rescue plan terhadap suspension trauma belum dikembangkan sesuai risiko aktual pekerjaan WAH menggunakan fall arrest system.</t>
  </si>
  <si>
    <t>Planning / Risk Assessment</t>
  </si>
  <si>
    <t>Rescue plan not developed</t>
  </si>
  <si>
    <t>Perencanaan pekerjaan belum mempertimbangkan seluruh exposure risiko jatuh, swing fall hazard, dropped object hazard, dan rescue consequence pada pekerjaan scaffolding.</t>
  </si>
  <si>
    <t>Inadequate job planning</t>
  </si>
  <si>
    <t>Perhitungan free fall distance untuk memastikan clearance dan safety factor terhadap potensi jatuh belum tersedia.</t>
  </si>
  <si>
    <t>Free fall calculation missing</t>
  </si>
  <si>
    <t>Konfigurasi anchorage point berpotensi menciptakan swing fall hazard dan impact hazard terhadap struktur scaffolding.</t>
  </si>
  <si>
    <t>Engineering / Design</t>
  </si>
  <si>
    <t>Unsafe anchorage configuration</t>
  </si>
  <si>
    <t>Barrier fisik terhadap dropped object hazard belum cukup melindungi pekerja dari line of fire area di bawah pekerjaan scaffolding.</t>
  </si>
  <si>
    <t>Weak physical barrier</t>
  </si>
  <si>
    <t>Terdapat gap pemahaman pada level IA, AA, PA, pekerja, dan safety officer terkait implementasi TKO Pelaksanaan Isolasi Energi No. B8-073/PHE04000/2025-S9, khususnya mengenai prioritas individual LOTO sebagai bentuk individual accountability terhadap hazardous energy.</t>
  </si>
  <si>
    <t>Inadequate isolation understanding</t>
  </si>
  <si>
    <t>Materi training SIKA terkait isolasi energi belum secara tegas menekankan mandatory requirement penerapan individual LOTO dan filosofi personal protection barrier terhadap hazardous energy exposure.</t>
  </si>
  <si>
    <t>Training quality weakness</t>
  </si>
  <si>
    <t>Distribusi peralatan LOTO kepada pekerja belum berjalan efektif walaupun equipment telah tersedia, sehingga implementasi individual LOTO di lapangan menjadi terlambat atau tidak langsung diterapkan secara konsisten.</t>
  </si>
  <si>
    <t>Equipment limitation</t>
  </si>
  <si>
    <t>Belum tersedia SWC khusus isolation yang dapat digunakan sebagai Human Performance Tool untuk membantu verifikasi implementasi individual LOTO dan barrier assurance secara konsisten sebelum pekerjaan dimulai.</t>
  </si>
  <si>
    <t>Belum tersedianya handwheel valve lockout cover atau universal cable valve lockout menyebabkan pekerja menggunakan alternatif chain lock yang belum mampu memberikan positive isolation secara optimal terhadap manual valve isolation.</t>
  </si>
  <si>
    <t>Inadequate engineering safeguard</t>
  </si>
  <si>
    <t>Risk Assessment dan JSA belum secara efektif memasukkan skenario fatal risk seperti unexpected energization akibat miskomunikasi, kesalahan asumsi pekerjaan selesai, rotating equipment exposure, hydrocarbon release, dan fatality sebagai bagian dari critical hazard isolation energy management.</t>
  </si>
  <si>
    <t>Hazard not identified</t>
  </si>
  <si>
    <t>Terdapat gap pemahaman pada level IA, AA, PA, pekerja, dan safety officer terkait implementasi TKO Pelaksanaan Isolasi Energi No. B8-073/PHE04000/2025-S9, khususnya mengenai prioritas individual LOTO sebagai bentuk individual accountability terhadap hazardous energy walaupun menggunakan mekanisme group lock function atau group lock box.</t>
  </si>
  <si>
    <t>Materi training SIKA belum menjelaskan SWC Ground Disturbance secara komprehensif sebagai Human Performance Tool untuk critical thinking, barrier verification, dan hazard recognition sebelum pekerjaan excavation dimulai.</t>
  </si>
  <si>
    <t>Istilah dan metode identifikasi utilitas bawah tanah seperti probing, potholing, dan day-lighting yang diatur dalam TKO Pengelolaan Pekerjaan Gangguan Tanah No. B8-065/PHE04000/2025-S9 belum dipahami dengan baik oleh PA, AA, dan SC.</t>
  </si>
  <si>
    <t>Inadequate technical understanding</t>
  </si>
  <si>
    <t>Aktivitas identifikasi utilitas bawah tanah sebenarnya telah dilakukan di lapangan, namun belum dipahami sebagai bagian dari requirement formal Ground Disturbance verification process.</t>
  </si>
  <si>
    <t>Inadequate permit understanding</t>
  </si>
  <si>
    <t>Proses verifikasi SWC #5 belum memastikan ketersediaan evidence teknikal seperti soil assessment, excavation protection plan, dan underground utility verification sebelum approval PTW diberikan oleh AA dan PA.</t>
  </si>
  <si>
    <t>Perubahan kondisi lapangan seperti ditemukannya utilitas bawah tanah yang tidak teridentifikasi belum dipahami secara kuat sebagai escalation trigger yang mewajibkan SWA, permit revalidation, dan reassessment terhadap risiko pekerjaan.</t>
  </si>
  <si>
    <t>Hazard recognition weakness</t>
  </si>
  <si>
    <t>Implementasi requirement TKO Ground Disturbance yang menekankan penggunaan utility drawing sebagai referensi utama sebelum identifikasi fisik belum sepenuhnya diterapkan secara konsisten pada proses perencanaan dan eksekusi pekerjaan excavation.</t>
  </si>
  <si>
    <t>Procedure not field practical</t>
  </si>
  <si>
    <t>Risk Assessment dan JSA belum secara efektif memastikan identifikasi underground electrical hazard sebagai bagian dari critical excavation hazard verification sebelum pekerjaan dimulai.</t>
  </si>
  <si>
    <t>Excavation protection plan seperti sloping, benching, shielding, dan metode pengendalian cave-in belum tersedia secara visual dan terdokumentasi untuk membantu pekerja memahami excavation safeguard sebelum pekerjaan dimulai.</t>
  </si>
  <si>
    <t>Poor visual guidance</t>
  </si>
  <si>
    <t>Personel belum memahami definisi Work at Height sebagai pekerjaan dengan potensi jatuh ke lower level yang dapat menyebabkan injury atau fatality serta membutuhkan pengendalian berbasis hierarchy of control.</t>
  </si>
  <si>
    <t>Personel belum memahami perbedaan sistem fall restraint dan fall arrest serta konsekuensi penggunaan masing-masing sistem proteksi jatuh.</t>
  </si>
  <si>
    <t>Critical safeguard misunderstanding</t>
  </si>
  <si>
    <t>Personel belum memahami engineering consequence dari penggunaan fall arrest system seperti free fall distance, swing fall hazard, dynamic load, anchorage strength, dan suspension trauma.</t>
  </si>
  <si>
    <t>Belum terdapat scaffolder maupun Performing Authority (PA) yang memiliki kompetensi minimum TKBT Level 2 untuk menentukan anchorage point sesuai requirement Work at Height dan fall arrest system.</t>
  </si>
  <si>
    <t>Organisasi belum memastikan tersedia minimum satu personel dengan kompetensi TKBT Level 3 atau equivalent rescue competency untuk membuat dan memahami rescue plan terhadap bahaya suspension trauma.</t>
  </si>
  <si>
    <t>Inadequate emergency response competency</t>
  </si>
  <si>
    <t>Prosedur kerja dan dokumen PTW belum menjelaskan secara detail titik anchor, free fall distance, swing fall hazard, rescue requirement, engineering consequence, dan langkah kerja untuk memastikan 100% tie-off.</t>
  </si>
  <si>
    <t>Rescue plan terhadap suspension trauma belum tersedia secara memadai, termasuk prosedur penyelamatan, post-rescue procedure, rescue equipment, dan emergency response requirement.</t>
  </si>
  <si>
    <t>Sistem pengawasan dan field verification terhadap pekerjaan high-risk belum memastikan implementasi critical safeguards seperti 100% tie-off, anchorage verification, dropped object prevention, dan rescue readiness.</t>
  </si>
  <si>
    <t>SC dan AA masih merangkap fungsi operasional sebagai operator plant sehingga workload pengawasan pekerjaan high-risk menjadi tinggi dan berpotensi menurunkan kualitas field verification.</t>
  </si>
  <si>
    <t>Insufficient technical oversight</t>
  </si>
  <si>
    <t>Terdapat tekanan schedule proyek yang berpotensi mempengaruhi kualitas questioning attitude, penghentian pekerjaan, dan verifikasi safeguard terhadap pekerjaan high-risk.</t>
  </si>
  <si>
    <t>Production pressure influence</t>
  </si>
  <si>
    <t>SWC dan PTW berpotensi berkembang menjadi aktivitas administratif dan paraf compliance tanpa proses verifikasi safeguard secara mendalam.</t>
  </si>
  <si>
    <t>Excessive administrative focus</t>
  </si>
  <si>
    <t>Implementasi SWC, toolbox meeting, dan coaching lapangan belum secara efektif membangun critical thinking terhadap engineering consequence pekerjaan WAH dan suspension trauma.</t>
  </si>
  <si>
    <t>Belum tersedia guidance engineering yang memadai terkait load rating anchorage point, free fall clearance, dan structural verification pada scaffolding.</t>
  </si>
  <si>
    <t>Kesiapan rescue dan emergency response terhadap suspension trauma belum sebanding dengan exposure risiko aktual pekerjaan Work at Height menggunakan fall arrest system.</t>
  </si>
  <si>
    <t>Inadequate contingency planning</t>
  </si>
  <si>
    <t>Konfigurasi anchorage point pada scaffolding belum mempertimbangkan secara memadai swing fall hazard, impact hazard, dan load rating struktur scaffolding.</t>
  </si>
  <si>
    <t>Barrier fisik dan exclusion zone terhadap dropped object belum mampu secara efektif mencegah pekerja berada pada line of fire area.</t>
  </si>
  <si>
    <t>Perubahan kondisi lapangan dan exposure aktual pekerjaan belum secara konsisten direview ulang selama pekerjaan scaffolding berlangsung.</t>
  </si>
  <si>
    <t>Dynamic risk not evaluated</t>
  </si>
  <si>
    <t>Personel belum memahami definisi WAH dan hierarchy of control untuk mencegah pekerja jatuh ke lower level.</t>
  </si>
  <si>
    <t>Personel belum memahami perbedaan fall restraint dan fall arrest serta konsekuensi penggunaan masing-masing sistem.</t>
  </si>
  <si>
    <t>Personel belum memahami free fall distance, swing fall hazard, dynamic load, anchorage strength, dan suspension trauma.</t>
  </si>
  <si>
    <t>Belum terdapat personel kompeten untuk menentukan anchorage point sesuai requirement WAH dan fall arrest system.</t>
  </si>
  <si>
    <t>Belum tersedia rescue competency memadai untuk membuat dan memahami rescue plan suspension trauma.</t>
  </si>
  <si>
    <t>Resource Management</t>
  </si>
  <si>
    <t>Inadequate resource availability</t>
  </si>
  <si>
    <t>Prosedur kerja dan PTW belum menjelaskan anchor point, free fall distance, swing fall, rescue requirement, dan 100% tie-off secara detail.</t>
  </si>
  <si>
    <t>SC dan AA merangkap fungsi operasional sehingga workload pengawasan pekerjaan high-risk tinggi.</t>
  </si>
  <si>
    <t>Kapasitas pengawasan pekerjaan high-risk belum sebanding dengan jumlah aktivitas operasional/proyek simultan di CPP Gundih.</t>
  </si>
  <si>
    <t>Hazard electrical leakage pada cable pulling di confined space belum dianalisis rinci dan belum diverifikasi oleh personel listrik kompeten.</t>
  </si>
  <si>
    <t>Gas tester berpotensi masuk ke ruang terbatas dengan toxic gas tanpa respiratory protection yang memadai.</t>
  </si>
  <si>
    <t>Requirement watch man, rescue equipment, dan emergency handling belum dikunci dalam sertifikat CSE/SWC.</t>
  </si>
  <si>
    <t>Belum tersedia dedicated watchman dan alat bantu/tali untuk menarik personel saat emergency.</t>
  </si>
  <si>
    <t>Pemahaman critical safeguard CSE terkait rescue readiness dan entry watch masih belum memadai.</t>
  </si>
  <si>
    <t>Validasi lapangan atas checklist CSE belum cukup mendalam sebelum approval pekerjaan.</t>
  </si>
  <si>
    <t>Risk Assessment/RP3K pekerjaan repair tank T-0006 belum memasukkan biological hazard dan pertolongan pertamanya.</t>
  </si>
  <si>
    <t>Handover PA/perubahan personel permit belum diatur kuat dalam prosedur handover tertulis.</t>
  </si>
  <si>
    <t>Watchman merangkap HSSE/gas tester sehingga fungsi dedicated entry watch tidak terpenuhi.</t>
  </si>
  <si>
    <t>Rescue plan, SCBA, tali penarik, dan personel rescue kompeten belum tersedia memadai.</t>
  </si>
  <si>
    <t>Penggunaan equipment di sekitar/di dalam tanki belum sepenuhnya sesuai requirement hazardous area dan hot work/CSE.</t>
  </si>
  <si>
    <t>Tekanan target schedule dan pergantian tim/permit berulang mempengaruhi kualitas field verification.</t>
  </si>
  <si>
    <t>Checklist permit/SWC berpotensi menjadi compliance administratif tanpa memastikan efektivitas safeguard di lapangan.</t>
  </si>
  <si>
    <t>Organizational Process</t>
  </si>
  <si>
    <t>Administrative compliance normalization</t>
  </si>
  <si>
    <t>Risk Assessment/RP3K pekerjaan blasting painting inside tank belum memasukkan biological hazard dan pertolongan pertamanya.</t>
  </si>
  <si>
    <t>AA, PA, dan pekerja belum memahami perbedaan fall restraint dan fall arrest.</t>
  </si>
  <si>
    <t>Personel belum memahami free fall distance, deceleration distance, dan total fall clearance.</t>
  </si>
  <si>
    <t>PA belum memastikan scaffolding memenuhi persyaratan sebelum digunakan.</t>
  </si>
  <si>
    <t>Belum ada verifikasi efektif untuk memastikan Green Tag dan kelengkapan scaffolding sebelum digunakan.</t>
  </si>
  <si>
    <t>Penggunaan scaffolding yang belum memenuhi persyaratan berpotensi menjadi praktik yang dinormalisasi.</t>
  </si>
  <si>
    <t>Tekanan schedule proyek berpotensi mempengaruhi questioning attitude, penghentian pekerjaan, dan verifikasi safeguard.</t>
  </si>
  <si>
    <t>Kapasitas pengawasan pekerjaan high-risk belum sebanding dengan jumlah permit/aktivitas simultan di CPP Gundih.</t>
  </si>
  <si>
    <t>Personel belum memahami daily bump test berbeda dengan kalibrasi berkala.</t>
  </si>
  <si>
    <t>Sistem pengawasan belum memastikan seluruh critical safeguard Hot Work diverifikasi sebelum pekerjaan.</t>
  </si>
  <si>
    <t>Perencanaan personel membuat HSSE Officer merangkap Fire Watch dan Entry Watcher.</t>
  </si>
  <si>
    <t>Prosedur/PTW belum efektif memastikan engine-driven welding generator dilengkapi spark arrestor.</t>
  </si>
  <si>
    <t>Critical safeguard not adequately defined</t>
  </si>
  <si>
    <t>Pekerjaan berlanjut meski beberapa critical safeguard belum sepenuhnya terpenuhi.</t>
  </si>
  <si>
    <t>Acceptance of degraded barriers</t>
  </si>
  <si>
    <t>Pertimbangan waktu, biaya, dan kelangsungan pekerjaan berpotensi mempengaruhi implementasi spark arrestor.</t>
  </si>
  <si>
    <t>Production pressure influencing safeguard implementation</t>
  </si>
  <si>
    <t>Pekerja belum memahami perbedaan fall restraint dan fall arrest.</t>
  </si>
  <si>
    <t>Personel tidak memahami suspension trauma dan rescue plan tidak lengkap.</t>
  </si>
  <si>
    <t>JSA tidak mencantumkan suspension trauma dan belum aplikatif di lapangan.</t>
  </si>
  <si>
    <t>Requirement not field practical</t>
  </si>
  <si>
    <t>Tidak ada perhitungan teknis anchorage point mampu menahan 5,000 lbs.</t>
  </si>
  <si>
    <t>Tool Box Meeting tidak membahas critical safeguards.</t>
  </si>
  <si>
    <t>Supervisor berasumsi pekerja sudah paham risiko tanpa validasi.</t>
  </si>
  <si>
    <t>Weak pressure influence</t>
  </si>
  <si>
    <t>Rescue plan hanya mengandalkan Fire Station standby tanpa Suspension Trauma Strap.</t>
  </si>
  <si>
    <t>Inadequate contingency plan</t>
  </si>
  <si>
    <t>Perhitungan fall distance tidak tersedia sebagai engineering criteria.</t>
  </si>
  <si>
    <t>1. Procedure / Documentation – Hazard identification methodology needs strengthening — Metodologi penyusunan JSA belum memastikan bahwa setiap aktivitas pekerjaan dianalisis sampai pada bahaya spesifik (activity-based hazard identification), sehingga masih terdapat bahaya kritis yang belum terdokumentasi.</t>
  </si>
  <si>
    <t>2. Procedure Integration – Critical safeguard documents not fully synchronized — Belum terdapat mekanisme yang memastikan konsistensi antara JSA, RP3K, SWC, dan dokumen pendukung lainnya sehingga beberapa safeguard telah disiapkan tetapi belum seluruhnya tercermin pada identifikasi bahaya pekerjaan.</t>
  </si>
  <si>
    <t>3. Resource Management – Emergency response resources not based on risk exposure — Perencanaan fasilitas tanggap darurat belum sepenuhnya mempertimbangkan jarak tempuh terhadap lokasi pekerjaan. Ketersediaan eyewash yang relatif jauh dapat memperlambat penanganan awal apabila terjadi paparan debu atau semen ke mata.</t>
  </si>
  <si>
    <t>Underground utility verification missing</t>
  </si>
  <si>
    <t>4. Competency Management – Emergency response competency gap — Belum terdapat persyaratan yang memastikan personel HSSE atau PA memiliki kompetensi P3K yang sesuai dengan risiko dominan pekerjaan Ground Disturbance, termasuk kemungkinan cedera mata, sengatan listrik dari utilitas bawah tanah, dan biological hazard.</t>
  </si>
  <si>
    <t>5. Worksite Planning – Temporary traffic and excavation protection management — Perencanaan penempatan barricade dan warning sign belum sepenuhnya mempertimbangkan interaksi pekerjaan dengan jalur kendaraan maupun pejalan kaki sehingga efektivitas segregasi area kerja dapat menurun.</t>
  </si>
  <si>
    <t>6. Asset Information Management – Underground utility records not fully available — Dokumen as-built underground utilities belum tersedia sebagai referensi utama. Walaupun tim telah melakukan identifikasi menggunakan cable locator dan manual digging, keterbatasan informasi utilitas terdokumentasi merupakan kondisi laten yang dapat meningkatkan ketidakpastian terhadap keberadaan utilitas bawah tanah pada pekerjaan berikutnya.</t>
  </si>
  <si>
    <t>Competency / Training — Inadequate technical understanding: pekerja belum memahami hierarki mitigasi bahaya WAH (Passive Fall Protection – Fall Restraint – Fall Arrest).</t>
  </si>
  <si>
    <t>Critical safeguard misunderstanding: pekerja belum memahami perbedaan fall restraint dan fall arrest serta konsekuensinya. — Rescue competency gap: tidak ada personel dengan kompetensi TKBT Level 3 untuk menyusun dan melaksanakan rescue plan terhadap suspension trauma.</t>
  </si>
  <si>
    <t>Procedure / Documentation — Competency gap for risk assessment: JSA tidak mencerminkan risiko lapangan secara praktis, tidak mencatat hazard kritikal seperti suspension trauma.</t>
  </si>
  <si>
    <t>Engineering / Design — Competency gap for anchorage determination: tidak ada personel dengan kompetensi TKBT Level 2 untuk menentukan anchorage point sesuai requirement.</t>
  </si>
  <si>
    <t>Leadership / Supervision — Weak coaching quality: Toolbox Meeting tidak menekankan pentingnya critical safeguards.</t>
  </si>
  <si>
    <t>Competency / Training — Inadequate technical understanding: pekerja belum memahami perbedaan fall restraint dan fall arrest.</t>
  </si>
  <si>
    <t>Procedure / Documentation — Requirement not field practical: JSA tidak mencantumkan bahaya suspension trauma.</t>
  </si>
  <si>
    <t>Engineering / Design — Missing engineering criteria: tidak ada perhitungan teknis bahwa anchorage point mampu menahan 5000 lbs.</t>
  </si>
  <si>
    <t>Anchorage non-compliance: titik angkur dipasang tidak sesuai best practice. — Weak lighting design / fall distance calculation: perhitungan fall distance tidak tersedia.</t>
  </si>
  <si>
    <t>Leadership / Supervision — Weak coaching quality: toolbox meeting tidak membahas critical safeguards.</t>
  </si>
  <si>
    <t>Planning / Risk Assessment — Inadequate contingency plan: rescue plan hanya mengandalkan Fire Station standby, tanpa alat tambahan seperti Suspension Trauma Strap.</t>
  </si>
  <si>
    <t>CSE Recognition Masih Berbasis Conventional Equipment — Materi training, pengalaman lapangan, dan contoh CSE yang umum lebih banyak berfokus pada tank, vessel, pit, sewer, dan ruang tertutup konvensional. Non-conventional confined space seperti fin fan hood atau plenum tidak secara otomatis dikenali oleh PA dan pekerja meskipun konfigurasi ruang memenuhi definisi CSE dalam TKO.</t>
  </si>
  <si>
    <t>Tidak Tersedia Configuration-Based CSE Screening Gate — Proses JSA dan permit planning belum mempunyai mandatory screening question yang secara berurutan menguji apakah ruang cukup untuk dimasuki pekerja, mempunyai restricted entry/exit, dan tidak dirancang untuk continuous occupancy. Tanpa screening berbasis definisi, identifikasi CSE sangat bergantung pada pengalaman dan persepsi PA atau AA.</t>
  </si>
  <si>
    <t>Hazard Identification Terfragmentasi Berdasarkan Individual Hazard — JSA mampu menangkap H₂S, WAH, dan hazardous energy sebagai bahaya terpisah serta menetapkan PGD, EEBA, fall arrest, dan LOTO sebagai safeguard. Namun, sistem hazard identification belum mendorong pekerja untuk mengintegrasikan beberapa hazard tersebut menjadi satu CSE SIF scenario yang membutuhkan entry control, Entry Watch, dan rescue preparedness.</t>
  </si>
  <si>
    <t>Interface CLSR CSE dengan PTW Classification Belum Eksplisit — CSE telah ditetapkan sebagai salah satu Critical Life Saving Rules dan merupakan high-risk/SIF exposure. Namun, CSE tidak tercantum secara eksplisit pada daftar contoh Critical Work Permit dalam TKO SIKA. Kondisi ini membuka ruang interpretasi bahwa pekerjaan PM di dalam confined space tetap dapat diproses sebagai General Work tanpa men-trigger evaluasi Critical Work.</t>
  </si>
  <si>
    <t>CSEP Bergantung Sepenuhnya pada Initial CSE Recognition — CSEP hanya akan dipersiapkan apabila PA atau AA terlebih dahulu mengenali lokasi kerja sebagai confined space dengan karakteristik bahaya khusus. Tidak terdapat independent verification gate dalam workflow permit yang dapat menangkap CSE ketika initial hazard recognition oleh work team gagal.</t>
  </si>
  <si>
    <t>Emergency Egress Tidak Menjadi Mandatory Worksite Verification Point — Proses permit dan JSA belum secara eksplisit memverifikasi bahwa akses keluar entrant harus tersedia secara langsung dan tetap functional selama seluruh periode entry. Akibatnya, mobile staircase dapat dipindahkan untuk mendukung aktivitas pekerjaan tanpa system trigger yang mempertanyakan dampaknya terhadap emergency evacuation.</t>
  </si>
  <si>
    <t>Entry Watch Function Bergantung pada CSE Classification — Kompetensi, tugas, dan emergency response Entry Watch hanya ter-trigger apabila pekerjaan telah diklasifikasikan sebagai CSE. Ketika CSE tidak dikenali, keberadaan PA di luar hood dapat dianggap cukup sebagai pengawasan tanpa memastikan kemampuan melakukan monitoring entrant, mengenali alarm, menghentikan pekerjaan, dan memfasilitasi immediate evacuation.</t>
  </si>
  <si>
    <t>Emergency Preparedness Dikelola secara Hazard-Specific, Bukan Scenario-Based — EEBA disediakan untuk H₂S, PGD untuk atmospheric monitoring, dan fall arrest untuk bahaya jatuh. Namun, belum terdapat mekanisme planning yang secara sistematis menguji skenario gabungan, misalnya entrant incapacitated di atas fan blade saat PGD alarm dan akses mobile staircase tidak berada pada posisi entry. Kondisi ini menyebabkan emergency safeguards tersedia secara individual tetapi belum terintegrasi untuk menghadapi credible SIF scenario.</t>
  </si>
  <si>
    <t>Non-Conventional CSE Belum Teridentifikasi dalam Equipment/Area Register — Fin fan hood belum dikenali atau ditandai sebagai potential confined space pada tahap planning pekerjaan. Ketiadaan register, mapping, atau visual identification terhadap non-conventional confined spaces menyebabkan CSE recognition harus dilakukan ulang oleh setiap PA dan work crew pada setiap pekerjaan.</t>
  </si>
  <si>
    <t>Inconsistent procedure</t>
  </si>
  <si>
    <t>Alignment Gap antara TKO Isolasi Energi dan TKO SIKA — TKO Isolasi Energi memprioritaskan prinsip “satu pekerja, satu gembok, satu kunci”, namun juga memperbolehkan mekanisme group lock dengan PA sebagai pihak yang bertanggung jawab terhadap tim kerja. Sementara itu, workflow SIKA–ICC menempatkan implementasi dan konfirmasi isolasi terutama pada IA, AA, dan PA. Kondisi ini membuka ruang interpretasi bahwa gembok PA pada LOTO Box dapat mewakili perlindungan individual seluruh anggota tim kerja.</t>
  </si>
  <si>
    <t>Tidak Tersedianya Mandatory Individual LOTO Verification Gate — Proses penerbitan izin kerja dan ICC belum menyediakan titik verifikasi wajib untuk memastikan bahwa setiap pekerja yang terekspos hazardous energy telah memasang individual lock dan individual tag sebelum pekerjaan dimulai. Permit dan ICC dapat dinyatakan lengkap meskipun anggota tim kerja tidak mempunyai direct personal control terhadap isolasi energi.</t>
  </si>
  <si>
    <t>ICC Architecture Berorientasi pada Authorized-Role Assurance — Form ICC mendokumentasikan perencanaan, implementasi, pengujian, dan konfirmasi isolasi melalui peran IA dan AA. Anggota tim kerja yang secara langsung terekspos hazardous energy tidak memiliki individual control point atau sign-off pada proses ICC. Struktur ini secara tidak langsung membangun mental model bahwa konfirmasi oleh authorized roles telah memberikan perlindungan yang cukup kepada seluruh pekerja.</t>
  </si>
  <si>
    <t>Tidak Ada Worker-to-Lock Reconciliation — Belum terdapat mekanisme formal untuk mencocokkan jumlah dan identitas pekerja yang terekspos hazardous energy dengan individual lock yang terpasang pada LOTO Box. Akibatnya, dua pekerja dapat memulai pekerjaan dengan perlindungan yang diwakili oleh satu gembok PA tanpa adanya system trigger yang mengidentifikasi kondisi tersebut sebagai gap.</t>
  </si>
  <si>
    <t>Group Lock Acceptance Criteria Belum Tegas — TKO membuka penggunaan group lock function, tetapi batasan kapan group lock dapat digunakan sebagai pengganti individual lock belum diterjemahkan menjadi decision criteria yang sederhana bagi PA, AA, dan pekerja. Kondisi ini memungkinkan group lock berkembang dari alternative isolation arrangement menjadi metode normal yang digunakan berdasarkan kemudahan operasional.</t>
  </si>
  <si>
    <t>Multiple Critical Dependencies pada Peran PA — PA memegang tanggung jawab terhadap pelaksanaan pekerjaan, komunikasi dengan tim, penerimaan izin kerja, serta dipahami sebagai representasi perlindungan LOTO bagi pekerja. Konsentrasi beberapa fungsi kritikal pada satu individu menciptakan single human dependency, dimana perubahan keberadaan, perhatian, atau komunikasi PA dapat memengaruhi beberapa critical safeguards secara bersamaan.</t>
  </si>
  <si>
    <t>Simple Isolation Tidak Memicu Enhanced Verification — Isolasi hanya melibatkan satu motor fan dan sumber energi mudah dikenali oleh seluruh pekerja. Kesederhanaan konfigurasi isolasi menurunkan perceived complexity dan tidak men-trigger verifikasi lebih lanjut terhadap prinsip individual protection. Sistem belum secara konsisten membedakan antara simple isolation design dan individual exposure to hazardous energy.</t>
  </si>
  <si>
    <t>Training WAH Lebih Menekankan 100% Tie-Off dibanding Hierarchy of Fall Protection — Pemahaman pekerja menunjukkan pesan “gunakan harness dan selalu tie-off” lebih kuat dibandingkan prinsip pemilihan fall prevention, fall restraint, dan fall arrest. Kondisi ini menyebabkan pekerja mampu menerapkan penggunaan PPE, tetapi belum mempunyai mental model yang cukup untuk menentukan sistem perlindungan jatuh berdasarkan hierarchy dan design intent.</t>
  </si>
  <si>
    <t>Tidak Ada Mandatory Fall Protection Selection Gate — JSA dan proses work planning belum memaksa pekerja untuk mendokumentasikan mengapa fall prevention atau fall restraint tidak dapat diterapkan sebelum memilih fall arrest. Tanpa selection decision gate, penggunaan fall arrest dapat langsung diterima sebagai safeguard ketika pekerjaan dilakukan pada ketinggian di atas threshold WAH.</t>
  </si>
  <si>
    <t>Fall Clearance Calculation Belum Menjadi Planning Requirement yang Hidup — Penggunaan personal fall arrest system dapat direncanakan dan diterapkan tanpa adanya bukti perhitungan fall clearance pada JSA, permit pack, atau pre-job discussion. Kondisi ini memungkinkan pekerja menggunakan fall arrest pada ketinggian sekitar 2,5 meter tanpa memastikan bahwa sistem mampu menghentikan jatuh sebelum pekerja menghantam blade atau struktur di bawahnya.</t>
  </si>
  <si>
    <t>Permit requirement unclear</t>
  </si>
  <si>
    <t>Anchorage Verification Tidak Terintegrasi dalam Permit Pack — Belum terdapat control point yang secara eksplisit meminta identifikasi lokasi anchor dan verifikasi kapasitas anchorage sebelum pekerjaan dimulai. Akibatnya, pekerja harus menentukan anchor berdasarkan struktur yang tersedia di lapangan tanpa informasi apakah titik tersebut memenuhi kapasitas 5,000 lbf atau merupakan engineered anchorage yang disetujui.</t>
  </si>
  <si>
    <t>Tidak Tersedia Pre-Identified atau Engineered Anchorage Point — Area kerja di dalam hood fin fan tidak menyediakan anchorage point yang secara jelas ditandai, didesain, atau diverifikasi untuk penggunaan personal fall arrest system. Kondisi equipment memindahkan keputusan teknis pemilihan anchor kepada pekerja di lapangan pada saat pekerjaan berlangsung.</t>
  </si>
  <si>
    <t>Low-Clearance Fall Hazard Belum Menjadi Bagian Kuat dalam Kompetensi WAH — Training dan hazard communication belum cukup menekankan bahwa pekerjaan pada ketinggian rendah dapat mempunyai risiko lebih tinggi ketika fall arrest digunakan karena available fall clearance sangat terbatas. Mental model “lebih rendah berarti lebih aman” dapat berkembang tanpa memahami kebutuhan deceleration distance, worker height, lanyard length, dan safety margin.</t>
  </si>
  <si>
    <t>Fall Arrest System Verification Masih Equipment-Based — Proses verifikasi lapangan lebih mudah mengidentifikasi keberadaan full body harness, lanyard, shock absorber, dan status tie-off dibandingkan mengevaluasi efektivitas sistem secara keseluruhan. Belum tersedia field verification method yang sederhana untuk menguji anchor–connector–clearance–fall path–rescue sebagai satu complete fall arrest system.</t>
  </si>
  <si>
    <t>Penggunaan Fall Arrest Tidak Otomatis Men-trigger Rescue Planning — Workflow JSA/PTW belum mempunyai mandatory trigger yang menghubungkan pemilihan personal fall arrest system dengan kebutuhan documented rescue plan. Akibatnya, fall arrest dapat digunakan tanpa penentuan rescue method, Safety Standby, rescue equipment, trained responder, dan pengendalian suspension trauma.</t>
  </si>
  <si>
    <t>Barricade and Exclusion Zone Criteria Are Not Clearly Differentiated — Panduan pekerjaan/JSA belum memberikan kriteria praktis yang jelas untuk membedakan general work area barricade dengan Line of Fire exclusion zone yang harus ditentukan berdasarkan sumber energi, arah/jalur energi, dan posisi personel. Kondisi ini memungkinkan pemasangan barricade dianggap telah memenuhi pengendalian LoF.</t>
  </si>
  <si>
    <t>Dropped-Object Energy Path Is Not Explicitly Developed in the JSA — JSA belum secara spesifik mengembangkan skenario benda jatuh dari aktivitas dua pekerja di basket MEWP mengenai personel di bawah. Tanpa skenario source–energy path–exposed person–consequence yang jelas, kebutuhan dropped-object exclusion zone tidak ter-trigger dalam work planning.</t>
  </si>
  <si>
    <t>Safe Position for MEWP Ground Personnel Is Not Defined — Work planning belum menetapkan posisi aman bagi pekerja di bawah/ground personnel yang tetap diperlukan untuk mendukung pekerjaan MEWP. Tidak adanya designated safe position outside the falling-object path menyebabkan posisi personel ditentukan berdasarkan kebutuhan operasional dan kondisi lapangan.</t>
  </si>
  <si>
    <t>LoF Field Verification Focuses on Presence of Barricade — Verifikasi lapangan oleh PA/supervisor lebih mudah memastikan “barricade sudah dipasang” dibanding menguji apakah batas barricade benar-benar mengikuti potential energy path dan memastikan tidak ada personel berada di dalam exclusion zone. Sistem assurance masih lebih kuat pada presence of control daripada functional effectiveness of the critical safeguard.</t>
  </si>
  <si>
    <t>Hazardous Area Classification Not Embedded in Job Planning — — hazardous area classification belum menjadi mandatory input untuk JSA, work classification, dan ignition-source control.</t>
  </si>
  <si>
    <t>Combined Hazard Scenario Development Gap — — electrical hazard, spark, dan flammable atmosphere dikelola terpisah dan belum dikembangkan menjadi credible fire/explosion scenario.</t>
  </si>
  <si>
    <t>Hot Work Screening Trigger Gap — — potential ignition source di hazardous area belum terlihat sebagai explicit trigger untuk Hot Work screening.</t>
  </si>
  <si>
    <t>SECE Override–Hot Work Interface Gap — — temporary defeat F&amp;G dan potential ignition source belum diintegrasikan dalam satu MAH/SIF scenario.</t>
  </si>
  <si>
    <t>Residual Energy Dissipation Is Not Explicitly Embedded in the Isolation Plan — Isolation Plan telah menunjukkan dan menandai titik-titik isolasi pada P&amp;ID. Namun, pada plan yang direview belum terlihat identifikasi yang jelas terhadap titik dan metode pelepasan residual energy, seperti depressurization, venting, atau draining, serta titik verifikasi zero pressure pada fuel gas system.</t>
  </si>
  <si>
    <t>Energy-Specific Zero-State Verification Criteria Are Not Clearly Defined — Metode verifikasi zero-energy belum terlihat ditetapkan secara spesifik untuk setiap jenis energi. Electrical energy diverifikasi melalui rack-out incoming breaker, isolasi DC power, dan START test; sedangkan pada fuel gas system belum terdapat verification step yang setara berupa depressurization dan zero-pressure verification.</t>
  </si>
  <si>
    <t>Isolation Completion / Release Gate Does Not Explicitly Require Zero-Energy Evidence — Belum terlihat adanya final verification gate sebelum equipment dinyatakan aman untuk PM yang secara eksplisit meminta bukti:</t>
  </si>
  <si>
    <t>Individual LOTO Requirement Is Not Fully Aligned Between IHE Philosophy and SIKA/ICC Practice — Praktik ICC/SIKA dan LOTO Box menempatkan IA dan PA sebagai lock holder utama, sehingga dapat terbentuk interpretasi bahwa lock PA mewakili seluruh pekerja. Sistem work control belum cukup tegas memastikan bahwa setiap pekerja yang terpapar hazardous energy memasang personal lock masing-masing.</t>
  </si>
  <si>
    <t>No</t>
  </si>
  <si>
    <t>Protocol_Group</t>
  </si>
  <si>
    <t>PSEC_ID</t>
  </si>
  <si>
    <t>PSEC_Name</t>
  </si>
  <si>
    <t>Exposure_Type</t>
  </si>
  <si>
    <t>Question_Code</t>
  </si>
  <si>
    <t>Question_Summary</t>
  </si>
  <si>
    <t>Verification_Purpose</t>
  </si>
  <si>
    <t>CCVC_Count</t>
  </si>
  <si>
    <t>Dashboard_Denominator_Note</t>
  </si>
  <si>
    <t>Mandatory CLSR</t>
  </si>
  <si>
    <t>CLSR01</t>
  </si>
  <si>
    <t>Memastikan alat/peralatan yang dipilih sesuai pekerjaan, material, lingkungan, kapasitas, dan tidak dimodifikasi.</t>
  </si>
  <si>
    <t>Applicable question counted as denominator; N/A excluded.</t>
  </si>
  <si>
    <t>Memastikan kondisi alat aman, tidak rusak, inspection/tag/cert valid, dan alat tidak layak dikeluarkan dari penggunaan.</t>
  </si>
  <si>
    <t>Memastikan alat digunakan sesuai fungsi, batas desain, prosedur, dan APD sesuai bahaya.</t>
  </si>
  <si>
    <t>Memastikan alat tetap terkendali, tidak slip, kickback, recoil, jatuh, atau bergerak tidak terduga.</t>
  </si>
  <si>
    <t>CLSR02</t>
  </si>
  <si>
    <t>Memastikan sumber energi dan paparan Line of Fire sudah diidentifikasi sebelum pekerjaan dimulai.</t>
  </si>
  <si>
    <t>Memastikan paparan Line of Fire dieliminasi, dikendalikan, dimitigasi, termasuk exclusion zone dan barricade.</t>
  </si>
  <si>
    <t>Memastikan tidak ada bagian tubuh/personel berada pada pinch point, crush point, swing radius, suspended load, atau energy path.</t>
  </si>
  <si>
    <t>Memastikan perubahan kondisi kerja, posisi orang, alat, energi, SIMOPS, dan exclusion zone dikendalikan.</t>
  </si>
  <si>
    <t>CLSR03</t>
  </si>
  <si>
    <t>Hot Work</t>
  </si>
  <si>
    <t>Memastikan atmosfer aman sebelum hot work, gas detector sesuai, operator paham, dan alat terkalibrasi.</t>
  </si>
  <si>
    <t>Memastikan pekerja tahu hot work harus dihentikan bila LEL &gt;= 10%.</t>
  </si>
  <si>
    <t>Memastikan pekerja tahu kondisi wajib stop work selain LEL, seperti fire watch pergi, alat gas test gagal, atau near miss.</t>
  </si>
  <si>
    <t>Memastikan initial gas test dilakukan pada sumber potensi flammable gas/vapor dan buffer zone hot work.</t>
  </si>
  <si>
    <t>Memastikan drain/parit terbuka diamankan dari ignition source, misalnya diisi air, ditutup fire blanket, atau plugging.</t>
  </si>
  <si>
    <t>Memastikan atmosfer dan ignition source dikendalikan, termasuk site control, grounding, dan bonding.</t>
  </si>
  <si>
    <t>Memastikan continuous gas monitoring dilakukan bila diperlukan dan revalidasi dilakukan bila melewati batas waktu.</t>
  </si>
  <si>
    <t>CLSR04</t>
  </si>
  <si>
    <t>Confined Space Entry</t>
  </si>
  <si>
    <t>Memastikan kondisi aman masuk: atmosfer diuji, isolasi fisik, alat approved, dan bahaya fisik/kimia dikendalikan.</t>
  </si>
  <si>
    <t>Memastikan O2, LEL, H2S, CO berada dalam batas aman untuk entry tanpa breathing apparatus.</t>
  </si>
  <si>
    <t>Memastikan heat stress dipertimbangkan dalam JSA/PPHA dan ada mitigasinya bila diperlukan.</t>
  </si>
  <si>
    <t>Memastikan atmosfer dan suhu dimonitor, ventilasi tersedia, dan tindakan dilakukan bila ventilasi tidak memadai.</t>
  </si>
  <si>
    <t>Memastikan isolasi energi berbahaya diverifikasi melalui dokumen, visual check, dan gas testing.</t>
  </si>
  <si>
    <t>Memastikan rescue plan tertulis, rescue team terlatih, rescue equipment sesuai, dan MSDS tersedia.</t>
  </si>
  <si>
    <t>Memastikan Entry Watch hadir, memantau kondisi, menjaga komunikasi, memahami emergency, dan mengisi entry log.</t>
  </si>
  <si>
    <t>CLSR05</t>
  </si>
  <si>
    <t>Powered System / IHE / LOTO</t>
  </si>
  <si>
    <t>Memastikan pembukaan equipment/pipeline/vessel aman: blowdown, gas monitor, LOTO, dan zero energy.</t>
  </si>
  <si>
    <t>Memastikan PA/AA/crew dapat menunjukkan titik isolasi sesuai IHE certificate/dokumen.</t>
  </si>
  <si>
    <t>Memastikan setiap pekerja dilindungi individual lock/tag atau lock box yang benar.</t>
  </si>
  <si>
    <t>Memastikan semua sumber energi berbahaya spesifik pekerjaan diidentifikasi: electrical, mechanical, hydraulic, pneumatic, gravity, thermal, chemical, dll.</t>
  </si>
  <si>
    <t>Memastikan titik isolasi dikomunikasikan dan dipahami semua pekerja terdampak.</t>
  </si>
  <si>
    <t>Memastikan residual energy sudah dilepas, dikendalikan, ditahan, atau diverifikasi zero energy.</t>
  </si>
  <si>
    <t>Memastikan lock/tag operasi dipasang pertama dan dilepas terakhir.</t>
  </si>
  <si>
    <t>Memastikan semua titik isolasi dikembalikan normal sebelum re-energizing.</t>
  </si>
  <si>
    <t>Memastikan pekerja tahu kondisi wajib stop work: isolasi gagal, tidak lengkap, tidak terkunci/tagged, atau near miss.</t>
  </si>
  <si>
    <t>CLSR06</t>
  </si>
  <si>
    <t>Lifting &amp; Rigging</t>
  </si>
  <si>
    <t>CLSR06-A</t>
  </si>
  <si>
    <t>Critical / Complex Lift Identification</t>
  </si>
  <si>
    <t>Memastikan lift termasuk critical/complex lift dikenali dan lift plan tersedia.</t>
  </si>
  <si>
    <t>CLSR06-B</t>
  </si>
  <si>
    <t>Load Weight &amp; Rigging Determination</t>
  </si>
  <si>
    <t>Memastikan berat beban dan rigging diketahui, dihitung, bukan ditebak, dan sesuai load chart.</t>
  </si>
  <si>
    <t>CLSR06-C</t>
  </si>
  <si>
    <t>Hoisting Equipment Support &amp; Positioning</t>
  </si>
  <si>
    <t>Memastikan crane/alat angkat disupport dan diposisikan dengan benar, termasuk ground condition dan outrigger mat.</t>
  </si>
  <si>
    <t>CLSR06-D</t>
  </si>
  <si>
    <t>Overhead Hazards</t>
  </si>
  <si>
    <t>Memastikan operator mengidentifikasi overhead hazards, termasuk power line, struktur, pipe rack, dan obstruction.</t>
  </si>
  <si>
    <t>CLSR06-E</t>
  </si>
  <si>
    <t>Suspended Load Exposure</t>
  </si>
  <si>
    <t>Memastikan semua pekerja memahami larangan berada atau berjalan di bawah suspended load/live load.</t>
  </si>
  <si>
    <t>CLSR06-F</t>
  </si>
  <si>
    <t>Load Control</t>
  </si>
  <si>
    <t>Memastikan beban dikendalikan dengan benar saat diangkat, diturunkan, dilepas, termasuk tagline dan clear landing zone.</t>
  </si>
  <si>
    <t>CLSR06-G</t>
  </si>
  <si>
    <t>Lifting Equipment Inspection</t>
  </si>
  <si>
    <t>Memastikan crane, rigging, sling, shackle, hook, dan alat bantu angkat sudah diinspeksi dan layak.</t>
  </si>
  <si>
    <t>CLSR06-H</t>
  </si>
  <si>
    <t>Emergency Stop Communication</t>
  </si>
  <si>
    <t>Memastikan sinyal emergency stop disepakati, dipahami, dan didemonstrasikan saat pre-lift briefing.</t>
  </si>
  <si>
    <t>CLSR06-I</t>
  </si>
  <si>
    <t>Memastikan pekerja tahu kondisi wajib stop work: operator/rigger tidak kompeten, cuaca buruk, angin, lightning, equipment issue.</t>
  </si>
  <si>
    <t>CLSR06-J</t>
  </si>
  <si>
    <t>J</t>
  </si>
  <si>
    <t>Bypass of Critical Protective Device / AML</t>
  </si>
  <si>
    <t>Memastikan bypass/override AML atau critical protective device hanya dilakukan dengan approval dan prosedur yang benar.</t>
  </si>
  <si>
    <t>CLSR07</t>
  </si>
  <si>
    <t>Working at Height</t>
  </si>
  <si>
    <t>Memastikan pekerja tahu kapan menggunakan fall restraint dan kapan fall arrest.</t>
  </si>
  <si>
    <t>Memastikan pekerja memahami perbedaan lanyard restraint dan arrest, termasuk shock absorber dan SRL.</t>
  </si>
  <si>
    <t>Memastikan pekerja menghitung jarak jatuh untuk mencegah impact ke level bawah/obstacle.</t>
  </si>
  <si>
    <t>Memastikan anchor point mampu menahan gaya jatuh atau disetujui competent person.</t>
  </si>
  <si>
    <t>Memastikan pekerja selalu 100% tie-off sesuai pekerjaan dan perpindahan posisi.</t>
  </si>
  <si>
    <t>Memastikan anchor point diposisikan untuk mencegah swing fall dan contact dengan object/surface.</t>
  </si>
  <si>
    <t>Memastikan harness, lanyard, SRL, connector, dan equipment WAH diperiksa oleh personel terlatih.</t>
  </si>
  <si>
    <t>Memastikan PFAS dipakai benar: strap snug, ukuran sesuai, D-ring tepat, dan tidak ada misuse.</t>
  </si>
  <si>
    <t>Memastikan rescue plan tersedia bila fall arrest digunakan, termasuk standby, rescue equipment, dan suspension trauma response.</t>
  </si>
  <si>
    <t>CLSR08</t>
  </si>
  <si>
    <t>Ground Disturbance / Excavation</t>
  </si>
  <si>
    <t>Memastikan utilitas bawah tanah diidentifikasi dengan permit, drawing, line locating, potholing/daylighting, dan marking.</t>
  </si>
  <si>
    <t>Memastikan pekerja terlindung dari swing radius, Line of Fire, blind spot, dan pergerakan excavation equipment.</t>
  </si>
  <si>
    <t>Memastikan hazard utama excavation dikenali: cave-in, soil contamination, atmosphere, adjacent structure, water accumulation, dll.</t>
  </si>
  <si>
    <t>Memastikan hidden hazards, unstable ground, cave-in, dan kondisi excavation besar dikendalikan.</t>
  </si>
  <si>
    <t>Memastikan pekerja tahu kondisi wajib stop work dan revalidasi permit, termasuk unattended excavation atau unauthorized entry.</t>
  </si>
  <si>
    <t>CLSR09</t>
  </si>
  <si>
    <t>Water-Based Work Activities</t>
  </si>
  <si>
    <t>CLSR09-A</t>
  </si>
  <si>
    <t>Water Hazard &amp; Work Scope Identification</t>
  </si>
  <si>
    <t>Memastikan lingkup pekerjaan dan seluruh bahaya air, boat transfer, diving, cuaca, arus, vessel movement dikenali.</t>
  </si>
  <si>
    <t>CLSR09-B</t>
  </si>
  <si>
    <t>Eliminate or Prevent Man Overboard</t>
  </si>
  <si>
    <t>Memastikan risiko jatuh ke air/MOB dieliminasi atau dikendalikan dengan guardrail, transfer method, rope/gangway inspected, dan vessel-specific arrangement.</t>
  </si>
  <si>
    <t>CLSR09-C</t>
  </si>
  <si>
    <t>PFD, Competency &amp; Communication</t>
  </si>
  <si>
    <t>Memastikan PFD sesuai, pekerja kompeten, buddy system berjalan, dan komunikasi boat-platform/boat-boat jelas.</t>
  </si>
  <si>
    <t>CLSR09-D</t>
  </si>
  <si>
    <t>Rescue Readiness &amp; Dynamic Conditions</t>
  </si>
  <si>
    <t>Memastikan SOP rescue, drill, ring buoy/throw line, standby boat, boat movement control, dan monitoring sea/weather siap.</t>
  </si>
  <si>
    <t>CLSR10A</t>
  </si>
  <si>
    <t>Land Transportation MVS-LV</t>
  </si>
  <si>
    <t>Mandatory CLSR - Drill Down</t>
  </si>
  <si>
    <t>CLSR10A-A</t>
  </si>
  <si>
    <t>Driver Qualification</t>
  </si>
  <si>
    <t>Memastikan SIM/KIR/permit/KP dan kualifikasi pengemudi masih valid.</t>
  </si>
  <si>
    <t>Applicable for Light Vehicle observations only; N/A excluded.</t>
  </si>
  <si>
    <t>CLSR10A-B</t>
  </si>
  <si>
    <t>Pre-Trip Activities</t>
  </si>
  <si>
    <t>Memastikan PTI, 360 walk-around, load securement, JMP, dan fatigue/rest plan dilakukan sebelum perjalanan.</t>
  </si>
  <si>
    <t>CLSR10A-C</t>
  </si>
  <si>
    <t>Safe Driving Practice</t>
  </si>
  <si>
    <t>Memastikan defensive driving dilakukan saat intersection, corner, slope, road hazard, dan traffic condition.</t>
  </si>
  <si>
    <t>CLSR10A-D</t>
  </si>
  <si>
    <t>Backing / Reversing Control</t>
  </si>
  <si>
    <t>Memastikan backing hanya dilakukan bila aman, area clear, komunikasi/spotter/horn digunakan bila perlu.</t>
  </si>
  <si>
    <t>CLSR10A-E</t>
  </si>
  <si>
    <t>Non-Driving Task Stop</t>
  </si>
  <si>
    <t>Memastikan kendaraan dihentikan di tempat aman sebelum melakukan non-driving task.</t>
  </si>
  <si>
    <t>CLSR10A-F</t>
  </si>
  <si>
    <t>Parking &amp; Vehicle Securement</t>
  </si>
  <si>
    <t>Memastikan parking aman, hand brake, wheel chock bila perlu, hazard lamp/sign, dan vehicle securement dilakukan.</t>
  </si>
  <si>
    <t>CLSR10A-G</t>
  </si>
  <si>
    <t>Speed Limit &amp; Speed Monitoring</t>
  </si>
  <si>
    <t>Memastikan speed limit dipatuhi dan speed monitoring/alarm/DIMS berfungsi.</t>
  </si>
  <si>
    <t>CLSR10A-H</t>
  </si>
  <si>
    <t>JMP Real-Time Hazard Control</t>
  </si>
  <si>
    <t>Memastikan real-time hazards diidentifikasi, dimitigasi, dan didokumentasikan dalam JMP.</t>
  </si>
  <si>
    <t>CLSR10A-I</t>
  </si>
  <si>
    <t>Maximum Driving Hours / Fatigue Management</t>
  </si>
  <si>
    <t>Memastikan maksimum jam mengemudi dipatuhi dan driver/management mengelola fatigue.</t>
  </si>
  <si>
    <t>CLSR10A-J</t>
  </si>
  <si>
    <t>SWA / SSWA for Driving</t>
  </si>
  <si>
    <t>Memastikan driver tahu dan menggunakan SWA/SSWA saat fatigue, cuaca buruk, kondisi abnormal, atau unsafe driving condition.</t>
  </si>
  <si>
    <t>CLSR10B</t>
  </si>
  <si>
    <t>Land Transportation MVS-HE</t>
  </si>
  <si>
    <t>CLSR10B-A</t>
  </si>
  <si>
    <t>Rollover Risk</t>
  </si>
  <si>
    <t>Memastikan karakteristik kendaraan/heavy equipment yang berisiko rollover dikenali dan dikendalikan.</t>
  </si>
  <si>
    <t>Applicable for Heavy Equipment observations only; N/A excluded.</t>
  </si>
  <si>
    <t>CLSR10B-B</t>
  </si>
  <si>
    <t>Memastikan fit for duty, daily inspection, load securement, route/JMP, distraction control, dan 360 walk-around dilakukan.</t>
  </si>
  <si>
    <t>CLSR10B-C</t>
  </si>
  <si>
    <t>Road Condition for Rollover Prevention</t>
  </si>
  <si>
    <t>Memastikan road integrity, slope, width, turn radius, visibility, dan soft shoulder dinilai.</t>
  </si>
  <si>
    <t>CLSR10B-D</t>
  </si>
  <si>
    <t>Action for Unfavorable Road Condition</t>
  </si>
  <si>
    <t>Memastikan SWA, supervisor consultation, mitigation, atau alternate route dilakukan bila road condition tidak aman.</t>
  </si>
  <si>
    <t>CLSR10B-E</t>
  </si>
  <si>
    <t>Backing / Positioning Control</t>
  </si>
  <si>
    <t>Memastikan backing/positioning menggunakan JSA, spotter, komunikasi, dan area clear.</t>
  </si>
  <si>
    <t>CLSR10B-F</t>
  </si>
  <si>
    <t>Site Hazard Assessment</t>
  </si>
  <si>
    <t>Memastikan congestion, people, vehicle, processing equipment, dropped object, pipeline/equipment contents, dan site hazards dinilai.</t>
  </si>
  <si>
    <t>CLSR10B-G</t>
  </si>
  <si>
    <t>Fatigue Risk Management</t>
  </si>
  <si>
    <t>Memastikan driver/operator memahami risiko fatigue dan menggunakan SWA bila fatigue muncul.</t>
  </si>
  <si>
    <t>CLSR10B-H</t>
  </si>
  <si>
    <t>Intersection Safety</t>
  </si>
  <si>
    <t>Memastikan tindakan aman di intersection: scan, slow/stop, komunikasi, dan proceed only when safe.</t>
  </si>
  <si>
    <t>Additional PSEC</t>
  </si>
  <si>
    <t>PSM</t>
  </si>
  <si>
    <t>Process Safety Management</t>
  </si>
  <si>
    <t>PSM-A</t>
  </si>
  <si>
    <t>Process Safety Information / PSI</t>
  </si>
  <si>
    <t>Memastikan informasi keselamatan proses benar, terbaru, dan relevan terhadap MAH.</t>
  </si>
  <si>
    <t>PSM-B</t>
  </si>
  <si>
    <t>Plant Verification</t>
  </si>
  <si>
    <t>Memastikan kondisi aktual plant sesuai PSI, P&amp;ID, operating limit, dan design intent.</t>
  </si>
  <si>
    <t>PSM-C</t>
  </si>
  <si>
    <t>Operating Procedure</t>
  </si>
  <si>
    <t>Memastikan pekerjaan mengikuti prosedur operasi / maintenance yang benar dan berlaku.</t>
  </si>
  <si>
    <t>PSM-D</t>
  </si>
  <si>
    <t>Operating Envelope</t>
  </si>
  <si>
    <t>Memastikan proses tetap dalam Safe Operating Envelope dan tidak mendekati kondisi abnormal.</t>
  </si>
  <si>
    <t>PSM-E</t>
  </si>
  <si>
    <t>Alarm &amp; Protection</t>
  </si>
  <si>
    <t>Memastikan alarm, interlock, protection, dan safeguard proses tersedia, aktif, dan dipahami.</t>
  </si>
  <si>
    <t>PSM-F</t>
  </si>
  <si>
    <t>Management of Change / MOC</t>
  </si>
  <si>
    <t>Memastikan perubahan proses/peralatan/prosedur sudah dinilai, disetujui, dan dikomunikasikan.</t>
  </si>
  <si>
    <t>PSM-G</t>
  </si>
  <si>
    <t>Operating Discipline</t>
  </si>
  <si>
    <t>Memastikan tidak ada procedural drift atau shortcut yang melemahkan barrier proses.</t>
  </si>
  <si>
    <t>PSM-H</t>
  </si>
  <si>
    <t>Process Status Communication</t>
  </si>
  <si>
    <t>Memastikan status proses, abnormal condition, dan risiko proses dikomunikasikan saat handover/briefing.</t>
  </si>
  <si>
    <t>AIM</t>
  </si>
  <si>
    <t>Asset Integrity Management</t>
  </si>
  <si>
    <t>AIM-A</t>
  </si>
  <si>
    <t>Asset &amp; SECE Identification</t>
  </si>
  <si>
    <t>Memastikan asset, fixed structure, dan SECE yang terkait MAH sudah dikenali.</t>
  </si>
  <si>
    <t>AIM-B</t>
  </si>
  <si>
    <t>Asset Integrity Assurance</t>
  </si>
  <si>
    <t>Memastikan asset masih fit for service dan memenuhi performance standard.</t>
  </si>
  <si>
    <t>AIM-C</t>
  </si>
  <si>
    <t>Degradation Management</t>
  </si>
  <si>
    <t>Memastikan mekanisme degradasi seperti corrosion, erosion, fatigue, vibration, sand, H2S/CO2 dimonitor dan dikendalikan.</t>
  </si>
  <si>
    <t>AIM-D</t>
  </si>
  <si>
    <t>Integrity Finding Closure</t>
  </si>
  <si>
    <t>Memastikan temuan inspeksi/integrity finding diprioritaskan, ditindaklanjuti, dan ditutup tepat waktu.</t>
  </si>
  <si>
    <t>AIM-E</t>
  </si>
  <si>
    <t>Impairment Management</t>
  </si>
  <si>
    <t>Memastikan impairment pada barrier/SECE diidentifikasi, disetujui, dikomunikasikan, dan ada compensating safeguard.</t>
  </si>
  <si>
    <t>AIM-F</t>
  </si>
  <si>
    <t>Competency &amp; Ownership</t>
  </si>
  <si>
    <t>Memastikan personel memahami fungsi kritikal asset/SECE dan konsekuensi bila gagal.</t>
  </si>
  <si>
    <t>AIM-G</t>
  </si>
  <si>
    <t>Change in Operating Condition</t>
  </si>
  <si>
    <t>Memastikan perubahan tekanan, temperatur, flow, fluid composition, H2S/CO2, water cut, cycling, dan mode operasi tidak melemahkan asset integrity.</t>
  </si>
  <si>
    <t>AIM-H</t>
  </si>
  <si>
    <t>Integrity Leadership / SWA</t>
  </si>
  <si>
    <t>Memastikan pekerja berani stop work bila integritas asset atau barrier diragukan.</t>
  </si>
  <si>
    <t>HA</t>
  </si>
  <si>
    <t>Hazard Analysis</t>
  </si>
  <si>
    <t>HA-A</t>
  </si>
  <si>
    <t>Hazard Analysis Reflects Hazard Potential</t>
  </si>
  <si>
    <t>Memastikan hazard analysis sesuai tingkat bahaya pekerjaan: PPHA/JSA/verbal JSA sesuai hazard potential.</t>
  </si>
  <si>
    <t>HA-B</t>
  </si>
  <si>
    <t>SIF Potential Identified</t>
  </si>
  <si>
    <t>Memastikan potensi cedera serius/fatal sudah diidentifikasi dan terdokumentasi.</t>
  </si>
  <si>
    <t>HA-C</t>
  </si>
  <si>
    <t>Critical Steps Identified</t>
  </si>
  <si>
    <t>Memastikan langkah kritikal yang harus memicu stop work sudah ditentukan dan dikomunikasikan.</t>
  </si>
  <si>
    <t>HA-D</t>
  </si>
  <si>
    <t>Safeguards Implemented</t>
  </si>
  <si>
    <t>Memastikan safeguard yang tertulis di JSA/PPHA benar-benar sudah dipasang sebelum/saat pekerjaan.</t>
  </si>
  <si>
    <t>HA-E</t>
  </si>
  <si>
    <t>Safeguards Verified</t>
  </si>
  <si>
    <t>Memastikan ada personel yang ditugaskan melakukan verifikasi safeguard sebelum pekerjaan dimulai.</t>
  </si>
  <si>
    <t>HA-F</t>
  </si>
  <si>
    <t>Hazard Analysis Communicated</t>
  </si>
  <si>
    <t>Memastikan hazard analysis dikomunikasikan kepada seluruh pekerja terdampak, termasuk pekerja yang datang setelah toolbox.</t>
  </si>
  <si>
    <t>BCP</t>
  </si>
  <si>
    <t>Bypassing Critical Protection</t>
  </si>
  <si>
    <t>BCP-A</t>
  </si>
  <si>
    <t>Additional Safeguard</t>
  </si>
  <si>
    <t>Memastikan minimal satu safeguard tambahan tersedia saat critical protection di-bypass.</t>
  </si>
  <si>
    <t>BCP-B</t>
  </si>
  <si>
    <t>No Abnormal / Upset Condition</t>
  </si>
  <si>
    <t>Memastikan bypass tidak dilakukan saat sistem dalam kondisi abnormal/upset.</t>
  </si>
  <si>
    <t>BCP-C</t>
  </si>
  <si>
    <t>Visible Bypass Identification</t>
  </si>
  <si>
    <t>Memastikan perangkat yang di-bypass mudah dikenali dengan tag/flag/kode/kunci bypass.</t>
  </si>
  <si>
    <t>BCP-D</t>
  </si>
  <si>
    <t>Bypass Hazard Analysis</t>
  </si>
  <si>
    <t>Memastikan analisis bahaya bypass/inhibit/override sudah dibuat dan dikomunikasikan.</t>
  </si>
  <si>
    <t>BCP-E</t>
  </si>
  <si>
    <t>Authorization Level</t>
  </si>
  <si>
    <t>Memastikan bypass mendapat approval/otorisasi sesuai level risiko.</t>
  </si>
  <si>
    <t>BCP-F</t>
  </si>
  <si>
    <t>Monitoring Process &amp; Frequency</t>
  </si>
  <si>
    <t>Memastikan proses dan frekuensi monitoring critical protection yang di-bypass sudah ditentukan.</t>
  </si>
  <si>
    <t>BCP-G</t>
  </si>
  <si>
    <t>MOC if &gt;72 Hours</t>
  </si>
  <si>
    <t>Memastikan bypass lebih dari 72 jam sudah dilengkapi MOC yang disetujui.</t>
  </si>
  <si>
    <t>BCP-H</t>
  </si>
  <si>
    <t>Stop-Work Conditions</t>
  </si>
  <si>
    <t>Memastikan pekerja tahu kondisi wajib stop work saat bypass berlangsung.</t>
  </si>
  <si>
    <t>BCP-I</t>
  </si>
  <si>
    <t>Bypass Register Shift Review</t>
  </si>
  <si>
    <t>Memastikan bypass register direview dan ditandatangani saat shift handover.</t>
  </si>
  <si>
    <t>PGD</t>
  </si>
  <si>
    <t>Portable Gas Detection / Gas Testing</t>
  </si>
  <si>
    <t>PGD-A</t>
  </si>
  <si>
    <t>Activity Requires Gas Testing</t>
  </si>
  <si>
    <t>Memastikan aktivitas yang membutuhkan gas testing sudah dikenali.</t>
  </si>
  <si>
    <t>PGD-B</t>
  </si>
  <si>
    <t>Gas Testing Sequence</t>
  </si>
  <si>
    <t>Memastikan urutan pengujian gas benar: O2 -&gt; flammable/LEL -&gt; toxic gas.</t>
  </si>
  <si>
    <t>PGD-C</t>
  </si>
  <si>
    <t>Acceptable Atmospheric Limits</t>
  </si>
  <si>
    <t>Memastikan hasil gas test berada dalam batas aman: O2, LEL, H2S, benzene/toxic gas.</t>
  </si>
  <si>
    <t>PGD-D</t>
  </si>
  <si>
    <t>Stop Work &amp; Permit Revalidation</t>
  </si>
  <si>
    <t>Memastikan pekerja tahu kondisi yang mewajibkan stop work dan revalidasi permit.</t>
  </si>
  <si>
    <t>PGD-E</t>
  </si>
  <si>
    <t>Action if Gas Exceeds Limit</t>
  </si>
  <si>
    <t>Memastikan tindakan saat gas melebihi batas dilakukan: stop, evakuasi, mitigasi, retest, revalidate.</t>
  </si>
  <si>
    <t>PGD-F</t>
  </si>
  <si>
    <t>Detector Worn in Breathing Zone</t>
  </si>
  <si>
    <t>Memastikan personal gas detector dipakai di breathing zone.</t>
  </si>
  <si>
    <t>PGD-G</t>
  </si>
  <si>
    <t>Detector Specification &amp; Alarm</t>
  </si>
  <si>
    <t>Memastikan detector sesuai lingkungan, mampu membaca gas target, alarm audible/visual berfungsi, set point benar.</t>
  </si>
  <si>
    <t>PGD-H</t>
  </si>
  <si>
    <t>Follow-up Gas Testing</t>
  </si>
  <si>
    <t>Memastikan gas testing lanjutan dilakukan saat break &gt;30 menit, shift change, atau kondisi berubah.</t>
  </si>
  <si>
    <t>PGD-I</t>
  </si>
  <si>
    <t>Detector Condition Verification</t>
  </si>
  <si>
    <t>Memastikan visual inspection, function/bump test, dan calibration terdokumentasi.</t>
  </si>
  <si>
    <t>ESW</t>
  </si>
  <si>
    <t>Electrical Safe Work</t>
  </si>
  <si>
    <t>ESW-A</t>
  </si>
  <si>
    <t>Electrical Work &amp; Electrical Hazards</t>
  </si>
  <si>
    <t>Memastikan pekerjaan termasuk electrical work dan bahaya shock, arc flash, arc blast, fire ignition dikenali.</t>
  </si>
  <si>
    <t>ESW-B</t>
  </si>
  <si>
    <t>Electrical Safe Work Standard</t>
  </si>
  <si>
    <t>Memastikan pekerjaan listrik mengikuti standar: de-energize, isolate, hazardous area control, dan qualified person.</t>
  </si>
  <si>
    <t>ESW-C</t>
  </si>
  <si>
    <t>Roles &amp; Responsibilities</t>
  </si>
  <si>
    <t>Memastikan Qualified Electrical Person, Authorized Person, Electrical Standby Person memahami perannya.</t>
  </si>
  <si>
    <t>ESW-D</t>
  </si>
  <si>
    <t>Electrically Safe Work Condition</t>
  </si>
  <si>
    <t>Memastikan sistem &gt;50 V sudah de-energized, LOTO, absence of voltage tested, dan grounded bila perlu.</t>
  </si>
  <si>
    <t>ESW-E</t>
  </si>
  <si>
    <t>Voltage Testing Procedure</t>
  </si>
  <si>
    <t>Memastikan voltage testing dilakukan dengan PPE, instrument rated/calibrated, live-dead-live test, dan safe work area.</t>
  </si>
  <si>
    <t>ESW-F</t>
  </si>
  <si>
    <t>Energized Electrical Work Permit / EEWP</t>
  </si>
  <si>
    <t>Memastikan EEWP dipakai bila pekerjaan energized melibatkan physical work dalam boundary.</t>
  </si>
  <si>
    <t>ESW-G</t>
  </si>
  <si>
    <t>Stop Work / Permit Revalidation</t>
  </si>
  <si>
    <t>Memastikan pekerja tahu kondisi yang mewajibkan stop work dan permit revalidation.</t>
  </si>
  <si>
    <t>ESW-H</t>
  </si>
  <si>
    <t>Special / Insulated Tools</t>
  </si>
  <si>
    <t>Memastikan insulated tools sesuai rating, disimpan baik, diinspeksi, dan live line tools diuji periodik.</t>
  </si>
  <si>
    <t>ESW-I</t>
  </si>
  <si>
    <t>Electrical Work Zone Classification</t>
  </si>
  <si>
    <t>Memastikan prohibited, restricted, limited approach boundary dipahami dan diterapkan.</t>
  </si>
  <si>
    <t>ESW-J</t>
  </si>
  <si>
    <t>GFCI / RCD Protection</t>
  </si>
  <si>
    <t>Memastikan generator portable/vehicle mounted dilengkapi GFCI/RCD untuk perlindungan dari electric shock.</t>
  </si>
  <si>
    <t>SIMOPS</t>
  </si>
  <si>
    <t>Simultaneous Operations</t>
  </si>
  <si>
    <t>SIMOPS-A</t>
  </si>
  <si>
    <t>SimOps Plan Requirement</t>
  </si>
  <si>
    <t>Memastikan aktivitas termasuk SimOps dan sudah dilengkapi SimOps Plan.</t>
  </si>
  <si>
    <t>SIMOPS-B</t>
  </si>
  <si>
    <t>Role &amp; Communication</t>
  </si>
  <si>
    <t>Memastikan setiap pihak memahami perannya dan communication plan dalam SimOps.</t>
  </si>
  <si>
    <t>SIMOPS-C</t>
  </si>
  <si>
    <t>Concurrent Work Hazards</t>
  </si>
  <si>
    <t>Memastikan bahaya dari pekerjaan simultan antar fungsi sudah diidentifikasi dan dimitigasi.</t>
  </si>
  <si>
    <t>SIMOPS-D</t>
  </si>
  <si>
    <t>Change Management</t>
  </si>
  <si>
    <t>Memastikan perubahan terhadap SimOps Plan dihentikan, dinilai ulang, dimitigasi, direvalidasi, dan dikomunikasikan.</t>
  </si>
  <si>
    <t>SIMOPS-E</t>
  </si>
  <si>
    <t>Communication to Workforce &amp; Affected Parties</t>
  </si>
  <si>
    <t>Memastikan SimOps dikomunikasikan kepada seluruh pekerja dan pihak terdampak, termasuk pihak ketiga.</t>
  </si>
  <si>
    <t>SIMOPS-F</t>
  </si>
  <si>
    <t>Memastikan pekerja tahu kondisi wajib stop work: scope berubah, incident, atau near miss.</t>
  </si>
  <si>
    <t>DRIFT CLASSIFICATION TABLE</t>
  </si>
  <si>
    <t>COMPLETE HUMAN PERFORMANCE TOOLS</t>
  </si>
  <si>
    <t>ERROR TRAPS CLASSIFICATION TABLE</t>
  </si>
  <si>
    <t>(Human Performance / HOP / HPI / Nuclear / Oil &amp; Gas Best Practices)</t>
  </si>
  <si>
    <t>DRIFT Level 1</t>
  </si>
  <si>
    <t>Dift.Codes</t>
  </si>
  <si>
    <t>REFERENSI KONSEP, berikut merupakan kombinasi praktik terbaik dari:</t>
  </si>
  <si>
    <t>(Human Performance / HOP / HPI Recommended Error Traps)</t>
  </si>
  <si>
    <t>Drift.1</t>
  </si>
  <si>
    <t>1. U.S. Department of Energy</t>
  </si>
  <si>
    <t>Error Traps Level 1</t>
  </si>
  <si>
    <t>ErrorTrap Codes</t>
  </si>
  <si>
    <t>Drift.2</t>
  </si>
  <si>
    <t>2. International Atomic Energy Agency</t>
  </si>
  <si>
    <t>ErrorTrap.1</t>
  </si>
  <si>
    <t>Drift.3</t>
  </si>
  <si>
    <t>3. Institute of Nuclear Power Operations</t>
  </si>
  <si>
    <t>Organizational Factor</t>
  </si>
  <si>
    <t>ErrorTrap.2</t>
  </si>
  <si>
    <t>Drift.4</t>
  </si>
  <si>
    <t>4. Energy Institute</t>
  </si>
  <si>
    <t>Task Demands</t>
  </si>
  <si>
    <t>ErrorTrap.3</t>
  </si>
  <si>
    <t>Drift.5</t>
  </si>
  <si>
    <t>5. IOGP</t>
  </si>
  <si>
    <t>Work Environment</t>
  </si>
  <si>
    <t>ErrorTrap.4</t>
  </si>
  <si>
    <t>Drift.6</t>
  </si>
  <si>
    <t>6. Human and Organizational Performance</t>
  </si>
  <si>
    <t>Drift.7</t>
  </si>
  <si>
    <t>Drift.8</t>
  </si>
  <si>
    <t>TABEL HUMAN PERFORMANCE TOOLS</t>
  </si>
  <si>
    <t>Drift.9</t>
  </si>
  <si>
    <t>Drift.10</t>
  </si>
  <si>
    <t>HUMAN PERFORMANCE TOOL</t>
  </si>
  <si>
    <t>TUJUAN</t>
  </si>
  <si>
    <t>KAPAN DIGUNAKAN</t>
  </si>
  <si>
    <t>CARA PAKAI / IMPLEMENTASI</t>
  </si>
  <si>
    <t>ERROR TRAP CATEGORY</t>
  </si>
  <si>
    <t>ERROR TRAP</t>
  </si>
  <si>
    <t>PENJELASAN</t>
  </si>
  <si>
    <t>Pre-Job Brief</t>
  </si>
  <si>
    <t>Stress</t>
  </si>
  <si>
    <t>Kondisi mental atau emosional mempengaruhi fokus dan pengambilan keputusan.</t>
  </si>
  <si>
    <t>DRIFT Level 2</t>
  </si>
  <si>
    <t>Drift.L2.Codes</t>
  </si>
  <si>
    <t>PENJELASAN DETAIL</t>
  </si>
  <si>
    <t>Toolbox Meeting</t>
  </si>
  <si>
    <t>Menyamakan pemahaman harian</t>
  </si>
  <si>
    <t>Awal shift atau sebelum pekerjaan</t>
  </si>
  <si>
    <t>Fokus pada hazard aktual dan perubahan kondisi, bukan hanya membaca dokumen.</t>
  </si>
  <si>
    <t>Fatigue</t>
  </si>
  <si>
    <t>Kelelahan fisik atau mental menurunkan kewaspadaan dan performa kerja.</t>
  </si>
  <si>
    <t>Procedural_Drift</t>
  </si>
  <si>
    <t>DriftL2.1</t>
  </si>
  <si>
    <t>Langkah kerja penting dilewati sebagian atau seluruhnya saat pekerjaan dilakukan.</t>
  </si>
  <si>
    <t>Stop Work Authority (SWA)</t>
  </si>
  <si>
    <t>Menghentikan pekerjaan saat kondisi tidak aman</t>
  </si>
  <si>
    <t>Saat hazard baru muncul atau safeguard gagal</t>
  </si>
  <si>
    <t>Semua pekerja berhak menghentikan pekerjaan tanpa takut punishment.</t>
  </si>
  <si>
    <t>Distraction</t>
  </si>
  <si>
    <t>Gangguan perhatian menyebabkan fokus pekerjaan terganggu.</t>
  </si>
  <si>
    <t>DriftL2.2</t>
  </si>
  <si>
    <t>Procedure not detailed atau Prosedur kerja disederhanakan tanpa evaluasi risiko formal.</t>
  </si>
  <si>
    <t>Fitness for Duty</t>
  </si>
  <si>
    <t>Kondisi fisik/mental pekerja tidak optimal untuk melakukan pekerjaan dengan aman.</t>
  </si>
  <si>
    <t>Procedure not followed</t>
  </si>
  <si>
    <t>DriftL2.3</t>
  </si>
  <si>
    <t>Prosedur tersedia tetapi implementasi aktual berbeda dari requirement.</t>
  </si>
  <si>
    <t>Take a Minute / STAR (Stop-Think-Act-Review)</t>
  </si>
  <si>
    <t>Mengurangi automatic behavior</t>
  </si>
  <si>
    <t>Sebelum langkah kritis</t>
  </si>
  <si>
    <t>Pause sejenak, pikirkan risiko, lakukan dengan sadar, lalu review hasil.</t>
  </si>
  <si>
    <t>Pekerja mulai menerima exposure risiko yang lebih tinggi sebagai hal normal.</t>
  </si>
  <si>
    <t>DriftL2.4</t>
  </si>
  <si>
    <t>Pekerja menggunakan metode kerja tidak resmi berdasarkan kebiasaan lapangan.</t>
  </si>
  <si>
    <t>Terlalu familiar dengan pekerjaan sehingga kewaspadaan menurun.</t>
  </si>
  <si>
    <t>Verification omitted</t>
  </si>
  <si>
    <t>DriftL2.5</t>
  </si>
  <si>
    <t>Tahapan verifikasi critical safeguard tidak dilakukan.</t>
  </si>
  <si>
    <t>Repeat Back</t>
  </si>
  <si>
    <t>Memastikan instruksi dipahami</t>
  </si>
  <si>
    <t>Komunikasi verbal</t>
  </si>
  <si>
    <t>Receiver mengulang instruksi penting dengan kata sendiri.</t>
  </si>
  <si>
    <t>Overconfidence</t>
  </si>
  <si>
    <t>Kepercayaan diri berlebihan terhadap pengalaman atau kemampuan sendiri.</t>
  </si>
  <si>
    <t>Revalidation not performed</t>
  </si>
  <si>
    <t>DriftL2.6</t>
  </si>
  <si>
    <t>Perubahan kondisi kerja tidak memicu review ulang permit/JSA/SWC.</t>
  </si>
  <si>
    <t>Speak, Point and Check</t>
  </si>
  <si>
    <t>Mengurangi salah identifikasi equipment/komponen</t>
  </si>
  <si>
    <t>Operasi valve, breaker, switch, isolasi, alignment equipment</t>
  </si>
  <si>
    <t>Sebut nama equipment, tunjuk fisik equipment, lalu verifikasi sebelum tindakan dilakukan.</t>
  </si>
  <si>
    <t>Change</t>
  </si>
  <si>
    <t>Perubahan kondisi, scope, equipment, atau proses tidak dikelola dengan baik.</t>
  </si>
  <si>
    <t>DriftL2.7</t>
  </si>
  <si>
    <t>Dokumentasi pekerjaan tidak lengkap tetapi pekerjaan tetap dilanjutkan.</t>
  </si>
  <si>
    <t>Peer Check</t>
  </si>
  <si>
    <t>Mendeteksi error sebelum terjadi</t>
  </si>
  <si>
    <t>Aktivitas kritis</t>
  </si>
  <si>
    <t>Rekan kerja memverifikasi tindakan/setting sebelum dieksekusi.</t>
  </si>
  <si>
    <t>Tekanan schedule atau target produksi mempengaruhi keputusan keselamatan.</t>
  </si>
  <si>
    <t>DriftL2.8</t>
  </si>
  <si>
    <t>Interpretasi prosedur berbeda antar personel atau departemen.</t>
  </si>
  <si>
    <t>Concurrent Verification</t>
  </si>
  <si>
    <t>Memastikan langkah kritis dilakukan benar</t>
  </si>
  <si>
    <t>Aktivitas SIF/high consequence</t>
  </si>
  <si>
    <t>Dua orang memverifikasi secara bersamaan dan independen.</t>
  </si>
  <si>
    <t>Training tidak cukup membangun pemahaman teknikal dan critical safeguards.</t>
  </si>
  <si>
    <t>Normalization_of_Deviation</t>
  </si>
  <si>
    <t>DriftL2.9</t>
  </si>
  <si>
    <t>Kondisi tidak aman mulai dianggap normal karena sering terjadi tanpa insiden.</t>
  </si>
  <si>
    <t>Independent Verification</t>
  </si>
  <si>
    <t>Menghindari confirmation bias</t>
  </si>
  <si>
    <t>Setelah pekerjaan selesai</t>
  </si>
  <si>
    <t>Orang kedua memeriksa hasil tanpa dipengaruhi pelaksana awal.</t>
  </si>
  <si>
    <t>Unclear Roles &amp; Responsibilities</t>
  </si>
  <si>
    <t>Peran dan tanggung jawab tidak dipahami dengan jelas.</t>
  </si>
  <si>
    <t>Shortcut normalized</t>
  </si>
  <si>
    <t>DriftL2.10</t>
  </si>
  <si>
    <t>Shortcut operasional menjadi praktik umum sehari-hari.</t>
  </si>
  <si>
    <t>Self-Checking</t>
  </si>
  <si>
    <t>Mengurangi human error individu</t>
  </si>
  <si>
    <t>Sebelum tindakan penting</t>
  </si>
  <si>
    <t>Gunakan STAR: Stop, Think, Act, Review.</t>
  </si>
  <si>
    <t>Organizational &amp; Peer Pressure</t>
  </si>
  <si>
    <t>Tekanan organisasi atau rekan kerja mempengaruhi perilaku aman.</t>
  </si>
  <si>
    <t>Barrier bypass tolerated</t>
  </si>
  <si>
    <t>DriftL2.11</t>
  </si>
  <si>
    <t>Pengabaian safeguard mulai diterima sebagai hal biasa.</t>
  </si>
  <si>
    <t>Procedure Use &amp; Adherence</t>
  </si>
  <si>
    <t>Memastikan pekerjaan sesuai prosedur</t>
  </si>
  <si>
    <t>Aktivitas proceduralized</t>
  </si>
  <si>
    <t>Ikuti prosedur step-by-step tanpa improvisasi tidak resmi.</t>
  </si>
  <si>
    <t>Poor Communication</t>
  </si>
  <si>
    <t>Komunikasi antar personel atau fungsi tidak efektif.</t>
  </si>
  <si>
    <t>DriftL2.12</t>
  </si>
  <si>
    <t>Solusi sementara digunakan terus menerus tanpa perbaikan permanen.</t>
  </si>
  <si>
    <t>Step by Step Place Keeping</t>
  </si>
  <si>
    <t>Menghindari kehilangan langkah kerja</t>
  </si>
  <si>
    <t>Prosedur panjang, kompleks, atau critical step</t>
  </si>
  <si>
    <t>Beri tanda/check mark setiap langkah yang selesai untuk memastikan tidak ada step terlewat.</t>
  </si>
  <si>
    <t>Perencanaan pekerjaan tidak mempertimbangkan seluruh hazard dan exposure.</t>
  </si>
  <si>
    <t>DriftL2.13</t>
  </si>
  <si>
    <t>Exposure terhadap hazard dianggap masih dapat diterima tanpa dasar engineering.</t>
  </si>
  <si>
    <t>Questioning Attitude</t>
  </si>
  <si>
    <t>Mengurangi assumption-based work</t>
  </si>
  <si>
    <t>Seluruh pekerjaan high risk</t>
  </si>
  <si>
    <t>Biasakan bertanya “Apa yang berubah?”, “Apa yang bisa salah?”.</t>
  </si>
  <si>
    <t>Prosedur atau instruksi kerja ambigu dan terbuka multi interpretasi.</t>
  </si>
  <si>
    <t>Skill_Based_Performance_Drift</t>
  </si>
  <si>
    <t>DriftL2.14</t>
  </si>
  <si>
    <t>Pekerja lebih mengandalkan pengalaman dibanding prosedur atau engineering review.</t>
  </si>
  <si>
    <t>Effective Communication</t>
  </si>
  <si>
    <t>Mengurangi misunderstanding</t>
  </si>
  <si>
    <t>Seluruh aktivitas tim</t>
  </si>
  <si>
    <t>Gunakan komunikasi jelas, singkat, spesifik, dan closed-loop.</t>
  </si>
  <si>
    <t>High Workload / Multitasking</t>
  </si>
  <si>
    <t>Beban kerja tinggi menyebabkan kehilangan fokus atau prioritas.</t>
  </si>
  <si>
    <t>Automatic behavior without verification</t>
  </si>
  <si>
    <t>DriftL2.15</t>
  </si>
  <si>
    <t>Aktivitas dilakukan otomatis tanpa pause dan validasi kondisi aktual.</t>
  </si>
  <si>
    <t>Error Likely Situations Review</t>
  </si>
  <si>
    <t>Mengenali error traps</t>
  </si>
  <si>
    <t>Sebelum pekerjaan</t>
  </si>
  <si>
    <t>Identifikasi fatigue, pressure, complexity, unfamiliar work, dll.</t>
  </si>
  <si>
    <t>Simultaneous Operations (SimOps)</t>
  </si>
  <si>
    <t>Banyak pekerjaan berlangsung bersamaan dan menciptakan conflict hazard.</t>
  </si>
  <si>
    <t>Assumption-based execution</t>
  </si>
  <si>
    <t>DriftL2.16</t>
  </si>
  <si>
    <t>Pekerjaan dilakukan berdasarkan asumsi bahwa kondisi aman.</t>
  </si>
  <si>
    <t>Critical Step Review</t>
  </si>
  <si>
    <t>Fokus pada langkah berisiko tinggi</t>
  </si>
  <si>
    <t>Diskusikan langkah yang dapat menyebabkan fatality/SIF jika gagal.</t>
  </si>
  <si>
    <t>Infrequent / First-Time Task</t>
  </si>
  <si>
    <t>Pekerjaan jarang dilakukan atau pertama kali dilakukan sehingga unfamiliar.</t>
  </si>
  <si>
    <t>DriftL2.17</t>
  </si>
  <si>
    <t>Kedekatan/familiaritas terhadap pekerjaan memicu pengurangan safeguard.</t>
  </si>
  <si>
    <t>Verification of Critical Safeguards</t>
  </si>
  <si>
    <t>Memastikan barrier efektif</t>
  </si>
  <si>
    <t>Sebelum mulai kerja</t>
  </si>
  <si>
    <t>Verifikasi physical safeguard, bukan hanya administrasi.</t>
  </si>
  <si>
    <t>Desain pekerjaan atau urutan kerja tidak mendukung pelaksanaan aman.</t>
  </si>
  <si>
    <t>Informal expertise replacing procedure</t>
  </si>
  <si>
    <t>DriftL2.18</t>
  </si>
  <si>
    <t>Pengalaman personal menggantikan penggunaan prosedur resmi.</t>
  </si>
  <si>
    <t>Time Out / Pause Point</t>
  </si>
  <si>
    <t>Mengurangi drift</t>
  </si>
  <si>
    <t>Saat kondisi berubah</t>
  </si>
  <si>
    <t>Pause dan reassess sebelum lanjut kerja.</t>
  </si>
  <si>
    <t>Operational Upset</t>
  </si>
  <si>
    <t>Kondisi operasi abnormal atau upset condition mempengaruhi stabilitas kerja.</t>
  </si>
  <si>
    <t>Reduced questioning attitude</t>
  </si>
  <si>
    <t>DriftL2.19</t>
  </si>
  <si>
    <t>Pekerja tidak lagi aktif mempertanyakan potensi bahaya atau perubahan kondisi.</t>
  </si>
  <si>
    <t>Situational Awareness</t>
  </si>
  <si>
    <t>Memahami kondisi aktual</t>
  </si>
  <si>
    <t>Selama pekerjaan</t>
  </si>
  <si>
    <t>Perhatikan perubahan kondisi, orang, alat, cuaca, SimOps, dll.</t>
  </si>
  <si>
    <t>Label, tanda, atau display tidak jelas dan berpotensi menimbulkan salah identifikasi.</t>
  </si>
  <si>
    <t>Administrative_Compliance_Drift</t>
  </si>
  <si>
    <t>DriftL2.20</t>
  </si>
  <si>
    <t>Checklist hanya diparaf sebagai formalitas administratif.</t>
  </si>
  <si>
    <t>Operational Pause</t>
  </si>
  <si>
    <t>Mengendalikan abnormal condition</t>
  </si>
  <si>
    <t>Saat deviasi muncul</t>
  </si>
  <si>
    <t>Hentikan sementara operasi untuk evaluasi risiko.</t>
  </si>
  <si>
    <t>Confusing System Feedback</t>
  </si>
  <si>
    <t>Indikasi sistem atau equipment membingungkan operator/pekerja.</t>
  </si>
  <si>
    <t>DriftL2.21</t>
  </si>
  <si>
    <t>SWC tidak digunakan sebagai critical thinking tool.</t>
  </si>
  <si>
    <t>Tools atau equipment yang dibutuhkan tidak tersedia atau terbatas.</t>
  </si>
  <si>
    <t>Permit signed without validation</t>
  </si>
  <si>
    <t>DriftL2.22</t>
  </si>
  <si>
    <t>Permit diparaf tanpa validasi lapangan yang memadai.</t>
  </si>
  <si>
    <t>Learning Team Discussion</t>
  </si>
  <si>
    <t>Mengidentifikasi systemic gap</t>
  </si>
  <si>
    <t>Setelah event/finding</t>
  </si>
  <si>
    <t>Diskusi tanpa blame untuk memahami why work drifted.</t>
  </si>
  <si>
    <t>Challenging Peer Interaction</t>
  </si>
  <si>
    <t>Hubungan interpersonal/tim kerja menyulitkan komunikasi efektif atau challenge culture.</t>
  </si>
  <si>
    <t>DriftL2.23</t>
  </si>
  <si>
    <t>Toolbox meeting hanya membaca dokumen tanpa diskusi teknikal mendalam.</t>
  </si>
  <si>
    <t>Coaching in the Field</t>
  </si>
  <si>
    <t>Meningkatkan critical thinking</t>
  </si>
  <si>
    <t>Saat observasi lapangan</t>
  </si>
  <si>
    <t>Gunakan pertanyaan terbuka, bukan policing atau audit style.</t>
  </si>
  <si>
    <t>DriftL2.24</t>
  </si>
  <si>
    <t>Fokus lebih besar pada kelengkapan dokumen dibanding efektivitas safeguard di lapangan.</t>
  </si>
  <si>
    <t>Positive Reinforcement</t>
  </si>
  <si>
    <t>Memperkuat perilaku aman</t>
  </si>
  <si>
    <t>Saat observasi</t>
  </si>
  <si>
    <t>Berikan apresiasi spesifik terhadap safeguard yang efektif.</t>
  </si>
  <si>
    <t>DriftL2.25</t>
  </si>
  <si>
    <t>Persetujuan diberikan tanpa memastikan critical safeguard efektif.</t>
  </si>
  <si>
    <t>Conservative Decision Making</t>
  </si>
  <si>
    <t>Menghindari risk normalization</t>
  </si>
  <si>
    <t>Saat uncertainty</t>
  </si>
  <si>
    <t>Pilih opsi paling aman ketika data tidak lengkap.</t>
  </si>
  <si>
    <t>Barrier_Management_Drift</t>
  </si>
  <si>
    <t>DriftL2.26</t>
  </si>
  <si>
    <t>Critical safeguard mulai kehilangan efektivitasnya.</t>
  </si>
  <si>
    <t>Stop When Unsure</t>
  </si>
  <si>
    <t>Mencegah assumption-based action</t>
  </si>
  <si>
    <t>Saat ragu</t>
  </si>
  <si>
    <t>Jangan lanjut sampai kondisi jelas dan tervalidasi.</t>
  </si>
  <si>
    <t>DriftL2.27</t>
  </si>
  <si>
    <t>Proses verifikasi safeguard tidak mampu mendeteksi kelemahan barrier.</t>
  </si>
  <si>
    <t>Human Error Precursors Review</t>
  </si>
  <si>
    <t>Mengenali faktor pemicu error</t>
  </si>
  <si>
    <t>Sebelum kerja</t>
  </si>
  <si>
    <t>Review fatigue, stress, pressure, distraction, dll.</t>
  </si>
  <si>
    <t>DriftL2.28</t>
  </si>
  <si>
    <t>Kesiapan rescue tidak lagi sesuai risiko aktual pekerjaan.</t>
  </si>
  <si>
    <t>Line of Fire Review</t>
  </si>
  <si>
    <t>Menghindari struck-by/crush injury</t>
  </si>
  <si>
    <t>Sebelum positioning</t>
  </si>
  <si>
    <t>Evaluasi jalur energi dan posisi tubuh terhadap hazard.</t>
  </si>
  <si>
    <t>DriftL2.29</t>
  </si>
  <si>
    <t>Verifikasi isolasi energi tidak dilakukan secara menyeluruh.</t>
  </si>
  <si>
    <t>Change Management Discussion</t>
  </si>
  <si>
    <t>Mengelola perubahan kondisi</t>
  </si>
  <si>
    <t>Saat scope berubah</t>
  </si>
  <si>
    <t>Review ulang hazard, JSA, permit, safeguard.</t>
  </si>
  <si>
    <t>DriftL2.30</t>
  </si>
  <si>
    <t>Safeguard engineering tidak digunakan atau dilewati.</t>
  </si>
  <si>
    <t>Dynamic Risk Assessment</t>
  </si>
  <si>
    <t>Mengelola risiko aktual</t>
  </si>
  <si>
    <t>Reassess risiko ketika kondisi berubah.</t>
  </si>
  <si>
    <t>DriftL2.31</t>
  </si>
  <si>
    <t>Temporary safeguard dipakai sebagai pengendalian utama.</t>
  </si>
  <si>
    <t>Cross Checking</t>
  </si>
  <si>
    <t>Mengurangi assumption</t>
  </si>
  <si>
    <t>Aktivitas kompleks</t>
  </si>
  <si>
    <t>Tim saling memvalidasi status pekerjaan dan kondisi.</t>
  </si>
  <si>
    <t>Communication_Drift</t>
  </si>
  <si>
    <t>DriftL2.32</t>
  </si>
  <si>
    <t>Informasi disampaikan berdasarkan asumsi tanpa konfirmasi dua arah.</t>
  </si>
  <si>
    <t>Task Observation</t>
  </si>
  <si>
    <t>Mendeteksi drift</t>
  </si>
  <si>
    <t>Observer fokus pada work-as-done vs work-as-imagined.</t>
  </si>
  <si>
    <t>Incomplete handover</t>
  </si>
  <si>
    <t>DriftL2.33</t>
  </si>
  <si>
    <t>Informasi penting tidak tersampaikan saat pergantian shift/personel.</t>
  </si>
  <si>
    <t>Barrier Verification</t>
  </si>
  <si>
    <t>Memastikan barrier benar-benar bekerja</t>
  </si>
  <si>
    <t>Sebelum exposure</t>
  </si>
  <si>
    <t>Validasi engineering control, isolation, rescue, gas testing, dll.</t>
  </si>
  <si>
    <t>Informal instruction used</t>
  </si>
  <si>
    <t>DriftL2.34</t>
  </si>
  <si>
    <t>Instruksi kerja diberikan informal tanpa validasi resmi.</t>
  </si>
  <si>
    <t>Human Performance Observation</t>
  </si>
  <si>
    <t>Mengidentifikasi drift &amp; latent condition</t>
  </si>
  <si>
    <t>Field verification</t>
  </si>
  <si>
    <t>Fokus pada behavior, system weakness, dan safeguard effectiveness.</t>
  </si>
  <si>
    <t>Weak escalation</t>
  </si>
  <si>
    <t>DriftL2.35</t>
  </si>
  <si>
    <t>Eskalasi hazard atau perubahan kondisi terlambat dilakukan.</t>
  </si>
  <si>
    <t>Risk Trigger Discussion</t>
  </si>
  <si>
    <t>Menentukan mandatory SWA trigger</t>
  </si>
  <si>
    <t>Pre-job brief</t>
  </si>
  <si>
    <t>Diskusikan kondisi apa yang wajib menghentikan pekerjaan.</t>
  </si>
  <si>
    <t>Ineffective toolbox discussion</t>
  </si>
  <si>
    <t>DriftL2.36</t>
  </si>
  <si>
    <t>Diskusi toolbox tidak efektif mengidentifikasi risiko aktual pekerjaan.</t>
  </si>
  <si>
    <t>Recovery Check</t>
  </si>
  <si>
    <t>Mengidentifikasi recovery opportunity</t>
  </si>
  <si>
    <t>Saat abnormality</t>
  </si>
  <si>
    <t>Identifikasi peluang mencegah escalation sebelum incident.</t>
  </si>
  <si>
    <t>Cross-functional communication gap</t>
  </si>
  <si>
    <t>DriftL2.37</t>
  </si>
  <si>
    <t>Koordinasi antar fungsi/departemen tidak efektif.</t>
  </si>
  <si>
    <t>Defenses-in-Depth Review</t>
  </si>
  <si>
    <t>Memastikan multiple barrier tersedia</t>
  </si>
  <si>
    <t>High risk work</t>
  </si>
  <si>
    <t>Verifikasi lebih dari satu safeguard tersedia.</t>
  </si>
  <si>
    <t>Risk_Assessment_Drift</t>
  </si>
  <si>
    <t>DriftL2.38</t>
  </si>
  <si>
    <t>Tingkat risiko diremehkan dibanding exposure aktual.</t>
  </si>
  <si>
    <t>Work Authorization Review</t>
  </si>
  <si>
    <t>Memastikan readiness</t>
  </si>
  <si>
    <t>Pastikan permit, isolasi, gas test, rescue plan valid.</t>
  </si>
  <si>
    <t>DriftL2.39</t>
  </si>
  <si>
    <t>Perubahan hazard selama pekerjaan tidak dianalisa ulang.</t>
  </si>
  <si>
    <t>Critical Thinking Pause</t>
  </si>
  <si>
    <t>Sebelum langkah penting</t>
  </si>
  <si>
    <t>Pause untuk mempertanyakan assumption dan exposure.</t>
  </si>
  <si>
    <t>New hazard not reassessed</t>
  </si>
  <si>
    <t>DriftL2.40</t>
  </si>
  <si>
    <t>Hazard baru ditemukan tetapi pekerjaan tetap dilanjutkan tanpa reassessment.</t>
  </si>
  <si>
    <t>Independent Questioning</t>
  </si>
  <si>
    <t>Mengurangi groupthink</t>
  </si>
  <si>
    <t>Saat review pekerjaan</t>
  </si>
  <si>
    <t>Dorong challenge dan perspektif berbeda.</t>
  </si>
  <si>
    <t>DriftL2.41</t>
  </si>
  <si>
    <t>JSA generic digunakan tanpa penyesuaian kondisi aktual.</t>
  </si>
  <si>
    <t>Visual Verification</t>
  </si>
  <si>
    <t>Mengurangi assumption visual</t>
  </si>
  <si>
    <t>Lihat langsung kondisi aktual, jangan hanya percaya dokumen.</t>
  </si>
  <si>
    <t>DriftL2.42</t>
  </si>
  <si>
    <t>Risiko engineering tidak dianalisa secara teknikal.</t>
  </si>
  <si>
    <t>Finger Pointing / Touch Verification</t>
  </si>
  <si>
    <t>Mengurangi wrong component manipulation</t>
  </si>
  <si>
    <t>Isolasi/operasi equipment</t>
  </si>
  <si>
    <t>Sentuh/tunjuk equipment sebelum tindakan dilakukan.</t>
  </si>
  <si>
    <t>DriftL2.43</t>
  </si>
  <si>
    <t>Konflik antar pekerjaan simultan tidak dipertimbangkan memadai.</t>
  </si>
  <si>
    <t>Procedure Walkdown</t>
  </si>
  <si>
    <t>Memastikan prosedur realistis</t>
  </si>
  <si>
    <t>Sebelum pekerjaan kompleks</t>
  </si>
  <si>
    <t>Bandingkan prosedur dengan kondisi lapangan aktual.</t>
  </si>
  <si>
    <t>Leadership_Drift</t>
  </si>
  <si>
    <t>DriftL2.44</t>
  </si>
  <si>
    <t>Pengawasan dilakukan berdasarkan asumsi bahwa pekerja sudah memahami risiko.</t>
  </si>
  <si>
    <t>Contingency Discussion</t>
  </si>
  <si>
    <t>Meningkatkan readiness</t>
  </si>
  <si>
    <t>Sebelum high risk work</t>
  </si>
  <si>
    <t>Diskusikan “what if something goes wrong?”.</t>
  </si>
  <si>
    <t>Weak field presence</t>
  </si>
  <si>
    <t>DriftL2.45</t>
  </si>
  <si>
    <t>Kehadiran supervisor di lapangan tidak memadai.</t>
  </si>
  <si>
    <t>Read-Do Verification</t>
  </si>
  <si>
    <t>Mengurangi memory error</t>
  </si>
  <si>
    <t>Aktivitas detail</t>
  </si>
  <si>
    <t>Baca langkah → lakukan → verifikasi.</t>
  </si>
  <si>
    <t>DriftL2.46</t>
  </si>
  <si>
    <t>Verifikasi dilakukan administratif tanpa pembuktian efektivitas di lapangan.</t>
  </si>
  <si>
    <t>Do-Confirm Verification</t>
  </si>
  <si>
    <t>Memastikan langkah selesai benar</t>
  </si>
  <si>
    <t>Setelah aktivitas</t>
  </si>
  <si>
    <t>Lakukan dulu → lalu verifikasi terhadap prosedur/checklist.</t>
  </si>
  <si>
    <t>Inadequate coaching</t>
  </si>
  <si>
    <t>DriftL2.47</t>
  </si>
  <si>
    <t>Coaching tidak cukup mendalam terhadap critical safeguards.</t>
  </si>
  <si>
    <t>Hold Point Verification</t>
  </si>
  <si>
    <t>Mengontrol langkah kritis</t>
  </si>
  <si>
    <t>Sebelum lanjut tahap berikut</t>
  </si>
  <si>
    <t>Tidak boleh lanjut tanpa approval/verifikasi tertentu.</t>
  </si>
  <si>
    <t>DriftL2.48</t>
  </si>
  <si>
    <t>Keputusan operasional dipengaruhi tekanan schedule/produksi.</t>
  </si>
  <si>
    <t>Crew Resource Management (CRM)</t>
  </si>
  <si>
    <t>Meningkatkan teamwork &amp; decision making</t>
  </si>
  <si>
    <t>Tim kerja kompleks</t>
  </si>
  <si>
    <t>Gunakan komunikasi aktif, challenge culture, dan shared awareness.</t>
  </si>
  <si>
    <t>Delayed intervention</t>
  </si>
  <si>
    <t>DriftL2.49</t>
  </si>
  <si>
    <t>Intervensi terhadap unsafe condition terlambat dilakukan.</t>
  </si>
  <si>
    <t>Error Recovery Discussion</t>
  </si>
  <si>
    <t>Mengurangi escalation</t>
  </si>
  <si>
    <t>Saat error terjadi</t>
  </si>
  <si>
    <t>Fokus recovery, bukan blame individual.</t>
  </si>
  <si>
    <t>Human_Performance_Tool_Drift</t>
  </si>
  <si>
    <t>DriftL2.50</t>
  </si>
  <si>
    <t>Stop Work Authority tidak digunakan saat trigger hazard muncul.</t>
  </si>
  <si>
    <t>Drift Awareness Discussion</t>
  </si>
  <si>
    <t>Mengidentifikasi deviasi normalisasi</t>
  </si>
  <si>
    <t>Saat coaching</t>
  </si>
  <si>
    <t>Diskusikan bagaimana pekerjaan mulai bergeser dari standard awal.</t>
  </si>
  <si>
    <t>Pre-job brief ineffective</t>
  </si>
  <si>
    <t>DriftL2.51</t>
  </si>
  <si>
    <t>Pre-job brief tidak membangun pemahaman risiko secara efektif.</t>
  </si>
  <si>
    <t>Work-as-Imagined vs Work-as-Done Review</t>
  </si>
  <si>
    <t>Memahami gap prosedur vs realita</t>
  </si>
  <si>
    <t>Operational learning</t>
  </si>
  <si>
    <t>Bandingkan prosedur tertulis dengan praktik aktual lapangan.</t>
  </si>
  <si>
    <t>Stop and think skipped</t>
  </si>
  <si>
    <t>DriftL2.52</t>
  </si>
  <si>
    <t>Pekerja tidak pause untuk mengevaluasi kondisi sebelum melanjutkan pekerjaan.</t>
  </si>
  <si>
    <t>High Risk Pause Point</t>
  </si>
  <si>
    <t>Mengurangi SIF exposure</t>
  </si>
  <si>
    <t>Sebelum langkah fatality exposure</t>
  </si>
  <si>
    <t>Pause formal untuk memastikan critical safeguards efektif.</t>
  </si>
  <si>
    <t>Peer check ineffective</t>
  </si>
  <si>
    <t>DriftL2.53</t>
  </si>
  <si>
    <t>Peer check tidak mampu mendeteksi kesalahan atau hazard.</t>
  </si>
  <si>
    <t>Mental Model Alignment</t>
  </si>
  <si>
    <t>Menyamakan pemahaman tim</t>
  </si>
  <si>
    <t>Pastikan semua orang memiliki pemahaman risiko yang sama.</t>
  </si>
  <si>
    <t>Place keeping not used</t>
  </si>
  <si>
    <t>DriftL2.54</t>
  </si>
  <si>
    <t>Langkah kerja tidak diverifikasi menggunakan place keeping/check marking.</t>
  </si>
  <si>
    <t>Error Trap Identification</t>
  </si>
  <si>
    <t>Mengenali kondisi rawan error</t>
  </si>
  <si>
    <t>Identifikasi fatigue, time pressure, unfamiliar work, dll.</t>
  </si>
  <si>
    <t>Questioning attitude weak</t>
  </si>
  <si>
    <t>DriftL2.55</t>
  </si>
  <si>
    <t>Pekerja tidak aktif mempertanyakan abnormal condition atau deviation.</t>
  </si>
  <si>
    <t>Safe Positioning Review</t>
  </si>
  <si>
    <t>Menghindari line of fire</t>
  </si>
  <si>
    <t>Sebelum eksekusi</t>
  </si>
  <si>
    <t>Pastikan posisi tubuh aman terhadap release energy.</t>
  </si>
  <si>
    <t>Engineering_or_Operating_Drift</t>
  </si>
  <si>
    <t>DriftL2.56</t>
  </si>
  <si>
    <t>Perhitungan free fall distance tidak dilakukan.</t>
  </si>
  <si>
    <t>Critical Communication Check</t>
  </si>
  <si>
    <t>Memastikan informasi penting diterima</t>
  </si>
  <si>
    <t>Gunakan repeat back dan confirmation.</t>
  </si>
  <si>
    <t>Incorrect anchorage selection</t>
  </si>
  <si>
    <t>DriftL2.57</t>
  </si>
  <si>
    <t>Anchorage point dipilih tanpa mempertimbangkan swing fall dan load rating.</t>
  </si>
  <si>
    <t>Resilience Review</t>
  </si>
  <si>
    <t>Mengukur kemampuan recovery</t>
  </si>
  <si>
    <t>Evaluasi kemampuan tim merespon abnormal condition.</t>
  </si>
  <si>
    <t>Isolation not positively verified</t>
  </si>
  <si>
    <t>DriftL2.58</t>
  </si>
  <si>
    <t>Isolasi tidak diverifikasi zero energy state secara fisik.</t>
  </si>
  <si>
    <t>Safety Conversation</t>
  </si>
  <si>
    <t>Membangun learning culture</t>
  </si>
  <si>
    <t>Field engagement</t>
  </si>
  <si>
    <t>Gunakan diskusi terbuka tanpa blame.</t>
  </si>
  <si>
    <t>DriftL2.59</t>
  </si>
  <si>
    <t>Equipment digunakan di luar batas desain normal.</t>
  </si>
  <si>
    <t>Learning From Normal Work</t>
  </si>
  <si>
    <t>Memahami successful work</t>
  </si>
  <si>
    <t>Observasi rutin</t>
  </si>
  <si>
    <t>Pelajari bagaimana pekerjaan sukses dilakukan setiap hari.</t>
  </si>
  <si>
    <t>DriftL2.60</t>
  </si>
  <si>
    <t>Kondisi tanah tidak dievaluasi ulang saat terjadi perubahan kondisi.</t>
  </si>
  <si>
    <t>Operational Learning Review</t>
  </si>
  <si>
    <t>Menangkap lesson learned</t>
  </si>
  <si>
    <t>Setelah observasi/event</t>
  </si>
  <si>
    <t>Fokus pada system learning, bukan individual blame.</t>
  </si>
  <si>
    <t>DriftL2.61</t>
  </si>
  <si>
    <t>Temporary modification dilakukan tanpa engineering review formal.</t>
  </si>
  <si>
    <t>Verification &amp; Validation (V&amp;V)</t>
  </si>
  <si>
    <t>Memastikan safeguard efektif dan dipahami</t>
  </si>
  <si>
    <t>Observasi, coaching, diskusi, dan validasi critical safeguard.</t>
  </si>
  <si>
    <t>Pre-Task Brief</t>
  </si>
  <si>
    <t>Memastikan seluruh personel memahami pekerjaan sebelum dimulai</t>
  </si>
  <si>
    <t>Sebelum pekerjaan dimulai</t>
  </si>
  <si>
    <t>Review scope pekerjaan, hazard, critical safeguard, SWA trigger, error traps, line of fire, rescue plan, dan role masing-masing personel sebelum bekerja.</t>
  </si>
  <si>
    <t>LATENT CONDITION CLASSIFICATION TABLE</t>
  </si>
  <si>
    <t>LATENT Level 1</t>
  </si>
  <si>
    <t>Latent.Codes</t>
  </si>
  <si>
    <t>Latent.1</t>
  </si>
  <si>
    <t>Latent.2</t>
  </si>
  <si>
    <t>Latent.3</t>
  </si>
  <si>
    <t>Latent.4</t>
  </si>
  <si>
    <t>Latent.5</t>
  </si>
  <si>
    <t>LEVEL 1</t>
  </si>
  <si>
    <t>LEVEL 2</t>
  </si>
  <si>
    <t>Latent.L2.Codes</t>
  </si>
  <si>
    <t>Latent2.1</t>
  </si>
  <si>
    <t>Personel tidak memahami aspek teknikal pekerjaan atau safeguard.</t>
  </si>
  <si>
    <t>Latent2.2</t>
  </si>
  <si>
    <t>Personel tidak mampu mengenali hazard aktual pekerjaan.</t>
  </si>
  <si>
    <t>Latent2.3</t>
  </si>
  <si>
    <t>Critical safeguard dipahami tidak sesuai intent engineering/safety.</t>
  </si>
  <si>
    <t>Latent2.4</t>
  </si>
  <si>
    <t>Pemahaman engineering consequence lemah.</t>
  </si>
  <si>
    <t>Latent2.5</t>
  </si>
  <si>
    <t>Kompetensi emergency response/rescue tidak memadai.</t>
  </si>
  <si>
    <t>Inadequate SWA understanding</t>
  </si>
  <si>
    <t>Latent2.6</t>
  </si>
  <si>
    <t>Trigger dan penggunaan SWA tidak dipahami baik.</t>
  </si>
  <si>
    <t>Latent2.7</t>
  </si>
  <si>
    <t>Requirement permit/PTW tidak dipahami secara teknikal.</t>
  </si>
  <si>
    <t>Latent2.8</t>
  </si>
  <si>
    <t>Filosofi dan implementasi isolasi energi tidak dipahami.</t>
  </si>
  <si>
    <t>Latent2.9</t>
  </si>
  <si>
    <t>Hierarchy of control WAH tidak dipahami.</t>
  </si>
  <si>
    <t>Inadequate SimOps understanding</t>
  </si>
  <si>
    <t>Latent2.10</t>
  </si>
  <si>
    <t>Risiko operasi simultan tidak dipahami.</t>
  </si>
  <si>
    <t>Latent2.11</t>
  </si>
  <si>
    <t>Materi training terlalu administratif dan tidak membangun critical thinking.</t>
  </si>
  <si>
    <t>Latent2.12</t>
  </si>
  <si>
    <t>Personel belum memiliki kompetensi atau sertifikasi sesuai risiko pekerjaan.</t>
  </si>
  <si>
    <t>Ambiguous procedure</t>
  </si>
  <si>
    <t>Latent2.13</t>
  </si>
  <si>
    <t>Prosedur terbuka terhadap berbagai interpretasi.</t>
  </si>
  <si>
    <t>Latent2.14</t>
  </si>
  <si>
    <t>Langkah kerja tidak dijelaskan detail dan sistematis.</t>
  </si>
  <si>
    <t>Latent2.15</t>
  </si>
  <si>
    <t>Dokumen lebih fokus compliance administratif dibanding risk control.</t>
  </si>
  <si>
    <t>Latent2.16</t>
  </si>
  <si>
    <t>Safeguard penting tidak tertulis jelas.</t>
  </si>
  <si>
    <t>Latent2.17</t>
  </si>
  <si>
    <t>Kriteria engineering atau acceptance criteria tidak tersedia.</t>
  </si>
  <si>
    <t>Latent2.18</t>
  </si>
  <si>
    <t>Visual/gambar tidak membantu pemahaman lapangan.</t>
  </si>
  <si>
    <t>Latent2.19</t>
  </si>
  <si>
    <t>Isi prosedur tidak konsisten antar dokumen.</t>
  </si>
  <si>
    <t>Latent2.20</t>
  </si>
  <si>
    <t>Prosedur sulit diterapkan di kondisi lapangan aktual.</t>
  </si>
  <si>
    <t>Latent2.21</t>
  </si>
  <si>
    <t>Requirement permit tidak dijelaskan spesifik.</t>
  </si>
  <si>
    <t>JSA quality weakness</t>
  </si>
  <si>
    <t>Latent2.22</t>
  </si>
  <si>
    <t>JSA tidak cukup mendalam atau terlalu generic.</t>
  </si>
  <si>
    <t>Latent2.23</t>
  </si>
  <si>
    <t>SWC tidak efektif membantu hazard recognition.</t>
  </si>
  <si>
    <t>Latent2.24</t>
  </si>
  <si>
    <t>Supervisor berasumsi pekerja sudah memahami risiko.</t>
  </si>
  <si>
    <t>Latent2.25</t>
  </si>
  <si>
    <t>Validasi lapangan tidak cukup mendalam.</t>
  </si>
  <si>
    <t>Latent2.26</t>
  </si>
  <si>
    <t>Coaching tidak fokus pada critical safeguards.</t>
  </si>
  <si>
    <t>Weak barrier ownership</t>
  </si>
  <si>
    <t>Latent2.27</t>
  </si>
  <si>
    <t>Ownership terhadap safeguard tidak jelas.</t>
  </si>
  <si>
    <t>Latent2.28</t>
  </si>
  <si>
    <t>Prioritas produksi mempengaruhi keputusan keselamatan.</t>
  </si>
  <si>
    <t>Inadequate accountability</t>
  </si>
  <si>
    <t>Latent2.29</t>
  </si>
  <si>
    <t>Akuntabilitas peran dan safeguard tidak jelas.</t>
  </si>
  <si>
    <t>Weak decision making</t>
  </si>
  <si>
    <t>Latent2.30</t>
  </si>
  <si>
    <t>Pengambilan keputusan tidak berbasis risiko.</t>
  </si>
  <si>
    <t>Weak field engagement</t>
  </si>
  <si>
    <t>Latent2.31</t>
  </si>
  <si>
    <t>Keterlibatan lapangan pimpinan rendah.</t>
  </si>
  <si>
    <t>Latent2.32</t>
  </si>
  <si>
    <t>Pengawasan teknikal tidak memadai.</t>
  </si>
  <si>
    <t>Latent2.33</t>
  </si>
  <si>
    <t>Hazard penting tidak teridentifikasi pada tahap planning.</t>
  </si>
  <si>
    <t>Weak engineering review</t>
  </si>
  <si>
    <t>Latent2.34</t>
  </si>
  <si>
    <t>Review engineering terhadap pekerjaan tidak cukup.</t>
  </si>
  <si>
    <t>Latent2.35</t>
  </si>
  <si>
    <t>Perencanaan pekerjaan tidak mempertimbangkan seluruh exposure.</t>
  </si>
  <si>
    <t>Simultaneous operation conflict</t>
  </si>
  <si>
    <t>Latent2.36</t>
  </si>
  <si>
    <t>Konflik pekerjaan simultan tidak dikendalikan.</t>
  </si>
  <si>
    <t>Latent2.37</t>
  </si>
  <si>
    <t>Contingency/rescue plan tidak memadai.</t>
  </si>
  <si>
    <t>Latent2.38</t>
  </si>
  <si>
    <t>Perhitungan fall distance tidak tersedia.</t>
  </si>
  <si>
    <t>Latent2.39</t>
  </si>
  <si>
    <t>Verifikasi utilitas bawah tanah tidak dilakukan memadai.</t>
  </si>
  <si>
    <t>Latent2.40</t>
  </si>
  <si>
    <t>Rescue plan belum dikembangkan sesuai risiko aktual.</t>
  </si>
  <si>
    <t>Latent2.41</t>
  </si>
  <si>
    <t>Perubahan kondisi lapangan tidak direview ulang.</t>
  </si>
  <si>
    <t>Latent2.42</t>
  </si>
  <si>
    <t>Safeguard engineering tidak cukup kuat.</t>
  </si>
  <si>
    <t>Poor equipment design</t>
  </si>
  <si>
    <t>Latent2.43</t>
  </si>
  <si>
    <t>Desain equipment menciptakan exposure tambahan.</t>
  </si>
  <si>
    <t>Latent2.44</t>
  </si>
  <si>
    <t>Konfigurasi anchorage menciptakan swing fall/impact hazard.</t>
  </si>
  <si>
    <t>Inadequate positive isolation</t>
  </si>
  <si>
    <t>Latent2.45</t>
  </si>
  <si>
    <t>Isolasi positif tidak tersedia atau tidak efektif.</t>
  </si>
  <si>
    <t>Latent2.46</t>
  </si>
  <si>
    <t>Barrier fisik tidak cukup melindungi pekerja.</t>
  </si>
  <si>
    <t>Latent2.47</t>
  </si>
  <si>
    <t>Keterbatasan equipment mempengaruhi keselamatan kerja.</t>
  </si>
  <si>
    <t>Inadequate ventilation design</t>
  </si>
  <si>
    <t>Latent2.48</t>
  </si>
  <si>
    <t>Sistem ventilasi tidak cukup menjaga atmosfer aman.</t>
  </si>
  <si>
    <t>Unsafe access/egress design</t>
  </si>
  <si>
    <t>Latent2.49</t>
  </si>
  <si>
    <t>Jalur akses/evakuasi tidak aman.</t>
  </si>
  <si>
    <t>Remarks</t>
  </si>
  <si>
    <t>Powered System / Isolation of Hazardous Energy</t>
  </si>
  <si>
    <t>L&amp;R</t>
  </si>
  <si>
    <t>Work at Height</t>
  </si>
  <si>
    <t>Ground Disturbance or Excavation</t>
  </si>
  <si>
    <t>WBA</t>
  </si>
  <si>
    <t>LT</t>
  </si>
  <si>
    <t>Land Transportation</t>
  </si>
  <si>
    <t>Bypass Critical Protection</t>
  </si>
  <si>
    <t>MVS-HE</t>
  </si>
  <si>
    <t>Motor Vehicle Safety - Heavy Equipment</t>
  </si>
  <si>
    <t>MVS-LV</t>
  </si>
  <si>
    <t>Motor Vehicle Safety - Light Vehicle</t>
  </si>
  <si>
    <t>Portable Gas Detection</t>
  </si>
  <si>
    <t>SimOps</t>
  </si>
  <si>
    <t>Protocol_Code</t>
  </si>
  <si>
    <t>Protocol_Name</t>
  </si>
  <si>
    <t>YES_Count</t>
  </si>
  <si>
    <t>NO_Count</t>
  </si>
  <si>
    <t>NA_Count</t>
  </si>
  <si>
    <t>Performance_%</t>
  </si>
  <si>
    <t>Metric_Code</t>
  </si>
  <si>
    <t>Metric_Name</t>
  </si>
  <si>
    <t>Numerator</t>
  </si>
  <si>
    <t>Denominator</t>
  </si>
  <si>
    <t>Score_%</t>
  </si>
  <si>
    <t>Target_%</t>
  </si>
  <si>
    <t>Status</t>
  </si>
  <si>
    <t>Notes</t>
  </si>
  <si>
    <t>PSEC</t>
  </si>
  <si>
    <t>Priority SIF Exposure Coverage</t>
  </si>
  <si>
    <t>CCVC</t>
  </si>
  <si>
    <t>Critical Control Verification Coverage</t>
  </si>
  <si>
    <t>PSIE</t>
  </si>
  <si>
    <t>Priority SIF Improvement Effectiveness</t>
  </si>
  <si>
    <t>Pending</t>
  </si>
  <si>
    <t>Awaiting approved improvement initiatives and re-verification</t>
  </si>
  <si>
    <t>CONF</t>
  </si>
  <si>
    <t>Regional 4 Conformance Score</t>
  </si>
  <si>
    <t>Current active sequence per Zona + Protocol | YES/(YES+NO)</t>
  </si>
  <si>
    <t>Fact_Name</t>
  </si>
  <si>
    <t>Fact_Value</t>
  </si>
  <si>
    <t>Total Observations Completed</t>
  </si>
  <si>
    <t>Unique Obs_ID</t>
  </si>
  <si>
    <t>Priority SIF Exposure Verified (PSEC)</t>
  </si>
  <si>
    <t>From Executive Measures</t>
  </si>
  <si>
    <t>Critical Safeguards Verified (CCVC)</t>
  </si>
  <si>
    <t>Unique applicable CCVC_ID</t>
  </si>
  <si>
    <t>Overall OBS-001 to latest Obs_ID | Total YES / (Total YES + Total NO)</t>
  </si>
  <si>
    <t>Zones Covered</t>
  </si>
  <si>
    <t>3 / 4</t>
  </si>
  <si>
    <t>Zona with observations</t>
  </si>
  <si>
    <t>Observation Period</t>
  </si>
  <si>
    <t>14 May 2026 – 09 Jul 2026</t>
  </si>
  <si>
    <t>Minimum–maximum observation date</t>
  </si>
  <si>
    <t>Sites / Locations Observed</t>
  </si>
  <si>
    <t>Unique Site</t>
  </si>
  <si>
    <t>Missing Zones</t>
  </si>
  <si>
    <t>Zona without observations</t>
  </si>
  <si>
    <t>CLSR_No</t>
  </si>
  <si>
    <t>CLSR_ID</t>
  </si>
  <si>
    <t>CLSR_Description</t>
  </si>
  <si>
    <t>Zona_11_Score</t>
  </si>
  <si>
    <t>Zona_11_Status</t>
  </si>
  <si>
    <t>Zona_12_Score</t>
  </si>
  <si>
    <t>Zona_12_Status</t>
  </si>
  <si>
    <t>Zona_13_Score</t>
  </si>
  <si>
    <t>Zona_13_Status</t>
  </si>
  <si>
    <t>Zona_14_Score</t>
  </si>
  <si>
    <t>Zona_14_Status</t>
  </si>
  <si>
    <t>Regional_4_Score</t>
  </si>
  <si>
    <t>Health_Status</t>
  </si>
  <si>
    <t>Dashboard Section 1 Definition</t>
  </si>
  <si>
    <t>Section 1 = cumulative CLSR × Zona conformance from INPUT-SIF_Questions</t>
  </si>
  <si>
    <t>Dot status: Effective &gt;=80%; Degraded 50%-&lt;80%; Failed &lt;50%; No Data = blank applicable denominator</t>
  </si>
  <si>
    <t>CLSR10</t>
  </si>
  <si>
    <t>Category</t>
  </si>
  <si>
    <t>Rank</t>
  </si>
  <si>
    <t>Item</t>
  </si>
  <si>
    <t>Count</t>
  </si>
  <si>
    <t>Percent</t>
  </si>
  <si>
    <t>Status_Color</t>
  </si>
  <si>
    <t>Source_Logic</t>
  </si>
  <si>
    <t>Top SIF Exposure</t>
  </si>
  <si>
    <t>Unique Obs_ID frequency by official CLSR/Protocol</t>
  </si>
  <si>
    <t>Top Critical Safeguard Gap</t>
  </si>
  <si>
    <t>Critical_Safeguard frequency where NO=1</t>
  </si>
  <si>
    <t>Top Recurring Drift</t>
  </si>
  <si>
    <t>Drift_Level_1 frequency | Active_Observation=Y</t>
  </si>
  <si>
    <t>Top Systemic Issue</t>
  </si>
  <si>
    <t>Latent_Level_1 frequency | Active_Observation=Y</t>
  </si>
  <si>
    <t>Month</t>
  </si>
  <si>
    <t>Cumulative_YES</t>
  </si>
  <si>
    <t>Cumulative_NO</t>
  </si>
  <si>
    <t>Cumulative_Applicable</t>
  </si>
  <si>
    <t>Observation_Count</t>
  </si>
  <si>
    <t>Current_YES</t>
  </si>
  <si>
    <t>Current_NO</t>
  </si>
  <si>
    <t>Current_Applicable</t>
  </si>
  <si>
    <t>Current_Conformance_%</t>
  </si>
  <si>
    <t>Active_Observations</t>
  </si>
  <si>
    <t>Rule</t>
  </si>
  <si>
    <t>Definition</t>
  </si>
  <si>
    <t>Active Observation</t>
  </si>
  <si>
    <t>Highest Observation_Sequence for each Zona + Protocol</t>
  </si>
  <si>
    <t>Replacement</t>
  </si>
  <si>
    <t>Sequence 2 replaces Sequence 1 in current conformance</t>
  </si>
  <si>
    <t>Optional audit trail</t>
  </si>
  <si>
    <t>Reference to improvement initiative master</t>
  </si>
  <si>
    <t>Initiative</t>
  </si>
  <si>
    <t>Related_CLSR</t>
  </si>
  <si>
    <t>V&amp;V_Team_Asset_Owner</t>
  </si>
  <si>
    <t>Progress_%</t>
  </si>
  <si>
    <t>Expected_Impact</t>
  </si>
  <si>
    <t>IMP-R4-001</t>
  </si>
  <si>
    <t>AI-assisted RA &amp; JSA</t>
  </si>
  <si>
    <t>JSA / Multi CLSR</t>
  </si>
  <si>
    <t>All Zona</t>
  </si>
  <si>
    <t>In Progress</t>
  </si>
  <si>
    <t>Improve JSA quality for BP company</t>
  </si>
  <si>
    <t>IMP-R4-002</t>
  </si>
  <si>
    <t>SWC Reinforcement: 10 CLSR Readiness Program</t>
  </si>
  <si>
    <t>Multi CLSR</t>
  </si>
  <si>
    <t>Based on target list</t>
  </si>
  <si>
    <t>IMP-R4-003</t>
  </si>
  <si>
    <t>Business Partner (BP) V&amp;V Coaching</t>
  </si>
  <si>
    <t>Selected BP companies</t>
  </si>
  <si>
    <t>IMP-IHE-Z13-001</t>
  </si>
  <si>
    <t>CLSR #5 Powered System: Individual LOTO Campaign</t>
  </si>
  <si>
    <t>HSSE Zona 13</t>
  </si>
  <si>
    <t>Reduce LOTO gaps</t>
  </si>
  <si>
    <t>Pilot</t>
  </si>
  <si>
    <t>IMP-WAH-Z11-001</t>
  </si>
  <si>
    <t>CLSR #7 WAH: Develop SOP for erection/dismantling scaffolding</t>
  </si>
  <si>
    <t>HSSE Zona 11</t>
  </si>
  <si>
    <t>Improve WAH safeguards</t>
  </si>
  <si>
    <t>IMP-WAH-Z11-002</t>
  </si>
  <si>
    <t>CLSR #7 WAH: Hierarchy of Control for Work at Height (WAH)</t>
  </si>
  <si>
    <t>IMP-R4-004</t>
  </si>
  <si>
    <t>Human Performance Tools (HPTs)</t>
  </si>
  <si>
    <t>Reduce Errors: Prevent individual mistakes during critical work steps.</t>
  </si>
  <si>
    <t>IMP-R4-005</t>
  </si>
  <si>
    <t>PJSM: Pre-Job Briefing &amp; Worksite Risk Review</t>
  </si>
  <si>
    <t>Selected PA: HP-Based PJSM</t>
  </si>
  <si>
    <t>Section</t>
  </si>
  <si>
    <t>Text</t>
  </si>
  <si>
    <t>Top SIF Exposure Note</t>
  </si>
  <si>
    <t>Work at Height (WAH) dan Confined Space Entry merupakan SIF exposures paling sering diobservasi.</t>
  </si>
  <si>
    <t>Critical Gaps Note</t>
  </si>
  <si>
    <t>Rescue Preparedness, Fall Protection, dan Engineering Safeguard merupakan gap tertinggi.</t>
  </si>
  <si>
    <t>Zona Attention Note</t>
  </si>
  <si>
    <t>Zona 11 memiliki skor terendah dan perlu penguatan kontrol/coaching.</t>
  </si>
  <si>
    <t>Focus Area Note</t>
  </si>
  <si>
    <t>Perkuat verifikasi critical safeguards dan tingkatkan kompetensi personel.</t>
  </si>
  <si>
    <t>Data Cutoff</t>
  </si>
  <si>
    <t>5 Juni 2026</t>
  </si>
  <si>
    <t>Description</t>
  </si>
  <si>
    <t>Purpose</t>
  </si>
  <si>
    <t>Master CCVC denominator library for SIFP dashboard.</t>
  </si>
  <si>
    <t>Definition PSEC</t>
  </si>
  <si>
    <t>PSEC = Priority SIF Exposure Coverage. One PSEC row represents one SIF Exposure / protocol.</t>
  </si>
  <si>
    <t>Definition CCVC</t>
  </si>
  <si>
    <t>CCVC = Critical Control Verification Coverage. In this workbook, one Question equals one Critical Control / Critical Safeguard.</t>
  </si>
  <si>
    <t>CCVC Formula</t>
  </si>
  <si>
    <t>CCVC = YES / (YES + NO) x 100%. N/A is excluded from denominator.</t>
  </si>
  <si>
    <t>Usage</t>
  </si>
  <si>
    <t>Use Master_CCVC as lookup table for dashboard database / Power BI / Excel dashboard.</t>
  </si>
  <si>
    <t>Important CLSR 10 Note</t>
  </si>
  <si>
    <t>For actual observation, choose CLSR10A for Light Vehicle or CLSR10B for Heavy Equipment. Do not combine both denominators in one observation unless both protocols are verified.</t>
  </si>
  <si>
    <t>Prepared</t>
  </si>
  <si>
    <t>Generated from SIFP Regional 4 protocol mapping discussion and accessible Google Drive protocol folder.</t>
  </si>
  <si>
    <t>YES or NO</t>
  </si>
  <si>
    <t>Y</t>
  </si>
  <si>
    <t>Dashboard conformance alignment</t>
  </si>
  <si>
    <t>Current/latest reporting month conformance; source ANALYZE-TREND_ZONE latest month with Applicable &gt; 0.</t>
  </si>
  <si>
    <t>CONF-YTD</t>
  </si>
  <si>
    <t>Cumulative YTD conformance across all observations; shown separately to avoid mixing with current-period dashboard card.</t>
  </si>
  <si>
    <t>Section 1</t>
  </si>
  <si>
    <t>CLSR × Zona cumulative health map; status follows &gt;=80% Effective, 50%-&lt;80% Degraded, &lt;50% Failed, blank denominator No Data.</t>
  </si>
  <si>
    <t>Final Conformance Metric Definition</t>
  </si>
  <si>
    <t>Regional 4 Conformance Score = Total YES / (Total YES + Total NO) across OBS-001 to latest Obs_ID.</t>
  </si>
  <si>
    <t>Monthly Trend</t>
  </si>
  <si>
    <t>Monthly conformance is used only in ANALYZE-TREND_ZONE / Dashboard Section 6 and must not replace CONF.</t>
  </si>
  <si>
    <t>CCVC denominator 77 is the critical safeguard coverage denominator and is independent from the total NO count used in conformance calculation.</t>
  </si>
  <si>
    <t>Engineering___Operating_Drift</t>
  </si>
  <si>
    <t>Planning___Risk_Assessment</t>
  </si>
  <si>
    <t>Source_Document</t>
  </si>
  <si>
    <t>Source_URL</t>
  </si>
  <si>
    <t>OBS-06 WAH Heat Exchanger CPP Gundih.docx</t>
  </si>
  <si>
    <t>https://docs.google.com/document/d/191M63Qyi0-yFj0eP-w-KkoYE49nCkqR9/edit</t>
  </si>
  <si>
    <t>Parsed from field verification data and SIF Prevention Question checkboxes.</t>
  </si>
  <si>
    <t>OBS-07-04062026-VnV_CSE SSB CPPG.docx</t>
  </si>
  <si>
    <t>https://docs.google.com/document/d/1H6g5dbuDX-6QUOikstLNrJb5o5tqlOZW/edit</t>
  </si>
  <si>
    <t>Parsed from field verification data and legacy checkbox defaults; CSE-F was not checked and entered as N/A.</t>
  </si>
  <si>
    <t>OBS-08-05062026-VnV_CSE Repair Tank T-0006.docx</t>
  </si>
  <si>
    <t>https://docs.google.com/document/d/1O6qlI1lvNB46xpF6QiHWC6qlNbBQRzq-/edit</t>
  </si>
  <si>
    <t>Parsed from field verification data and legacy checkbox defaults.</t>
  </si>
  <si>
    <t>OBS-09-11062026-VnV_Blasting Painting Inside Tank TK.docx</t>
  </si>
  <si>
    <t>https://docs.google.com/document/d/1VnEErElUGwKiOR9xkEzVtI1Xz0ai_p1S/edit</t>
  </si>
  <si>
    <t>OBS-10-WAH_SIKA_Steel Structure Erection HE CPPG.docx</t>
  </si>
  <si>
    <t>https://docs.google.com/document/d/1g6Pe-kSw7EGCDYFkm1uVG6PrFOIXMoWT/edit</t>
  </si>
  <si>
    <t>Observation_ID</t>
  </si>
  <si>
    <t>Source_File</t>
  </si>
  <si>
    <t>Score</t>
  </si>
  <si>
    <t>Answered_Questions</t>
  </si>
  <si>
    <t>OBS-013 GD or Excavation Road&amp;CablePipe Crossing JTB.docx</t>
  </si>
  <si>
    <t>OBS-014 WAH MEWP Robotic NDT Cepu JTB 6 Juli 2026.docx</t>
  </si>
  <si>
    <t>WaH</t>
  </si>
  <si>
    <t>OBS-015 WAH install and removal scaffolding JTB 6 Juli 2026.docx</t>
  </si>
  <si>
    <t>OBS-016 GdB Perluasan Klinik JTB 7 Juli 2026.docx</t>
  </si>
  <si>
    <t>OBS-017 CSE PM fin fan cooler 50%.docx</t>
  </si>
  <si>
    <t>OBS-018 IHE  PM fin fan cooler 85.7%.docx</t>
  </si>
  <si>
    <t>Isolation Hazardous Energy</t>
  </si>
  <si>
    <t>OBS-019 WaH PM fin fan cooler 33.333%.docx</t>
  </si>
  <si>
    <t>OBS-020 Line of Fire MEWP Robotic NDT Cepu JTB 6 Juli 2026 33.333%.docx</t>
  </si>
  <si>
    <t>OBS-021 Tools &amp; Equipment Replacing stud bolts 100%.docx</t>
  </si>
  <si>
    <t>OBS-22 HW PM Semi Annually MACP 75%.docx</t>
  </si>
  <si>
    <t>OBS-23 IHE PM 8000 HRS 420V9200 85.7%.docx</t>
  </si>
  <si>
    <t>Exposure_Name</t>
  </si>
  <si>
    <t>Source_Row</t>
  </si>
  <si>
    <t>Expected_CLSR</t>
  </si>
  <si>
    <t>Status_Count</t>
  </si>
  <si>
    <t>Protocol_CCVC_Check</t>
  </si>
  <si>
    <t>YES_NO_NA_Check</t>
  </si>
  <si>
    <t>Mandatory_Metadata_Check</t>
  </si>
  <si>
    <t>Overall_Status</t>
  </si>
  <si>
    <t>Control Check</t>
  </si>
  <si>
    <t>Expected Logic</t>
  </si>
  <si>
    <t>Result / Formula</t>
  </si>
  <si>
    <t>Current Conformance</t>
  </si>
  <si>
    <t>YES/(YES+NO), Active_Observation=Y</t>
  </si>
  <si>
    <t>Drift linkage</t>
  </si>
  <si>
    <t>Only active sequence counted</t>
  </si>
  <si>
    <t>Latent linkage</t>
  </si>
  <si>
    <t>Inactive SIF rows</t>
  </si>
  <si>
    <t>Sequence replaced by higher sequence</t>
  </si>
  <si>
    <t>PSIE reverification rows</t>
  </si>
  <si>
    <t>Sequence&gt;=2 and PSIE Eligible=Y</t>
  </si>
  <si>
    <t>Improvement IDs referenced</t>
  </si>
  <si>
    <t>Nonblank Improvement_ID in SIF input</t>
  </si>
  <si>
    <t>Actual_Cumulative_Conformance_%</t>
  </si>
  <si>
    <t>Trend_Cumulative_Conformance_%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</si>
</sst>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3809]d\ mmm\ yyyy;@"/>
    <numFmt numFmtId="165" formatCode="d\-mmm\-yy"/>
    <numFmt numFmtId="166" formatCode="dd\ mmm\ yyyy"/>
    <numFmt numFmtId="167" formatCode="d\-mmm"/>
    <numFmt numFmtId="168" formatCode="mmm\-yyyy"/>
    <numFmt numFmtId="169" formatCode="yyyy\-mm\-dd\ h:mm:ss"/>
  </numFmts>
  <fonts count="16" x14ac:knownFonts="1">
    <font>
      <sz val="11"/>
      <color theme="1"/>
      <name val="Calibri"/>
      <charset val="1"/>
    </font>
    <font>
      <sz val="11"/>
      <name val="Calibri"/>
      <charset val="1"/>
    </font>
    <font>
      <b/>
      <sz val="11"/>
      <name val="Calibri"/>
      <charset val="1"/>
    </font>
    <font>
      <b/>
      <sz val="11"/>
      <color theme="1"/>
      <name val="Calibri"/>
      <charset val="1"/>
    </font>
    <font>
      <b/>
      <sz val="11"/>
      <color theme="1"/>
      <name val="Calibri"/>
      <family val="2"/>
      <charset val="1"/>
    </font>
    <font>
      <b/>
      <sz val="11"/>
      <color rgb="FFFFFFFF"/>
      <name val="Cambria"/>
      <charset val="1"/>
    </font>
    <font>
      <b/>
      <sz val="11"/>
      <color rgb="FFFFFFFF"/>
      <name val="Calibri"/>
      <charset val="1"/>
    </font>
    <font>
      <b/>
      <sz val="11"/>
      <color rgb="FFFFFF00"/>
      <name val="Calibri"/>
      <charset val="1"/>
    </font>
    <font>
      <b/>
      <sz val="24"/>
      <color theme="1"/>
      <name val="Calibri"/>
      <charset val="1"/>
    </font>
    <font>
      <b/>
      <sz val="18"/>
      <color theme="1"/>
      <name val="Calibri"/>
      <charset val="1"/>
    </font>
    <font>
      <b/>
      <sz val="14"/>
      <color theme="1"/>
      <name val="Calibri"/>
      <charset val="1"/>
    </font>
    <font>
      <sz val="14"/>
      <color theme="1"/>
      <name val="Calibri"/>
      <charset val="1"/>
    </font>
    <font>
      <sz val="11"/>
      <color rgb="FFFF0000"/>
      <name val="Calibri"/>
      <charset val="1"/>
    </font>
    <font>
      <sz val="11"/>
      <color theme="0"/>
      <name val="Calibri"/>
      <charset val="1"/>
    </font>
    <font>
      <sz val="11"/>
      <color theme="1"/>
      <name val="Calibri"/>
      <family val="2"/>
      <charset val="1"/>
    </font>
    <font>
      <b/>
      <sz val="11"/>
      <color rgb="FFFF0000"/>
      <name val="Calibri"/>
      <family val="2"/>
    </font>
  </fonts>
  <fills count="11">
    <fill>
      <patternFill patternType="none"/>
    </fill>
    <fill>
      <patternFill patternType="gray125"/>
    </fill>
    <fill>
      <patternFill patternType="solid">
        <fgColor rgb="FFFFFF00"/>
        <bgColor rgb="FFFFFF00"/>
      </patternFill>
    </fill>
    <fill>
      <patternFill patternType="solid">
        <fgColor rgb="FF0B197D"/>
        <bgColor rgb="FF000080"/>
      </patternFill>
    </fill>
    <fill>
      <patternFill patternType="solid">
        <fgColor rgb="FF0B1F3A"/>
        <bgColor rgb="FF0B197D"/>
      </patternFill>
    </fill>
    <fill>
      <patternFill patternType="solid">
        <fgColor rgb="FFFF0000"/>
        <bgColor rgb="FF991B1B"/>
      </patternFill>
    </fill>
    <fill>
      <patternFill patternType="solid">
        <fgColor rgb="FF92D050"/>
        <bgColor rgb="FFC0C0C0"/>
      </patternFill>
    </fill>
    <fill>
      <patternFill patternType="solid">
        <fgColor rgb="FF00B0F0"/>
        <bgColor rgb="FF33CCCC"/>
      </patternFill>
    </fill>
    <fill>
      <patternFill patternType="solid">
        <fgColor rgb="FF7C2D12"/>
        <bgColor rgb="FF92400E"/>
      </patternFill>
    </fill>
    <fill>
      <patternFill patternType="solid">
        <fgColor rgb="FF0F766E"/>
        <bgColor rgb="FF166534"/>
      </patternFill>
    </fill>
    <fill>
      <patternFill patternType="solid">
        <fgColor rgb="FFFFFF00"/>
        <bgColor rgb="FF000080"/>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87">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2" borderId="0" xfId="0" applyFont="1" applyFill="1" applyAlignment="1">
      <alignment horizontal="center" vertical="center"/>
    </xf>
    <xf numFmtId="0" fontId="2" fillId="2" borderId="0" xfId="0" applyFont="1" applyFill="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left" vertical="center"/>
    </xf>
    <xf numFmtId="0" fontId="2" fillId="2" borderId="0" xfId="0" applyFont="1" applyFill="1" applyAlignment="1">
      <alignment horizontal="left" vertical="center"/>
    </xf>
    <xf numFmtId="0" fontId="3" fillId="0" borderId="0" xfId="0" applyFont="1" applyAlignment="1">
      <alignment horizontal="left" vertical="center"/>
    </xf>
    <xf numFmtId="0" fontId="3" fillId="0" borderId="0" xfId="0" applyFont="1" applyAlignment="1"/>
    <xf numFmtId="0" fontId="0" fillId="0" borderId="0" xfId="0" applyFon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Font="1" applyAlignment="1">
      <alignment horizontal="left" vertical="center" wrapText="1"/>
    </xf>
    <xf numFmtId="0" fontId="2" fillId="0" borderId="0" xfId="0" applyFont="1" applyAlignment="1"/>
    <xf numFmtId="0" fontId="2" fillId="2" borderId="0" xfId="0" applyFont="1" applyFill="1" applyAlignment="1"/>
    <xf numFmtId="0" fontId="2" fillId="0" borderId="0" xfId="0" applyFont="1" applyAlignment="1">
      <alignment horizontal="left" vertical="center" wrapText="1"/>
    </xf>
    <xf numFmtId="0" fontId="0" fillId="0" borderId="0" xfId="0" applyFont="1" applyAlignment="1"/>
    <xf numFmtId="0" fontId="0" fillId="0" borderId="0" xfId="0" applyFont="1" applyAlignment="1">
      <alignment vertical="top" wrapText="1"/>
    </xf>
    <xf numFmtId="0" fontId="0" fillId="0" borderId="0" xfId="0" applyAlignment="1">
      <alignment horizontal="center"/>
    </xf>
    <xf numFmtId="0" fontId="0" fillId="0" borderId="0" xfId="0" applyAlignment="1">
      <alignment horizontal="center" vertical="top" wrapText="1"/>
    </xf>
    <xf numFmtId="0" fontId="5" fillId="3" borderId="0" xfId="0" applyFont="1" applyFill="1" applyAlignment="1"/>
    <xf numFmtId="0" fontId="0" fillId="0" borderId="0" xfId="0" applyFont="1" applyAlignment="1">
      <alignment vertical="center" wrapText="1"/>
    </xf>
    <xf numFmtId="0" fontId="0" fillId="0" borderId="0" xfId="0" applyFont="1" applyAlignment="1">
      <alignment horizontal="left" vertical="top" wrapText="1"/>
    </xf>
    <xf numFmtId="0" fontId="0" fillId="0" borderId="0" xfId="0" applyAlignment="1">
      <alignment vertical="center"/>
    </xf>
    <xf numFmtId="0" fontId="2" fillId="2" borderId="0" xfId="0" applyFont="1" applyFill="1" applyAlignment="1">
      <alignment vertical="center"/>
    </xf>
    <xf numFmtId="0" fontId="2" fillId="2" borderId="0" xfId="0" applyFont="1" applyFill="1" applyAlignment="1">
      <alignment vertical="center" wrapText="1"/>
    </xf>
    <xf numFmtId="0" fontId="2" fillId="0" borderId="0" xfId="0" applyFont="1" applyAlignment="1">
      <alignment vertical="center"/>
    </xf>
    <xf numFmtId="0" fontId="0" fillId="0" borderId="0" xfId="0" applyFont="1" applyAlignment="1">
      <alignment vertical="center"/>
    </xf>
    <xf numFmtId="0" fontId="0"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vertical="center"/>
    </xf>
    <xf numFmtId="0" fontId="6" fillId="4" borderId="0" xfId="0" applyFont="1" applyFill="1" applyAlignment="1">
      <alignment horizontal="center" vertical="center" wrapText="1"/>
    </xf>
    <xf numFmtId="0" fontId="7" fillId="5" borderId="0" xfId="0" applyFont="1" applyFill="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8" fillId="0" borderId="0" xfId="0" applyFont="1" applyAlignment="1">
      <alignment vertical="center"/>
    </xf>
    <xf numFmtId="0" fontId="9" fillId="0" borderId="0" xfId="0" applyFont="1" applyAlignment="1">
      <alignment vertical="center"/>
    </xf>
    <xf numFmtId="0" fontId="3" fillId="0" borderId="1" xfId="0" applyFont="1" applyBorder="1" applyAlignment="1">
      <alignment horizontal="left" vertical="center"/>
    </xf>
    <xf numFmtId="0" fontId="10" fillId="0" borderId="0" xfId="0" applyFont="1" applyAlignment="1">
      <alignment vertical="center"/>
    </xf>
    <xf numFmtId="0" fontId="11" fillId="0" borderId="0" xfId="0" applyFont="1" applyAlignment="1">
      <alignment vertical="center"/>
    </xf>
    <xf numFmtId="0" fontId="0" fillId="0" borderId="1" xfId="0" applyFont="1" applyBorder="1" applyAlignment="1">
      <alignment horizontal="left" vertical="center"/>
    </xf>
    <xf numFmtId="0" fontId="3" fillId="0" borderId="0" xfId="0" applyFont="1" applyAlignment="1">
      <alignment vertical="center"/>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0" fillId="0" borderId="1" xfId="0" applyFont="1" applyBorder="1" applyAlignment="1">
      <alignment vertical="center" wrapText="1"/>
    </xf>
    <xf numFmtId="0" fontId="3" fillId="0" borderId="1"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left" vertical="center" wrapText="1"/>
    </xf>
    <xf numFmtId="0" fontId="6" fillId="3" borderId="0" xfId="0" applyFont="1" applyFill="1" applyAlignment="1">
      <alignment horizontal="center" vertical="center" wrapText="1"/>
    </xf>
    <xf numFmtId="166" fontId="0" fillId="0" borderId="0" xfId="0" applyNumberFormat="1" applyAlignment="1">
      <alignment horizontal="center" vertical="center"/>
    </xf>
    <xf numFmtId="10" fontId="0" fillId="0" borderId="0" xfId="0" applyNumberFormat="1" applyAlignment="1">
      <alignment horizontal="center" vertical="center"/>
    </xf>
    <xf numFmtId="166" fontId="0" fillId="0" borderId="0" xfId="0" applyNumberFormat="1" applyAlignment="1">
      <alignment horizontal="center" vertical="center" wrapText="1"/>
    </xf>
    <xf numFmtId="10" fontId="0" fillId="0" borderId="0" xfId="0" applyNumberFormat="1" applyAlignment="1">
      <alignment horizontal="center" vertical="center" wrapText="1"/>
    </xf>
    <xf numFmtId="166" fontId="0" fillId="0" borderId="0" xfId="0" applyNumberFormat="1" applyAlignment="1"/>
    <xf numFmtId="10" fontId="0" fillId="0" borderId="0" xfId="0" applyNumberFormat="1" applyAlignment="1"/>
    <xf numFmtId="0" fontId="12" fillId="2" borderId="0" xfId="0" applyFont="1" applyFill="1" applyAlignment="1">
      <alignment horizontal="center" vertical="center" wrapText="1"/>
    </xf>
    <xf numFmtId="0" fontId="0" fillId="6" borderId="0" xfId="0" applyFont="1" applyFill="1" applyAlignment="1">
      <alignment horizontal="center" vertical="center" wrapText="1"/>
    </xf>
    <xf numFmtId="0" fontId="0" fillId="6" borderId="0" xfId="0" applyFont="1" applyFill="1" applyAlignment="1">
      <alignment horizontal="left" vertical="center" wrapText="1"/>
    </xf>
    <xf numFmtId="0" fontId="13" fillId="7" borderId="0" xfId="0" applyFont="1" applyFill="1" applyAlignment="1">
      <alignment horizontal="center" vertical="center" wrapText="1"/>
    </xf>
    <xf numFmtId="0" fontId="13" fillId="7" borderId="0" xfId="0" applyFont="1" applyFill="1" applyAlignment="1">
      <alignment horizontal="left" vertical="center" wrapText="1"/>
    </xf>
    <xf numFmtId="10" fontId="0" fillId="0" borderId="0" xfId="0" applyNumberFormat="1" applyAlignment="1">
      <alignment horizontal="center"/>
    </xf>
    <xf numFmtId="167" fontId="0" fillId="0" borderId="0" xfId="0" applyNumberFormat="1" applyAlignment="1">
      <alignment horizontal="center" vertical="center" wrapText="1"/>
    </xf>
    <xf numFmtId="0" fontId="0" fillId="0" borderId="0" xfId="0" applyAlignment="1">
      <alignment horizontal="left"/>
    </xf>
    <xf numFmtId="0" fontId="6" fillId="3" borderId="0" xfId="0" applyFont="1" applyFill="1" applyAlignment="1">
      <alignment horizontal="left" vertical="center" wrapText="1"/>
    </xf>
    <xf numFmtId="168" fontId="0" fillId="0" borderId="0" xfId="0" applyNumberFormat="1" applyAlignment="1">
      <alignment horizontal="center" vertical="center" wrapText="1"/>
    </xf>
    <xf numFmtId="1" fontId="0" fillId="0" borderId="0" xfId="0" applyNumberFormat="1" applyAlignment="1">
      <alignment horizontal="center" vertical="center" wrapText="1"/>
    </xf>
    <xf numFmtId="1" fontId="0" fillId="0" borderId="0" xfId="0" applyNumberFormat="1" applyAlignment="1">
      <alignment horizontal="center"/>
    </xf>
    <xf numFmtId="168" fontId="0" fillId="0" borderId="0" xfId="0" applyNumberFormat="1" applyAlignment="1">
      <alignment horizontal="center"/>
    </xf>
    <xf numFmtId="0" fontId="3" fillId="2" borderId="0" xfId="0" applyFont="1" applyFill="1" applyAlignment="1">
      <alignment horizontal="center" vertical="center" wrapText="1"/>
    </xf>
    <xf numFmtId="0" fontId="3" fillId="0" borderId="0" xfId="0" applyFont="1" applyAlignment="1">
      <alignment horizontal="left" vertical="center" wrapText="1"/>
    </xf>
    <xf numFmtId="9" fontId="0" fillId="0" borderId="0" xfId="0" applyNumberFormat="1" applyAlignment="1">
      <alignment horizontal="center" vertical="center" wrapText="1"/>
    </xf>
    <xf numFmtId="0" fontId="14" fillId="0" borderId="0" xfId="0" applyFont="1" applyAlignment="1">
      <alignment horizontal="left" vertical="center" wrapText="1"/>
    </xf>
    <xf numFmtId="0" fontId="1" fillId="0" borderId="0" xfId="0" applyFont="1" applyAlignment="1"/>
    <xf numFmtId="0" fontId="6" fillId="8" borderId="0" xfId="0" applyFont="1" applyFill="1" applyAlignment="1">
      <alignment horizontal="center" wrapText="1"/>
    </xf>
    <xf numFmtId="0" fontId="1" fillId="0" borderId="0" xfId="0" applyFont="1" applyAlignment="1">
      <alignment wrapText="1"/>
    </xf>
    <xf numFmtId="0" fontId="1" fillId="0" borderId="1" xfId="0" applyFont="1" applyBorder="1" applyAlignment="1">
      <alignment horizontal="center" vertical="center"/>
    </xf>
    <xf numFmtId="0" fontId="6" fillId="9" borderId="0" xfId="0" applyFont="1" applyFill="1" applyAlignment="1">
      <alignment wrapText="1"/>
    </xf>
    <xf numFmtId="0" fontId="0" fillId="0" borderId="0" xfId="0" applyFont="1" applyAlignment="1">
      <alignment wrapText="1"/>
    </xf>
    <xf numFmtId="169" fontId="0" fillId="0" borderId="0" xfId="0" applyNumberFormat="1" applyAlignment="1"/>
    <xf numFmtId="0" fontId="14" fillId="0" borderId="0" xfId="0" applyFont="1" applyAlignment="1">
      <alignment horizontal="center" vertical="center"/>
    </xf>
    <xf numFmtId="0" fontId="15" fillId="10" borderId="0" xfId="0" applyFont="1" applyFill="1" applyAlignment="1">
      <alignment horizontal="center" vertical="center" wrapText="1"/>
    </xf>
  </cellXfs>
  <cellStyles count="2">
    <cellStyle name="Normal" xfId="0" builtinId="0"/>
    <cellStyle name="Normal 2" xfId="1" xr:uid="{00000000-0005-0000-0000-000006000000}"/>
  </cellStyles>
  <dxfs count="25">
    <dxf>
      <font>
        <b/>
        <color rgb="FF991B1B"/>
      </font>
      <fill>
        <patternFill>
          <bgColor rgb="FFFECACA"/>
        </patternFill>
      </fill>
    </dxf>
    <dxf>
      <font>
        <b/>
        <color rgb="FF92400E"/>
      </font>
      <fill>
        <patternFill>
          <bgColor rgb="FFFEF3C7"/>
        </patternFill>
      </fill>
    </dxf>
    <dxf>
      <font>
        <b/>
        <color rgb="FF166534"/>
      </font>
      <fill>
        <patternFill>
          <bgColor rgb="FFDCFCE7"/>
        </patternFill>
      </fill>
    </dxf>
    <dxf>
      <font>
        <b/>
        <color rgb="FFFFFFFF"/>
      </font>
      <fill>
        <patternFill>
          <bgColor rgb="FF808080"/>
        </patternFill>
      </fill>
    </dxf>
    <dxf>
      <font>
        <b/>
        <color rgb="FFFFFFFF"/>
      </font>
      <fill>
        <patternFill>
          <bgColor rgb="FFFF0000"/>
        </patternFill>
      </fill>
    </dxf>
    <dxf>
      <font>
        <b/>
        <color rgb="FF000000"/>
      </font>
      <fill>
        <patternFill>
          <bgColor rgb="FFFFC000"/>
        </patternFill>
      </fill>
    </dxf>
    <dxf>
      <font>
        <b/>
        <color rgb="FFFFFFFF"/>
      </font>
      <fill>
        <patternFill>
          <bgColor rgb="FF008000"/>
        </patternFill>
      </fill>
    </dxf>
    <dxf>
      <font>
        <b/>
        <color rgb="FFFFFFFF"/>
      </font>
      <fill>
        <patternFill>
          <bgColor rgb="FF808080"/>
        </patternFill>
      </fill>
    </dxf>
    <dxf>
      <font>
        <b/>
        <color rgb="FFFFFFFF"/>
      </font>
      <fill>
        <patternFill>
          <bgColor rgb="FFFF0000"/>
        </patternFill>
      </fill>
    </dxf>
    <dxf>
      <font>
        <b/>
        <color rgb="FF000000"/>
      </font>
      <fill>
        <patternFill>
          <bgColor rgb="FFFFC000"/>
        </patternFill>
      </fill>
    </dxf>
    <dxf>
      <font>
        <b/>
        <color rgb="FFFFFFFF"/>
      </font>
      <fill>
        <patternFill>
          <bgColor rgb="FF008000"/>
        </patternFill>
      </fill>
    </dxf>
    <dxf>
      <font>
        <b/>
        <color rgb="FFFFFFFF"/>
      </font>
      <fill>
        <patternFill>
          <bgColor rgb="FF808080"/>
        </patternFill>
      </fill>
    </dxf>
    <dxf>
      <font>
        <b/>
        <color rgb="FFFFFFFF"/>
      </font>
      <fill>
        <patternFill>
          <bgColor rgb="FFFF0000"/>
        </patternFill>
      </fill>
    </dxf>
    <dxf>
      <font>
        <b/>
        <color rgb="FF000000"/>
      </font>
      <fill>
        <patternFill>
          <bgColor rgb="FFFFC000"/>
        </patternFill>
      </fill>
    </dxf>
    <dxf>
      <font>
        <b/>
        <color rgb="FFFFFFFF"/>
      </font>
      <fill>
        <patternFill>
          <bgColor rgb="FF008000"/>
        </patternFill>
      </fill>
    </dxf>
    <dxf>
      <font>
        <b/>
        <color rgb="FFFFFFFF"/>
      </font>
      <fill>
        <patternFill>
          <bgColor rgb="FF808080"/>
        </patternFill>
      </fill>
    </dxf>
    <dxf>
      <font>
        <b/>
        <color rgb="FFFFFFFF"/>
      </font>
      <fill>
        <patternFill>
          <bgColor rgb="FFFF0000"/>
        </patternFill>
      </fill>
    </dxf>
    <dxf>
      <font>
        <b/>
        <color rgb="FF000000"/>
      </font>
      <fill>
        <patternFill>
          <bgColor rgb="FFFFC000"/>
        </patternFill>
      </fill>
    </dxf>
    <dxf>
      <font>
        <b/>
        <color rgb="FFFFFFFF"/>
      </font>
      <fill>
        <patternFill>
          <bgColor rgb="FF008000"/>
        </patternFill>
      </fill>
    </dxf>
    <dxf>
      <font>
        <b/>
        <color rgb="FFFFFFFF"/>
      </font>
      <fill>
        <patternFill>
          <bgColor rgb="FF808080"/>
        </patternFill>
      </fill>
    </dxf>
    <dxf>
      <font>
        <b/>
        <color rgb="FFFFFFFF"/>
      </font>
      <fill>
        <patternFill>
          <bgColor rgb="FFFF0000"/>
        </patternFill>
      </fill>
    </dxf>
    <dxf>
      <font>
        <b/>
        <color rgb="FF000000"/>
      </font>
      <fill>
        <patternFill>
          <bgColor rgb="FFFFC000"/>
        </patternFill>
      </fill>
    </dxf>
    <dxf>
      <font>
        <b/>
        <color rgb="FFFFFFFF"/>
      </font>
      <fill>
        <patternFill>
          <bgColor rgb="FF008000"/>
        </patternFill>
      </fill>
    </dxf>
    <dxf>
      <fill>
        <patternFill>
          <bgColor rgb="FFF0FDF4"/>
        </patternFill>
      </fill>
    </dxf>
    <dxf>
      <fill>
        <patternFill>
          <bgColor rgb="FFEAF4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008000"/>
      <rgbColor rgb="FF0B197D"/>
      <rgbColor rgb="FF808000"/>
      <rgbColor rgb="FF800080"/>
      <rgbColor rgb="FF0F766E"/>
      <rgbColor rgb="FFC0C0C0"/>
      <rgbColor rgb="FF808080"/>
      <rgbColor rgb="FF9999FF"/>
      <rgbColor rgb="FF7030A0"/>
      <rgbColor rgb="FFFEF3C7"/>
      <rgbColor rgb="FFDCFCE7"/>
      <rgbColor rgb="FF660066"/>
      <rgbColor rgb="FFFF8080"/>
      <rgbColor rgb="FF0066CC"/>
      <rgbColor rgb="FFCCCCFF"/>
      <rgbColor rgb="FF000080"/>
      <rgbColor rgb="FFFF00FF"/>
      <rgbColor rgb="FFFFFF00"/>
      <rgbColor rgb="FF00FFFF"/>
      <rgbColor rgb="FF800080"/>
      <rgbColor rgb="FF800000"/>
      <rgbColor rgb="FF166534"/>
      <rgbColor rgb="FF0000FF"/>
      <rgbColor rgb="FF00B0F0"/>
      <rgbColor rgb="FFEAF4FF"/>
      <rgbColor rgb="FFF0FDF4"/>
      <rgbColor rgb="FFFFFF99"/>
      <rgbColor rgb="FF99CCFF"/>
      <rgbColor rgb="FFFF99CC"/>
      <rgbColor rgb="FFCC99FF"/>
      <rgbColor rgb="FFFECACA"/>
      <rgbColor rgb="FF3366FF"/>
      <rgbColor rgb="FF33CCCC"/>
      <rgbColor rgb="FF92D050"/>
      <rgbColor rgb="FFFFC000"/>
      <rgbColor rgb="FFFF9900"/>
      <rgbColor rgb="FFFF6600"/>
      <rgbColor rgb="FF666699"/>
      <rgbColor rgb="FF969696"/>
      <rgbColor rgb="FF0B1F3A"/>
      <rgbColor rgb="FF00B050"/>
      <rgbColor rgb="FF003300"/>
      <rgbColor rgb="FF333300"/>
      <rgbColor rgb="FF92400E"/>
      <rgbColor rgb="FF7C2D12"/>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CCVCTable" displayName="MasterCCVCTable" ref="A1:K134" totalsRowShown="0">
  <tableColumns count="11">
    <tableColumn id="1" xr3:uid="{00000000-0010-0000-0000-000001000000}" name="No"/>
    <tableColumn id="2" xr3:uid="{00000000-0010-0000-0000-000002000000}" name="Protocol_Group"/>
    <tableColumn id="3" xr3:uid="{00000000-0010-0000-0000-000003000000}" name="PSEC_ID"/>
    <tableColumn id="4" xr3:uid="{00000000-0010-0000-0000-000004000000}" name="PSEC_Name"/>
    <tableColumn id="5" xr3:uid="{00000000-0010-0000-0000-000005000000}" name="Exposure_Type"/>
    <tableColumn id="6" xr3:uid="{00000000-0010-0000-0000-000006000000}" name="CCVC_ID"/>
    <tableColumn id="7" xr3:uid="{00000000-0010-0000-0000-000007000000}" name="Question_Code"/>
    <tableColumn id="8" xr3:uid="{00000000-0010-0000-0000-000008000000}" name="Question_Summary"/>
    <tableColumn id="9" xr3:uid="{00000000-0010-0000-0000-000009000000}" name="Verification_Purpose"/>
    <tableColumn id="10" xr3:uid="{00000000-0010-0000-0000-00000A000000}" name="CCVC_Count"/>
    <tableColumn id="11" xr3:uid="{00000000-0010-0000-0000-00000B000000}" name="Dashboard_Denominator_No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adMeTable" displayName="ReadMeTable" ref="A1:B8" totalsRowShown="0">
  <tableColumns count="2">
    <tableColumn id="1" xr3:uid="{00000000-0010-0000-0100-000001000000}" name="Item"/>
    <tableColumn id="2" xr3:uid="{00000000-0010-0000-0100-000002000000}" name="Description"/>
  </tableColumns>
  <tableStyleInfo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00"/>
  <sheetViews>
    <sheetView tabSelected="1" topLeftCell="E1" zoomScaleNormal="100" workbookViewId="0">
      <selection activeCell="H1" sqref="H1"/>
    </sheetView>
  </sheetViews>
  <sheetFormatPr defaultColWidth="9.06640625" defaultRowHeight="14.25" customHeight="1" x14ac:dyDescent="0.45"/>
  <cols>
    <col min="1" max="1" width="13" style="1" customWidth="1"/>
    <col min="2" max="2" width="19.06640625" style="1" customWidth="1"/>
    <col min="3" max="3" width="10.86328125" style="1" customWidth="1"/>
    <col min="4" max="4" width="14.3984375" style="1" customWidth="1"/>
    <col min="5" max="5" width="14.6640625" style="1" customWidth="1"/>
    <col min="6" max="7" width="16.86328125" style="1" customWidth="1"/>
    <col min="8" max="8" width="8.33203125" style="1" customWidth="1"/>
    <col min="9" max="9" width="39.1328125" style="1" customWidth="1"/>
    <col min="10" max="10" width="10.86328125" style="1" customWidth="1"/>
    <col min="11" max="11" width="8.265625" style="1" customWidth="1"/>
    <col min="12" max="12" width="28" style="2" customWidth="1"/>
    <col min="13" max="13" width="3.265625" style="1" customWidth="1"/>
    <col min="14" max="14" width="3" style="1" customWidth="1"/>
    <col min="15" max="15" width="2.86328125" style="1" customWidth="1"/>
    <col min="16" max="16" width="45" style="3" customWidth="1"/>
    <col min="17" max="17" width="22" style="1" customWidth="1"/>
    <col min="18" max="18" width="24" style="1" customWidth="1"/>
    <col min="19" max="22" width="15.59765625" style="1" customWidth="1"/>
    <col min="23" max="23" width="20.59765625" style="1" customWidth="1"/>
    <col min="24" max="24" width="25.59765625" style="1" customWidth="1"/>
    <col min="25" max="25" width="50.59765625" style="3" customWidth="1"/>
    <col min="26" max="26" width="33.33203125" style="3" customWidth="1"/>
    <col min="27" max="28" width="20.59765625" style="1" customWidth="1"/>
    <col min="29" max="29" width="50.59765625" style="3" customWidth="1"/>
    <col min="30" max="30" width="25.59765625" style="4" customWidth="1"/>
    <col min="31" max="32" width="25.59765625" style="1" customWidth="1"/>
    <col min="33" max="16384" width="9.06640625" style="1"/>
  </cols>
  <sheetData>
    <row r="1" spans="1:32" ht="14.25" customHeight="1" x14ac:dyDescent="0.45">
      <c r="A1" s="5" t="s">
        <v>0</v>
      </c>
      <c r="B1" s="5" t="s">
        <v>1</v>
      </c>
      <c r="C1" s="6" t="s">
        <v>2</v>
      </c>
      <c r="D1" s="7" t="s">
        <v>3</v>
      </c>
      <c r="E1" s="7" t="s">
        <v>4</v>
      </c>
      <c r="F1" s="8" t="s">
        <v>5</v>
      </c>
      <c r="G1" s="8" t="s">
        <v>6</v>
      </c>
      <c r="H1" s="9" t="s">
        <v>7</v>
      </c>
      <c r="I1" s="5" t="s">
        <v>8</v>
      </c>
      <c r="J1" s="5" t="s">
        <v>9</v>
      </c>
      <c r="K1" s="5" t="s">
        <v>10</v>
      </c>
      <c r="L1" s="10" t="s">
        <v>11</v>
      </c>
      <c r="M1" s="5" t="s">
        <v>12</v>
      </c>
      <c r="N1" s="5" t="s">
        <v>13</v>
      </c>
      <c r="O1" s="5" t="s">
        <v>14</v>
      </c>
      <c r="P1" s="11" t="s">
        <v>15</v>
      </c>
      <c r="Q1" s="5" t="s">
        <v>16</v>
      </c>
      <c r="R1" s="5" t="s">
        <v>17</v>
      </c>
      <c r="S1" s="5" t="s">
        <v>18</v>
      </c>
      <c r="T1" s="6" t="s">
        <v>19</v>
      </c>
      <c r="U1" s="6" t="s">
        <v>20</v>
      </c>
      <c r="V1" s="6" t="s">
        <v>21</v>
      </c>
      <c r="W1" s="9" t="s">
        <v>22</v>
      </c>
      <c r="X1" s="12" t="s">
        <v>23</v>
      </c>
      <c r="Y1" s="12" t="s">
        <v>24</v>
      </c>
      <c r="Z1" s="12" t="s">
        <v>25</v>
      </c>
      <c r="AA1" s="6" t="s">
        <v>26</v>
      </c>
      <c r="AB1" s="6" t="s">
        <v>27</v>
      </c>
      <c r="AC1" s="13" t="s">
        <v>28</v>
      </c>
      <c r="AD1" s="14" t="s">
        <v>29</v>
      </c>
      <c r="AE1" s="6" t="s">
        <v>30</v>
      </c>
      <c r="AF1" s="6" t="s">
        <v>31</v>
      </c>
    </row>
    <row r="2" spans="1:32" ht="14.25" customHeight="1" x14ac:dyDescent="0.45">
      <c r="A2" s="1" t="s">
        <v>32</v>
      </c>
      <c r="B2" s="1">
        <v>1</v>
      </c>
      <c r="C2" s="1" t="s">
        <v>33</v>
      </c>
      <c r="F2" s="1" t="str">
        <f t="shared" ref="F2:F65" si="0">IF(A2="","",IF(B2=1,"Baseline",IF(C2="Y","Reverification","Follow-up")))</f>
        <v>Baseline</v>
      </c>
      <c r="G2" s="1" t="str">
        <f t="shared" ref="G2:G65" si="1">IF(A2="","",IF(COUNTIFS($V$2:$V$300,V2,$H$2:$H$300,H2,$B$2:$B$300,"&gt;"&amp;B2)=0,"Y","N"))</f>
        <v>Y</v>
      </c>
      <c r="H2" s="15" t="s">
        <v>34</v>
      </c>
      <c r="I2" s="1" t="str">
        <f>IFERROR(VLOOKUP(H2,'DATABASE-DRIFT_LATENT_HP_ERROR'!$A$143:$B$160,2,FALSE()),"")</f>
        <v>Work at Height</v>
      </c>
      <c r="J2" s="1" t="s">
        <v>35</v>
      </c>
      <c r="K2" s="1" t="s">
        <v>36</v>
      </c>
      <c r="L2" s="2" t="s">
        <v>37</v>
      </c>
      <c r="N2" s="1">
        <v>1</v>
      </c>
      <c r="P2" s="3" t="s">
        <v>38</v>
      </c>
      <c r="Q2" s="1" t="s">
        <v>39</v>
      </c>
      <c r="R2" s="1" t="s">
        <v>40</v>
      </c>
      <c r="S2" s="16">
        <v>46156</v>
      </c>
      <c r="T2" s="1">
        <f t="shared" ref="T2:T33" si="2">IF(S2="","",YEAR(S2))</f>
        <v>2026</v>
      </c>
      <c r="U2" s="1" t="str">
        <f t="shared" ref="U2:U33" si="3">IF(S2="","","TW "&amp;CHOOSE(ROUNDUP(MONTH(S2)/3,0),"I","II","III","IV"))</f>
        <v>TW II</v>
      </c>
      <c r="V2" s="1">
        <v>13</v>
      </c>
      <c r="W2" s="1" t="s">
        <v>41</v>
      </c>
      <c r="X2" s="3" t="s">
        <v>42</v>
      </c>
      <c r="Y2" s="3" t="s">
        <v>43</v>
      </c>
      <c r="Z2" s="3" t="s">
        <v>44</v>
      </c>
      <c r="AA2" s="1" t="s">
        <v>45</v>
      </c>
      <c r="AB2" s="3" t="s">
        <v>46</v>
      </c>
      <c r="AC2" s="3" t="s">
        <v>47</v>
      </c>
    </row>
    <row r="3" spans="1:32" ht="14.25" customHeight="1" x14ac:dyDescent="0.45">
      <c r="A3" s="1" t="s">
        <v>32</v>
      </c>
      <c r="B3" s="1">
        <v>1</v>
      </c>
      <c r="C3" s="1" t="s">
        <v>33</v>
      </c>
      <c r="F3" s="1" t="str">
        <f t="shared" si="0"/>
        <v>Baseline</v>
      </c>
      <c r="G3" s="1" t="str">
        <f t="shared" si="1"/>
        <v>Y</v>
      </c>
      <c r="H3" s="15" t="s">
        <v>34</v>
      </c>
      <c r="I3" s="1" t="str">
        <f>IFERROR(VLOOKUP(H3,'DATABASE-DRIFT_LATENT_HP_ERROR'!$A$143:$B$160,2,FALSE()),"")</f>
        <v>Work at Height</v>
      </c>
      <c r="J3" s="1" t="s">
        <v>48</v>
      </c>
      <c r="K3" s="1" t="s">
        <v>49</v>
      </c>
      <c r="L3" s="2" t="s">
        <v>50</v>
      </c>
      <c r="N3" s="1">
        <v>1</v>
      </c>
      <c r="P3" s="3" t="s">
        <v>51</v>
      </c>
      <c r="Q3" s="1" t="s">
        <v>39</v>
      </c>
      <c r="R3" s="1" t="s">
        <v>52</v>
      </c>
      <c r="S3" s="16">
        <v>46156</v>
      </c>
      <c r="T3" s="1">
        <f t="shared" si="2"/>
        <v>2026</v>
      </c>
      <c r="U3" s="1" t="str">
        <f t="shared" si="3"/>
        <v>TW II</v>
      </c>
      <c r="V3" s="1">
        <v>13</v>
      </c>
      <c r="W3" s="1" t="s">
        <v>41</v>
      </c>
      <c r="X3" s="3" t="s">
        <v>42</v>
      </c>
      <c r="Y3" s="3" t="s">
        <v>43</v>
      </c>
      <c r="Z3" s="3" t="s">
        <v>44</v>
      </c>
      <c r="AA3" s="1" t="s">
        <v>45</v>
      </c>
      <c r="AB3" s="3" t="s">
        <v>46</v>
      </c>
      <c r="AC3" s="3" t="s">
        <v>47</v>
      </c>
    </row>
    <row r="4" spans="1:32" ht="14.25" customHeight="1" x14ac:dyDescent="0.45">
      <c r="A4" s="1" t="s">
        <v>32</v>
      </c>
      <c r="B4" s="1">
        <v>1</v>
      </c>
      <c r="C4" s="1" t="s">
        <v>33</v>
      </c>
      <c r="F4" s="1" t="str">
        <f t="shared" si="0"/>
        <v>Baseline</v>
      </c>
      <c r="G4" s="1" t="str">
        <f t="shared" si="1"/>
        <v>Y</v>
      </c>
      <c r="H4" s="15" t="s">
        <v>34</v>
      </c>
      <c r="I4" s="1" t="str">
        <f>IFERROR(VLOOKUP(H4,'DATABASE-DRIFT_LATENT_HP_ERROR'!$A$143:$B$160,2,FALSE()),"")</f>
        <v>Work at Height</v>
      </c>
      <c r="J4" s="1" t="s">
        <v>53</v>
      </c>
      <c r="K4" s="1" t="s">
        <v>54</v>
      </c>
      <c r="L4" s="2" t="s">
        <v>55</v>
      </c>
      <c r="N4" s="1">
        <v>1</v>
      </c>
      <c r="P4" s="3" t="s">
        <v>56</v>
      </c>
      <c r="Q4" s="1" t="s">
        <v>57</v>
      </c>
      <c r="R4" s="1" t="s">
        <v>58</v>
      </c>
      <c r="S4" s="16">
        <v>46156</v>
      </c>
      <c r="T4" s="1">
        <f t="shared" si="2"/>
        <v>2026</v>
      </c>
      <c r="U4" s="1" t="str">
        <f t="shared" si="3"/>
        <v>TW II</v>
      </c>
      <c r="V4" s="1">
        <v>13</v>
      </c>
      <c r="W4" s="1" t="s">
        <v>41</v>
      </c>
      <c r="X4" s="3" t="s">
        <v>42</v>
      </c>
      <c r="Y4" s="3" t="s">
        <v>43</v>
      </c>
      <c r="Z4" s="3" t="s">
        <v>44</v>
      </c>
      <c r="AA4" s="1" t="s">
        <v>45</v>
      </c>
      <c r="AB4" s="3" t="s">
        <v>46</v>
      </c>
      <c r="AC4" s="3" t="s">
        <v>47</v>
      </c>
    </row>
    <row r="5" spans="1:32" ht="14.25" customHeight="1" x14ac:dyDescent="0.45">
      <c r="A5" s="1" t="s">
        <v>32</v>
      </c>
      <c r="B5" s="1">
        <v>1</v>
      </c>
      <c r="C5" s="1" t="s">
        <v>33</v>
      </c>
      <c r="F5" s="1" t="str">
        <f t="shared" si="0"/>
        <v>Baseline</v>
      </c>
      <c r="G5" s="1" t="str">
        <f t="shared" si="1"/>
        <v>Y</v>
      </c>
      <c r="H5" s="15" t="s">
        <v>34</v>
      </c>
      <c r="I5" s="1" t="str">
        <f>IFERROR(VLOOKUP(H5,'DATABASE-DRIFT_LATENT_HP_ERROR'!$A$143:$B$160,2,FALSE()),"")</f>
        <v>Work at Height</v>
      </c>
      <c r="J5" s="1" t="s">
        <v>59</v>
      </c>
      <c r="K5" s="1" t="s">
        <v>60</v>
      </c>
      <c r="L5" s="2" t="s">
        <v>61</v>
      </c>
      <c r="M5" s="1">
        <v>1</v>
      </c>
      <c r="P5" s="3" t="s">
        <v>62</v>
      </c>
      <c r="Q5" s="1" t="s">
        <v>40</v>
      </c>
      <c r="R5" s="1" t="s">
        <v>63</v>
      </c>
      <c r="S5" s="16">
        <v>46156</v>
      </c>
      <c r="T5" s="1">
        <f t="shared" si="2"/>
        <v>2026</v>
      </c>
      <c r="U5" s="1" t="str">
        <f t="shared" si="3"/>
        <v>TW II</v>
      </c>
      <c r="V5" s="1">
        <v>13</v>
      </c>
      <c r="W5" s="1" t="s">
        <v>41</v>
      </c>
      <c r="X5" s="3" t="s">
        <v>42</v>
      </c>
      <c r="Y5" s="3" t="s">
        <v>43</v>
      </c>
      <c r="Z5" s="3" t="s">
        <v>44</v>
      </c>
      <c r="AA5" s="1" t="s">
        <v>45</v>
      </c>
      <c r="AB5" s="3" t="s">
        <v>46</v>
      </c>
      <c r="AC5" s="3" t="s">
        <v>47</v>
      </c>
    </row>
    <row r="6" spans="1:32" ht="14.25" customHeight="1" x14ac:dyDescent="0.45">
      <c r="A6" s="1" t="s">
        <v>32</v>
      </c>
      <c r="B6" s="1">
        <v>1</v>
      </c>
      <c r="C6" s="1" t="s">
        <v>33</v>
      </c>
      <c r="F6" s="1" t="str">
        <f t="shared" si="0"/>
        <v>Baseline</v>
      </c>
      <c r="G6" s="1" t="str">
        <f t="shared" si="1"/>
        <v>Y</v>
      </c>
      <c r="H6" s="15" t="s">
        <v>34</v>
      </c>
      <c r="I6" s="1" t="str">
        <f>IFERROR(VLOOKUP(H6,'DATABASE-DRIFT_LATENT_HP_ERROR'!$A$143:$B$160,2,FALSE()),"")</f>
        <v>Work at Height</v>
      </c>
      <c r="J6" s="1" t="s">
        <v>64</v>
      </c>
      <c r="K6" s="1" t="s">
        <v>65</v>
      </c>
      <c r="L6" s="2" t="s">
        <v>66</v>
      </c>
      <c r="M6" s="1">
        <v>1</v>
      </c>
      <c r="P6" s="3" t="s">
        <v>67</v>
      </c>
      <c r="Q6" s="1" t="s">
        <v>40</v>
      </c>
      <c r="R6" s="1" t="s">
        <v>68</v>
      </c>
      <c r="S6" s="16">
        <v>46156</v>
      </c>
      <c r="T6" s="1">
        <f t="shared" si="2"/>
        <v>2026</v>
      </c>
      <c r="U6" s="1" t="str">
        <f t="shared" si="3"/>
        <v>TW II</v>
      </c>
      <c r="V6" s="1">
        <v>13</v>
      </c>
      <c r="W6" s="1" t="s">
        <v>41</v>
      </c>
      <c r="X6" s="3" t="s">
        <v>42</v>
      </c>
      <c r="Y6" s="3" t="s">
        <v>43</v>
      </c>
      <c r="Z6" s="3" t="s">
        <v>44</v>
      </c>
      <c r="AA6" s="1" t="s">
        <v>45</v>
      </c>
      <c r="AB6" s="3" t="s">
        <v>46</v>
      </c>
      <c r="AC6" s="3" t="s">
        <v>47</v>
      </c>
    </row>
    <row r="7" spans="1:32" ht="14.25" customHeight="1" x14ac:dyDescent="0.45">
      <c r="A7" s="1" t="s">
        <v>32</v>
      </c>
      <c r="B7" s="1">
        <v>1</v>
      </c>
      <c r="C7" s="1" t="s">
        <v>33</v>
      </c>
      <c r="F7" s="1" t="str">
        <f t="shared" si="0"/>
        <v>Baseline</v>
      </c>
      <c r="G7" s="1" t="str">
        <f t="shared" si="1"/>
        <v>Y</v>
      </c>
      <c r="H7" s="15" t="s">
        <v>34</v>
      </c>
      <c r="I7" s="1" t="str">
        <f>IFERROR(VLOOKUP(H7,'DATABASE-DRIFT_LATENT_HP_ERROR'!$A$143:$B$160,2,FALSE()),"")</f>
        <v>Work at Height</v>
      </c>
      <c r="J7" s="1" t="s">
        <v>69</v>
      </c>
      <c r="K7" s="1" t="s">
        <v>70</v>
      </c>
      <c r="L7" s="2" t="s">
        <v>71</v>
      </c>
      <c r="N7" s="1">
        <v>1</v>
      </c>
      <c r="P7" s="3" t="s">
        <v>72</v>
      </c>
      <c r="Q7" s="1" t="s">
        <v>73</v>
      </c>
      <c r="R7" s="1" t="s">
        <v>74</v>
      </c>
      <c r="S7" s="16">
        <v>46156</v>
      </c>
      <c r="T7" s="1">
        <f t="shared" si="2"/>
        <v>2026</v>
      </c>
      <c r="U7" s="1" t="str">
        <f t="shared" si="3"/>
        <v>TW II</v>
      </c>
      <c r="V7" s="1">
        <v>13</v>
      </c>
      <c r="W7" s="1" t="s">
        <v>41</v>
      </c>
      <c r="X7" s="3" t="s">
        <v>42</v>
      </c>
      <c r="Y7" s="3" t="s">
        <v>43</v>
      </c>
      <c r="Z7" s="3" t="s">
        <v>44</v>
      </c>
      <c r="AA7" s="1" t="s">
        <v>45</v>
      </c>
      <c r="AB7" s="3" t="s">
        <v>46</v>
      </c>
      <c r="AC7" s="3" t="s">
        <v>47</v>
      </c>
    </row>
    <row r="8" spans="1:32" ht="14.25" customHeight="1" x14ac:dyDescent="0.45">
      <c r="A8" s="1" t="s">
        <v>32</v>
      </c>
      <c r="B8" s="1">
        <v>1</v>
      </c>
      <c r="C8" s="1" t="s">
        <v>33</v>
      </c>
      <c r="F8" s="1" t="str">
        <f t="shared" si="0"/>
        <v>Baseline</v>
      </c>
      <c r="G8" s="1" t="str">
        <f t="shared" si="1"/>
        <v>Y</v>
      </c>
      <c r="H8" s="15" t="s">
        <v>34</v>
      </c>
      <c r="I8" s="1" t="str">
        <f>IFERROR(VLOOKUP(H8,'DATABASE-DRIFT_LATENT_HP_ERROR'!$A$143:$B$160,2,FALSE()),"")</f>
        <v>Work at Height</v>
      </c>
      <c r="J8" s="1" t="s">
        <v>75</v>
      </c>
      <c r="K8" s="1" t="s">
        <v>76</v>
      </c>
      <c r="L8" s="2" t="s">
        <v>77</v>
      </c>
      <c r="M8" s="1">
        <v>1</v>
      </c>
      <c r="P8" s="3" t="s">
        <v>78</v>
      </c>
      <c r="Q8" s="1" t="s">
        <v>79</v>
      </c>
      <c r="R8" s="1" t="s">
        <v>80</v>
      </c>
      <c r="S8" s="16">
        <v>46156</v>
      </c>
      <c r="T8" s="1">
        <f t="shared" si="2"/>
        <v>2026</v>
      </c>
      <c r="U8" s="1" t="str">
        <f t="shared" si="3"/>
        <v>TW II</v>
      </c>
      <c r="V8" s="1">
        <v>13</v>
      </c>
      <c r="W8" s="1" t="s">
        <v>41</v>
      </c>
      <c r="X8" s="3" t="s">
        <v>42</v>
      </c>
      <c r="Y8" s="3" t="s">
        <v>43</v>
      </c>
      <c r="Z8" s="3" t="s">
        <v>44</v>
      </c>
      <c r="AA8" s="1" t="s">
        <v>45</v>
      </c>
      <c r="AB8" s="3" t="s">
        <v>46</v>
      </c>
      <c r="AC8" s="3" t="s">
        <v>47</v>
      </c>
    </row>
    <row r="9" spans="1:32" ht="14.25" customHeight="1" x14ac:dyDescent="0.45">
      <c r="A9" s="1" t="s">
        <v>32</v>
      </c>
      <c r="B9" s="1">
        <v>1</v>
      </c>
      <c r="C9" s="1" t="s">
        <v>33</v>
      </c>
      <c r="F9" s="1" t="str">
        <f t="shared" si="0"/>
        <v>Baseline</v>
      </c>
      <c r="G9" s="1" t="str">
        <f t="shared" si="1"/>
        <v>Y</v>
      </c>
      <c r="H9" s="15" t="s">
        <v>34</v>
      </c>
      <c r="I9" s="1" t="str">
        <f>IFERROR(VLOOKUP(H9,'DATABASE-DRIFT_LATENT_HP_ERROR'!$A$143:$B$160,2,FALSE()),"")</f>
        <v>Work at Height</v>
      </c>
      <c r="J9" s="1" t="s">
        <v>81</v>
      </c>
      <c r="K9" s="1" t="s">
        <v>82</v>
      </c>
      <c r="L9" s="2" t="s">
        <v>83</v>
      </c>
      <c r="M9" s="1">
        <v>1</v>
      </c>
      <c r="P9" s="3" t="s">
        <v>84</v>
      </c>
      <c r="Q9" s="1" t="s">
        <v>40</v>
      </c>
      <c r="R9" s="1" t="s">
        <v>85</v>
      </c>
      <c r="S9" s="16">
        <v>46156</v>
      </c>
      <c r="T9" s="1">
        <f t="shared" si="2"/>
        <v>2026</v>
      </c>
      <c r="U9" s="1" t="str">
        <f t="shared" si="3"/>
        <v>TW II</v>
      </c>
      <c r="V9" s="1">
        <v>13</v>
      </c>
      <c r="W9" s="1" t="s">
        <v>41</v>
      </c>
      <c r="X9" s="3" t="s">
        <v>42</v>
      </c>
      <c r="Y9" s="3" t="s">
        <v>43</v>
      </c>
      <c r="Z9" s="3" t="s">
        <v>44</v>
      </c>
      <c r="AA9" s="1" t="s">
        <v>45</v>
      </c>
      <c r="AB9" s="3" t="s">
        <v>46</v>
      </c>
      <c r="AC9" s="3" t="s">
        <v>47</v>
      </c>
    </row>
    <row r="10" spans="1:32" ht="14.25" customHeight="1" x14ac:dyDescent="0.45">
      <c r="A10" s="1" t="s">
        <v>32</v>
      </c>
      <c r="B10" s="1">
        <v>1</v>
      </c>
      <c r="C10" s="1" t="s">
        <v>33</v>
      </c>
      <c r="F10" s="1" t="str">
        <f t="shared" si="0"/>
        <v>Baseline</v>
      </c>
      <c r="G10" s="1" t="str">
        <f t="shared" si="1"/>
        <v>Y</v>
      </c>
      <c r="H10" s="15" t="s">
        <v>34</v>
      </c>
      <c r="I10" s="1" t="str">
        <f>IFERROR(VLOOKUP(H10,'DATABASE-DRIFT_LATENT_HP_ERROR'!$A$143:$B$160,2,FALSE()),"")</f>
        <v>Work at Height</v>
      </c>
      <c r="J10" s="1" t="s">
        <v>86</v>
      </c>
      <c r="K10" s="1" t="s">
        <v>87</v>
      </c>
      <c r="L10" s="2" t="s">
        <v>88</v>
      </c>
      <c r="N10" s="1">
        <v>1</v>
      </c>
      <c r="P10" s="3" t="s">
        <v>89</v>
      </c>
      <c r="Q10" s="1" t="s">
        <v>57</v>
      </c>
      <c r="R10" s="1" t="s">
        <v>90</v>
      </c>
      <c r="S10" s="16">
        <v>46156</v>
      </c>
      <c r="T10" s="1">
        <f t="shared" si="2"/>
        <v>2026</v>
      </c>
      <c r="U10" s="1" t="str">
        <f t="shared" si="3"/>
        <v>TW II</v>
      </c>
      <c r="V10" s="1">
        <v>13</v>
      </c>
      <c r="W10" s="1" t="s">
        <v>41</v>
      </c>
      <c r="X10" s="3" t="s">
        <v>42</v>
      </c>
      <c r="Y10" s="3" t="s">
        <v>43</v>
      </c>
      <c r="Z10" s="3" t="s">
        <v>44</v>
      </c>
      <c r="AA10" s="1" t="s">
        <v>45</v>
      </c>
      <c r="AB10" s="3" t="s">
        <v>46</v>
      </c>
      <c r="AC10" s="3" t="s">
        <v>47</v>
      </c>
    </row>
    <row r="11" spans="1:32" ht="14.25" customHeight="1" x14ac:dyDescent="0.45">
      <c r="A11" s="1" t="s">
        <v>91</v>
      </c>
      <c r="B11" s="1">
        <v>1</v>
      </c>
      <c r="C11" s="1" t="s">
        <v>33</v>
      </c>
      <c r="F11" s="1" t="str">
        <f t="shared" si="0"/>
        <v>Baseline</v>
      </c>
      <c r="G11" s="1" t="str">
        <f t="shared" si="1"/>
        <v>Y</v>
      </c>
      <c r="H11" s="15" t="s">
        <v>92</v>
      </c>
      <c r="I11" s="1" t="str">
        <f>IFERROR(VLOOKUP(H11,'DATABASE-DRIFT_LATENT_HP_ERROR'!$A$143:$B$160,2,FALSE()),"")</f>
        <v>Powered System / Isolation of Hazardous Energy</v>
      </c>
      <c r="J11" s="1" t="s">
        <v>35</v>
      </c>
      <c r="K11" s="1" t="s">
        <v>93</v>
      </c>
      <c r="L11" s="2" t="s">
        <v>94</v>
      </c>
      <c r="M11" s="1">
        <v>1</v>
      </c>
      <c r="P11" s="3" t="s">
        <v>95</v>
      </c>
      <c r="Q11" s="1" t="s">
        <v>96</v>
      </c>
      <c r="R11" s="1" t="s">
        <v>97</v>
      </c>
      <c r="S11" s="16">
        <v>46156</v>
      </c>
      <c r="T11" s="1">
        <f t="shared" si="2"/>
        <v>2026</v>
      </c>
      <c r="U11" s="1" t="str">
        <f t="shared" si="3"/>
        <v>TW II</v>
      </c>
      <c r="V11" s="1">
        <v>13</v>
      </c>
      <c r="W11" s="1" t="s">
        <v>41</v>
      </c>
      <c r="X11" s="3" t="s">
        <v>98</v>
      </c>
      <c r="Y11" s="3" t="s">
        <v>99</v>
      </c>
      <c r="Z11" s="3" t="s">
        <v>44</v>
      </c>
      <c r="AA11" s="1" t="s">
        <v>45</v>
      </c>
      <c r="AB11" s="3" t="s">
        <v>46</v>
      </c>
      <c r="AC11" s="3" t="s">
        <v>47</v>
      </c>
    </row>
    <row r="12" spans="1:32" ht="14.25" customHeight="1" x14ac:dyDescent="0.45">
      <c r="A12" s="1" t="s">
        <v>91</v>
      </c>
      <c r="B12" s="1">
        <v>1</v>
      </c>
      <c r="C12" s="1" t="s">
        <v>33</v>
      </c>
      <c r="F12" s="1" t="str">
        <f t="shared" si="0"/>
        <v>Baseline</v>
      </c>
      <c r="G12" s="1" t="str">
        <f t="shared" si="1"/>
        <v>Y</v>
      </c>
      <c r="H12" s="15" t="s">
        <v>92</v>
      </c>
      <c r="I12" s="1" t="str">
        <f>IFERROR(VLOOKUP(H12,'DATABASE-DRIFT_LATENT_HP_ERROR'!$A$143:$B$160,2,FALSE()),"")</f>
        <v>Powered System / Isolation of Hazardous Energy</v>
      </c>
      <c r="J12" s="1" t="s">
        <v>48</v>
      </c>
      <c r="K12" s="1" t="s">
        <v>100</v>
      </c>
      <c r="L12" s="2" t="s">
        <v>101</v>
      </c>
      <c r="M12" s="1">
        <v>1</v>
      </c>
      <c r="P12" s="3" t="s">
        <v>102</v>
      </c>
      <c r="Q12" s="1" t="s">
        <v>96</v>
      </c>
      <c r="R12" s="1" t="s">
        <v>103</v>
      </c>
      <c r="S12" s="16">
        <v>46156</v>
      </c>
      <c r="T12" s="1">
        <f t="shared" si="2"/>
        <v>2026</v>
      </c>
      <c r="U12" s="1" t="str">
        <f t="shared" si="3"/>
        <v>TW II</v>
      </c>
      <c r="V12" s="1">
        <v>13</v>
      </c>
      <c r="W12" s="1" t="s">
        <v>41</v>
      </c>
      <c r="X12" s="3" t="s">
        <v>98</v>
      </c>
      <c r="Y12" s="3" t="s">
        <v>99</v>
      </c>
      <c r="Z12" s="3" t="s">
        <v>44</v>
      </c>
      <c r="AA12" s="1" t="s">
        <v>45</v>
      </c>
      <c r="AB12" s="3" t="s">
        <v>46</v>
      </c>
      <c r="AC12" s="3" t="s">
        <v>47</v>
      </c>
    </row>
    <row r="13" spans="1:32" ht="14.25" customHeight="1" x14ac:dyDescent="0.45">
      <c r="A13" s="1" t="s">
        <v>91</v>
      </c>
      <c r="B13" s="1">
        <v>1</v>
      </c>
      <c r="C13" s="1" t="s">
        <v>33</v>
      </c>
      <c r="F13" s="1" t="str">
        <f t="shared" si="0"/>
        <v>Baseline</v>
      </c>
      <c r="G13" s="1" t="str">
        <f t="shared" si="1"/>
        <v>Y</v>
      </c>
      <c r="H13" s="15" t="s">
        <v>92</v>
      </c>
      <c r="I13" s="1" t="str">
        <f>IFERROR(VLOOKUP(H13,'DATABASE-DRIFT_LATENT_HP_ERROR'!$A$143:$B$160,2,FALSE()),"")</f>
        <v>Powered System / Isolation of Hazardous Energy</v>
      </c>
      <c r="J13" s="1" t="s">
        <v>53</v>
      </c>
      <c r="K13" s="1" t="s">
        <v>104</v>
      </c>
      <c r="L13" s="2" t="s">
        <v>105</v>
      </c>
      <c r="N13" s="1">
        <v>1</v>
      </c>
      <c r="P13" s="3" t="s">
        <v>106</v>
      </c>
      <c r="Q13" s="1" t="s">
        <v>57</v>
      </c>
      <c r="R13" s="1" t="s">
        <v>107</v>
      </c>
      <c r="S13" s="16">
        <v>46156</v>
      </c>
      <c r="T13" s="1">
        <f t="shared" si="2"/>
        <v>2026</v>
      </c>
      <c r="U13" s="1" t="str">
        <f t="shared" si="3"/>
        <v>TW II</v>
      </c>
      <c r="V13" s="1">
        <v>13</v>
      </c>
      <c r="W13" s="1" t="s">
        <v>41</v>
      </c>
      <c r="X13" s="3" t="s">
        <v>98</v>
      </c>
      <c r="Y13" s="3" t="s">
        <v>99</v>
      </c>
      <c r="Z13" s="3" t="s">
        <v>44</v>
      </c>
      <c r="AA13" s="1" t="s">
        <v>45</v>
      </c>
      <c r="AB13" s="3" t="s">
        <v>46</v>
      </c>
      <c r="AC13" s="3" t="s">
        <v>47</v>
      </c>
    </row>
    <row r="14" spans="1:32" ht="14.25" customHeight="1" x14ac:dyDescent="0.45">
      <c r="A14" s="1" t="s">
        <v>91</v>
      </c>
      <c r="B14" s="1">
        <v>1</v>
      </c>
      <c r="C14" s="1" t="s">
        <v>33</v>
      </c>
      <c r="F14" s="1" t="str">
        <f t="shared" si="0"/>
        <v>Baseline</v>
      </c>
      <c r="G14" s="1" t="str">
        <f t="shared" si="1"/>
        <v>Y</v>
      </c>
      <c r="H14" s="15" t="s">
        <v>92</v>
      </c>
      <c r="I14" s="1" t="str">
        <f>IFERROR(VLOOKUP(H14,'DATABASE-DRIFT_LATENT_HP_ERROR'!$A$143:$B$160,2,FALSE()),"")</f>
        <v>Powered System / Isolation of Hazardous Energy</v>
      </c>
      <c r="J14" s="1" t="s">
        <v>59</v>
      </c>
      <c r="K14" s="1" t="s">
        <v>108</v>
      </c>
      <c r="L14" s="2" t="s">
        <v>109</v>
      </c>
      <c r="N14" s="1">
        <v>1</v>
      </c>
      <c r="P14" s="3" t="s">
        <v>110</v>
      </c>
      <c r="Q14" s="1" t="s">
        <v>57</v>
      </c>
      <c r="R14" s="1" t="s">
        <v>111</v>
      </c>
      <c r="S14" s="16">
        <v>46156</v>
      </c>
      <c r="T14" s="1">
        <f t="shared" si="2"/>
        <v>2026</v>
      </c>
      <c r="U14" s="1" t="str">
        <f t="shared" si="3"/>
        <v>TW II</v>
      </c>
      <c r="V14" s="1">
        <v>13</v>
      </c>
      <c r="W14" s="1" t="s">
        <v>41</v>
      </c>
      <c r="X14" s="3" t="s">
        <v>98</v>
      </c>
      <c r="Y14" s="3" t="s">
        <v>99</v>
      </c>
      <c r="Z14" s="3" t="s">
        <v>44</v>
      </c>
      <c r="AA14" s="1" t="s">
        <v>45</v>
      </c>
      <c r="AB14" s="3" t="s">
        <v>46</v>
      </c>
      <c r="AC14" s="3" t="s">
        <v>47</v>
      </c>
    </row>
    <row r="15" spans="1:32" ht="27.75" customHeight="1" x14ac:dyDescent="0.45">
      <c r="A15" s="1" t="s">
        <v>91</v>
      </c>
      <c r="B15" s="1">
        <v>1</v>
      </c>
      <c r="C15" s="1" t="s">
        <v>33</v>
      </c>
      <c r="F15" s="1" t="str">
        <f t="shared" si="0"/>
        <v>Baseline</v>
      </c>
      <c r="G15" s="1" t="str">
        <f t="shared" si="1"/>
        <v>Y</v>
      </c>
      <c r="H15" s="15" t="s">
        <v>92</v>
      </c>
      <c r="I15" s="1" t="str">
        <f>IFERROR(VLOOKUP(H15,'DATABASE-DRIFT_LATENT_HP_ERROR'!$A$143:$B$160,2,FALSE()),"")</f>
        <v>Powered System / Isolation of Hazardous Energy</v>
      </c>
      <c r="J15" s="1" t="s">
        <v>64</v>
      </c>
      <c r="K15" s="1" t="s">
        <v>112</v>
      </c>
      <c r="L15" s="2" t="s">
        <v>113</v>
      </c>
      <c r="M15" s="1">
        <v>1</v>
      </c>
      <c r="P15" s="3" t="s">
        <v>114</v>
      </c>
      <c r="Q15" s="1" t="s">
        <v>96</v>
      </c>
      <c r="R15" s="1" t="s">
        <v>115</v>
      </c>
      <c r="S15" s="16">
        <v>46156</v>
      </c>
      <c r="T15" s="1">
        <f t="shared" si="2"/>
        <v>2026</v>
      </c>
      <c r="U15" s="1" t="str">
        <f t="shared" si="3"/>
        <v>TW II</v>
      </c>
      <c r="V15" s="1">
        <v>13</v>
      </c>
      <c r="W15" s="1" t="s">
        <v>41</v>
      </c>
      <c r="X15" s="3" t="s">
        <v>98</v>
      </c>
      <c r="Y15" s="3" t="s">
        <v>99</v>
      </c>
      <c r="Z15" s="3" t="s">
        <v>44</v>
      </c>
      <c r="AA15" s="1" t="s">
        <v>45</v>
      </c>
      <c r="AB15" s="3" t="s">
        <v>46</v>
      </c>
      <c r="AC15" s="3" t="s">
        <v>47</v>
      </c>
    </row>
    <row r="16" spans="1:32" ht="14.25" customHeight="1" x14ac:dyDescent="0.45">
      <c r="A16" s="1" t="s">
        <v>91</v>
      </c>
      <c r="B16" s="1">
        <v>1</v>
      </c>
      <c r="C16" s="1" t="s">
        <v>33</v>
      </c>
      <c r="F16" s="1" t="str">
        <f t="shared" si="0"/>
        <v>Baseline</v>
      </c>
      <c r="G16" s="1" t="str">
        <f t="shared" si="1"/>
        <v>Y</v>
      </c>
      <c r="H16" s="15" t="s">
        <v>92</v>
      </c>
      <c r="I16" s="1" t="str">
        <f>IFERROR(VLOOKUP(H16,'DATABASE-DRIFT_LATENT_HP_ERROR'!$A$143:$B$160,2,FALSE()),"")</f>
        <v>Powered System / Isolation of Hazardous Energy</v>
      </c>
      <c r="J16" s="1" t="s">
        <v>69</v>
      </c>
      <c r="K16" s="1" t="s">
        <v>116</v>
      </c>
      <c r="L16" s="2" t="s">
        <v>117</v>
      </c>
      <c r="M16" s="1">
        <v>1</v>
      </c>
      <c r="P16" s="3" t="s">
        <v>118</v>
      </c>
      <c r="Q16" s="1" t="s">
        <v>96</v>
      </c>
      <c r="R16" s="1" t="s">
        <v>119</v>
      </c>
      <c r="S16" s="16">
        <v>46156</v>
      </c>
      <c r="T16" s="1">
        <f t="shared" si="2"/>
        <v>2026</v>
      </c>
      <c r="U16" s="1" t="str">
        <f t="shared" si="3"/>
        <v>TW II</v>
      </c>
      <c r="V16" s="1">
        <v>13</v>
      </c>
      <c r="W16" s="1" t="s">
        <v>41</v>
      </c>
      <c r="X16" s="3" t="s">
        <v>98</v>
      </c>
      <c r="Y16" s="3" t="s">
        <v>99</v>
      </c>
      <c r="Z16" s="3" t="s">
        <v>44</v>
      </c>
      <c r="AA16" s="1" t="s">
        <v>45</v>
      </c>
      <c r="AB16" s="3" t="s">
        <v>46</v>
      </c>
      <c r="AC16" s="3" t="s">
        <v>47</v>
      </c>
    </row>
    <row r="17" spans="1:29" ht="14.25" customHeight="1" x14ac:dyDescent="0.45">
      <c r="A17" s="1" t="s">
        <v>91</v>
      </c>
      <c r="B17" s="1">
        <v>1</v>
      </c>
      <c r="C17" s="1" t="s">
        <v>33</v>
      </c>
      <c r="F17" s="1" t="str">
        <f t="shared" si="0"/>
        <v>Baseline</v>
      </c>
      <c r="G17" s="1" t="str">
        <f t="shared" si="1"/>
        <v>Y</v>
      </c>
      <c r="H17" s="15" t="s">
        <v>92</v>
      </c>
      <c r="I17" s="1" t="str">
        <f>IFERROR(VLOOKUP(H17,'DATABASE-DRIFT_LATENT_HP_ERROR'!$A$143:$B$160,2,FALSE()),"")</f>
        <v>Powered System / Isolation of Hazardous Energy</v>
      </c>
      <c r="J17" s="1" t="s">
        <v>75</v>
      </c>
      <c r="K17" s="1" t="s">
        <v>120</v>
      </c>
      <c r="L17" s="2" t="s">
        <v>121</v>
      </c>
      <c r="M17" s="1">
        <v>1</v>
      </c>
      <c r="P17" s="3" t="s">
        <v>122</v>
      </c>
      <c r="Q17" s="1" t="s">
        <v>96</v>
      </c>
      <c r="R17" s="1" t="s">
        <v>123</v>
      </c>
      <c r="S17" s="16">
        <v>46156</v>
      </c>
      <c r="T17" s="1">
        <f t="shared" si="2"/>
        <v>2026</v>
      </c>
      <c r="U17" s="1" t="str">
        <f t="shared" si="3"/>
        <v>TW II</v>
      </c>
      <c r="V17" s="1">
        <v>13</v>
      </c>
      <c r="W17" s="1" t="s">
        <v>41</v>
      </c>
      <c r="X17" s="3" t="s">
        <v>98</v>
      </c>
      <c r="Y17" s="3" t="s">
        <v>99</v>
      </c>
      <c r="Z17" s="3" t="s">
        <v>44</v>
      </c>
      <c r="AA17" s="1" t="s">
        <v>45</v>
      </c>
      <c r="AB17" s="3" t="s">
        <v>46</v>
      </c>
      <c r="AC17" s="3" t="s">
        <v>47</v>
      </c>
    </row>
    <row r="18" spans="1:29" ht="14.25" customHeight="1" x14ac:dyDescent="0.45">
      <c r="A18" s="1" t="s">
        <v>91</v>
      </c>
      <c r="B18" s="1">
        <v>1</v>
      </c>
      <c r="C18" s="1" t="s">
        <v>33</v>
      </c>
      <c r="F18" s="1" t="str">
        <f t="shared" si="0"/>
        <v>Baseline</v>
      </c>
      <c r="G18" s="1" t="str">
        <f t="shared" si="1"/>
        <v>Y</v>
      </c>
      <c r="H18" s="15" t="s">
        <v>92</v>
      </c>
      <c r="I18" s="1" t="str">
        <f>IFERROR(VLOOKUP(H18,'DATABASE-DRIFT_LATENT_HP_ERROR'!$A$143:$B$160,2,FALSE()),"")</f>
        <v>Powered System / Isolation of Hazardous Energy</v>
      </c>
      <c r="J18" s="1" t="s">
        <v>81</v>
      </c>
      <c r="K18" s="1" t="s">
        <v>124</v>
      </c>
      <c r="L18" s="2" t="s">
        <v>125</v>
      </c>
      <c r="O18" s="1">
        <v>1</v>
      </c>
      <c r="P18" s="3" t="s">
        <v>126</v>
      </c>
      <c r="Q18" s="1" t="s">
        <v>96</v>
      </c>
      <c r="R18" s="1" t="s">
        <v>127</v>
      </c>
      <c r="S18" s="16">
        <v>46156</v>
      </c>
      <c r="T18" s="1">
        <f t="shared" si="2"/>
        <v>2026</v>
      </c>
      <c r="U18" s="1" t="str">
        <f t="shared" si="3"/>
        <v>TW II</v>
      </c>
      <c r="V18" s="1">
        <v>13</v>
      </c>
      <c r="W18" s="1" t="s">
        <v>41</v>
      </c>
      <c r="X18" s="3" t="s">
        <v>98</v>
      </c>
      <c r="Y18" s="3" t="s">
        <v>99</v>
      </c>
      <c r="Z18" s="3" t="s">
        <v>44</v>
      </c>
      <c r="AA18" s="1" t="s">
        <v>45</v>
      </c>
      <c r="AB18" s="3" t="s">
        <v>46</v>
      </c>
      <c r="AC18" s="3" t="s">
        <v>47</v>
      </c>
    </row>
    <row r="19" spans="1:29" ht="14.25" customHeight="1" x14ac:dyDescent="0.45">
      <c r="A19" s="1" t="s">
        <v>91</v>
      </c>
      <c r="B19" s="1">
        <v>1</v>
      </c>
      <c r="C19" s="1" t="s">
        <v>33</v>
      </c>
      <c r="F19" s="1" t="str">
        <f t="shared" si="0"/>
        <v>Baseline</v>
      </c>
      <c r="G19" s="1" t="str">
        <f t="shared" si="1"/>
        <v>Y</v>
      </c>
      <c r="H19" s="15" t="s">
        <v>92</v>
      </c>
      <c r="I19" s="1" t="str">
        <f>IFERROR(VLOOKUP(H19,'DATABASE-DRIFT_LATENT_HP_ERROR'!$A$143:$B$160,2,FALSE()),"")</f>
        <v>Powered System / Isolation of Hazardous Energy</v>
      </c>
      <c r="J19" s="1" t="s">
        <v>86</v>
      </c>
      <c r="K19" s="1" t="s">
        <v>128</v>
      </c>
      <c r="L19" s="2" t="s">
        <v>129</v>
      </c>
      <c r="N19" s="1">
        <v>1</v>
      </c>
      <c r="P19" s="3" t="s">
        <v>130</v>
      </c>
      <c r="Q19" s="1" t="s">
        <v>57</v>
      </c>
      <c r="R19" s="1" t="s">
        <v>131</v>
      </c>
      <c r="S19" s="16">
        <v>46156</v>
      </c>
      <c r="T19" s="1">
        <f t="shared" si="2"/>
        <v>2026</v>
      </c>
      <c r="U19" s="1" t="str">
        <f t="shared" si="3"/>
        <v>TW II</v>
      </c>
      <c r="V19" s="1">
        <v>13</v>
      </c>
      <c r="W19" s="1" t="s">
        <v>41</v>
      </c>
      <c r="X19" s="3" t="s">
        <v>98</v>
      </c>
      <c r="Y19" s="3" t="s">
        <v>99</v>
      </c>
      <c r="Z19" s="3" t="s">
        <v>44</v>
      </c>
      <c r="AA19" s="1" t="s">
        <v>45</v>
      </c>
      <c r="AB19" s="3" t="s">
        <v>46</v>
      </c>
      <c r="AC19" s="3" t="s">
        <v>47</v>
      </c>
    </row>
    <row r="20" spans="1:29" ht="14.25" customHeight="1" x14ac:dyDescent="0.45">
      <c r="A20" s="1" t="s">
        <v>132</v>
      </c>
      <c r="B20" s="1">
        <v>1</v>
      </c>
      <c r="C20" s="1" t="s">
        <v>33</v>
      </c>
      <c r="F20" s="1" t="str">
        <f t="shared" si="0"/>
        <v>Baseline</v>
      </c>
      <c r="G20" s="1" t="str">
        <f t="shared" si="1"/>
        <v>Y</v>
      </c>
      <c r="H20" s="15" t="s">
        <v>92</v>
      </c>
      <c r="I20" s="1" t="str">
        <f>IFERROR(VLOOKUP(H20,'DATABASE-DRIFT_LATENT_HP_ERROR'!$A$143:$B$160,2,FALSE()),"")</f>
        <v>Powered System / Isolation of Hazardous Energy</v>
      </c>
      <c r="J20" s="1" t="s">
        <v>35</v>
      </c>
      <c r="K20" s="1" t="s">
        <v>93</v>
      </c>
      <c r="L20" s="2" t="s">
        <v>94</v>
      </c>
      <c r="M20" s="1">
        <v>1</v>
      </c>
      <c r="P20" s="3" t="s">
        <v>95</v>
      </c>
      <c r="Q20" s="1" t="s">
        <v>96</v>
      </c>
      <c r="R20" s="1" t="s">
        <v>97</v>
      </c>
      <c r="S20" s="16">
        <v>46157</v>
      </c>
      <c r="T20" s="1">
        <f t="shared" si="2"/>
        <v>2026</v>
      </c>
      <c r="U20" s="1" t="str">
        <f t="shared" si="3"/>
        <v>TW II</v>
      </c>
      <c r="V20" s="1">
        <v>13</v>
      </c>
      <c r="W20" s="1" t="s">
        <v>133</v>
      </c>
      <c r="X20" s="1" t="s">
        <v>134</v>
      </c>
      <c r="Y20" s="3" t="s">
        <v>135</v>
      </c>
      <c r="Z20" s="3" t="s">
        <v>44</v>
      </c>
      <c r="AA20" s="1" t="s">
        <v>45</v>
      </c>
      <c r="AB20" s="1" t="s">
        <v>136</v>
      </c>
      <c r="AC20" s="3" t="s">
        <v>137</v>
      </c>
    </row>
    <row r="21" spans="1:29" ht="14.25" customHeight="1" x14ac:dyDescent="0.45">
      <c r="A21" s="1" t="s">
        <v>132</v>
      </c>
      <c r="B21" s="1">
        <v>1</v>
      </c>
      <c r="C21" s="1" t="s">
        <v>33</v>
      </c>
      <c r="F21" s="1" t="str">
        <f t="shared" si="0"/>
        <v>Baseline</v>
      </c>
      <c r="G21" s="1" t="str">
        <f t="shared" si="1"/>
        <v>Y</v>
      </c>
      <c r="H21" s="15" t="s">
        <v>92</v>
      </c>
      <c r="I21" s="1" t="str">
        <f>IFERROR(VLOOKUP(H21,'DATABASE-DRIFT_LATENT_HP_ERROR'!$A$143:$B$160,2,FALSE()),"")</f>
        <v>Powered System / Isolation of Hazardous Energy</v>
      </c>
      <c r="J21" s="1" t="s">
        <v>48</v>
      </c>
      <c r="K21" s="1" t="s">
        <v>100</v>
      </c>
      <c r="L21" s="2" t="s">
        <v>101</v>
      </c>
      <c r="M21" s="1">
        <v>1</v>
      </c>
      <c r="P21" s="3" t="s">
        <v>102</v>
      </c>
      <c r="Q21" s="1" t="s">
        <v>96</v>
      </c>
      <c r="R21" s="1" t="s">
        <v>103</v>
      </c>
      <c r="S21" s="16">
        <v>46157</v>
      </c>
      <c r="T21" s="1">
        <f t="shared" si="2"/>
        <v>2026</v>
      </c>
      <c r="U21" s="1" t="str">
        <f t="shared" si="3"/>
        <v>TW II</v>
      </c>
      <c r="V21" s="1">
        <v>13</v>
      </c>
      <c r="W21" s="1" t="s">
        <v>133</v>
      </c>
      <c r="X21" s="1" t="s">
        <v>134</v>
      </c>
      <c r="Y21" s="3" t="s">
        <v>135</v>
      </c>
      <c r="Z21" s="3" t="s">
        <v>44</v>
      </c>
      <c r="AA21" s="1" t="s">
        <v>45</v>
      </c>
      <c r="AB21" s="1" t="s">
        <v>136</v>
      </c>
      <c r="AC21" s="3" t="s">
        <v>137</v>
      </c>
    </row>
    <row r="22" spans="1:29" ht="14.25" customHeight="1" x14ac:dyDescent="0.45">
      <c r="A22" s="1" t="s">
        <v>132</v>
      </c>
      <c r="B22" s="1">
        <v>1</v>
      </c>
      <c r="C22" s="1" t="s">
        <v>33</v>
      </c>
      <c r="F22" s="1" t="str">
        <f t="shared" si="0"/>
        <v>Baseline</v>
      </c>
      <c r="G22" s="1" t="str">
        <f t="shared" si="1"/>
        <v>Y</v>
      </c>
      <c r="H22" s="15" t="s">
        <v>92</v>
      </c>
      <c r="I22" s="1" t="str">
        <f>IFERROR(VLOOKUP(H22,'DATABASE-DRIFT_LATENT_HP_ERROR'!$A$143:$B$160,2,FALSE()),"")</f>
        <v>Powered System / Isolation of Hazardous Energy</v>
      </c>
      <c r="J22" s="1" t="s">
        <v>53</v>
      </c>
      <c r="K22" s="1" t="s">
        <v>104</v>
      </c>
      <c r="L22" s="2" t="s">
        <v>105</v>
      </c>
      <c r="N22" s="1">
        <v>1</v>
      </c>
      <c r="P22" s="3" t="s">
        <v>138</v>
      </c>
      <c r="Q22" s="1" t="s">
        <v>57</v>
      </c>
      <c r="R22" s="1" t="s">
        <v>107</v>
      </c>
      <c r="S22" s="16">
        <v>46157</v>
      </c>
      <c r="T22" s="1">
        <f t="shared" si="2"/>
        <v>2026</v>
      </c>
      <c r="U22" s="1" t="str">
        <f t="shared" si="3"/>
        <v>TW II</v>
      </c>
      <c r="V22" s="1">
        <v>13</v>
      </c>
      <c r="W22" s="1" t="s">
        <v>133</v>
      </c>
      <c r="X22" s="1" t="s">
        <v>134</v>
      </c>
      <c r="Y22" s="3" t="s">
        <v>135</v>
      </c>
      <c r="Z22" s="3" t="s">
        <v>44</v>
      </c>
      <c r="AA22" s="1" t="s">
        <v>45</v>
      </c>
      <c r="AB22" s="1" t="s">
        <v>136</v>
      </c>
      <c r="AC22" s="3" t="s">
        <v>137</v>
      </c>
    </row>
    <row r="23" spans="1:29" ht="14.25" customHeight="1" x14ac:dyDescent="0.45">
      <c r="A23" s="1" t="s">
        <v>132</v>
      </c>
      <c r="B23" s="1">
        <v>1</v>
      </c>
      <c r="C23" s="1" t="s">
        <v>33</v>
      </c>
      <c r="F23" s="1" t="str">
        <f t="shared" si="0"/>
        <v>Baseline</v>
      </c>
      <c r="G23" s="1" t="str">
        <f t="shared" si="1"/>
        <v>Y</v>
      </c>
      <c r="H23" s="15" t="s">
        <v>92</v>
      </c>
      <c r="I23" s="1" t="str">
        <f>IFERROR(VLOOKUP(H23,'DATABASE-DRIFT_LATENT_HP_ERROR'!$A$143:$B$160,2,FALSE()),"")</f>
        <v>Powered System / Isolation of Hazardous Energy</v>
      </c>
      <c r="J23" s="1" t="s">
        <v>59</v>
      </c>
      <c r="K23" s="1" t="s">
        <v>108</v>
      </c>
      <c r="L23" s="2" t="s">
        <v>109</v>
      </c>
      <c r="N23" s="1">
        <v>1</v>
      </c>
      <c r="P23" s="3" t="s">
        <v>139</v>
      </c>
      <c r="Q23" s="1" t="s">
        <v>57</v>
      </c>
      <c r="R23" s="1" t="s">
        <v>111</v>
      </c>
      <c r="S23" s="16">
        <v>46157</v>
      </c>
      <c r="T23" s="1">
        <f t="shared" si="2"/>
        <v>2026</v>
      </c>
      <c r="U23" s="1" t="str">
        <f t="shared" si="3"/>
        <v>TW II</v>
      </c>
      <c r="V23" s="1">
        <v>13</v>
      </c>
      <c r="W23" s="1" t="s">
        <v>133</v>
      </c>
      <c r="X23" s="1" t="s">
        <v>134</v>
      </c>
      <c r="Y23" s="3" t="s">
        <v>135</v>
      </c>
      <c r="Z23" s="3" t="s">
        <v>44</v>
      </c>
      <c r="AA23" s="1" t="s">
        <v>45</v>
      </c>
      <c r="AB23" s="1" t="s">
        <v>136</v>
      </c>
      <c r="AC23" s="3" t="s">
        <v>137</v>
      </c>
    </row>
    <row r="24" spans="1:29" ht="27.75" customHeight="1" x14ac:dyDescent="0.45">
      <c r="A24" s="1" t="s">
        <v>132</v>
      </c>
      <c r="B24" s="1">
        <v>1</v>
      </c>
      <c r="C24" s="1" t="s">
        <v>33</v>
      </c>
      <c r="F24" s="1" t="str">
        <f t="shared" si="0"/>
        <v>Baseline</v>
      </c>
      <c r="G24" s="1" t="str">
        <f t="shared" si="1"/>
        <v>Y</v>
      </c>
      <c r="H24" s="15" t="s">
        <v>92</v>
      </c>
      <c r="I24" s="1" t="str">
        <f>IFERROR(VLOOKUP(H24,'DATABASE-DRIFT_LATENT_HP_ERROR'!$A$143:$B$160,2,FALSE()),"")</f>
        <v>Powered System / Isolation of Hazardous Energy</v>
      </c>
      <c r="J24" s="1" t="s">
        <v>64</v>
      </c>
      <c r="K24" s="1" t="s">
        <v>112</v>
      </c>
      <c r="L24" s="2" t="s">
        <v>113</v>
      </c>
      <c r="M24" s="1">
        <v>1</v>
      </c>
      <c r="P24" s="3" t="s">
        <v>114</v>
      </c>
      <c r="Q24" s="1" t="s">
        <v>96</v>
      </c>
      <c r="R24" s="1" t="s">
        <v>115</v>
      </c>
      <c r="S24" s="16">
        <v>46157</v>
      </c>
      <c r="T24" s="1">
        <f t="shared" si="2"/>
        <v>2026</v>
      </c>
      <c r="U24" s="1" t="str">
        <f t="shared" si="3"/>
        <v>TW II</v>
      </c>
      <c r="V24" s="1">
        <v>13</v>
      </c>
      <c r="W24" s="1" t="s">
        <v>133</v>
      </c>
      <c r="X24" s="1" t="s">
        <v>134</v>
      </c>
      <c r="Y24" s="3" t="s">
        <v>135</v>
      </c>
      <c r="Z24" s="3" t="s">
        <v>44</v>
      </c>
      <c r="AA24" s="1" t="s">
        <v>45</v>
      </c>
      <c r="AB24" s="1" t="s">
        <v>136</v>
      </c>
      <c r="AC24" s="3" t="s">
        <v>137</v>
      </c>
    </row>
    <row r="25" spans="1:29" ht="14.25" customHeight="1" x14ac:dyDescent="0.45">
      <c r="A25" s="1" t="s">
        <v>132</v>
      </c>
      <c r="B25" s="1">
        <v>1</v>
      </c>
      <c r="C25" s="1" t="s">
        <v>33</v>
      </c>
      <c r="F25" s="1" t="str">
        <f t="shared" si="0"/>
        <v>Baseline</v>
      </c>
      <c r="G25" s="1" t="str">
        <f t="shared" si="1"/>
        <v>Y</v>
      </c>
      <c r="H25" s="15" t="s">
        <v>92</v>
      </c>
      <c r="I25" s="1" t="str">
        <f>IFERROR(VLOOKUP(H25,'DATABASE-DRIFT_LATENT_HP_ERROR'!$A$143:$B$160,2,FALSE()),"")</f>
        <v>Powered System / Isolation of Hazardous Energy</v>
      </c>
      <c r="J25" s="1" t="s">
        <v>69</v>
      </c>
      <c r="K25" s="1" t="s">
        <v>116</v>
      </c>
      <c r="L25" s="2" t="s">
        <v>117</v>
      </c>
      <c r="M25" s="1">
        <v>1</v>
      </c>
      <c r="P25" s="3" t="s">
        <v>118</v>
      </c>
      <c r="Q25" s="1" t="s">
        <v>96</v>
      </c>
      <c r="R25" s="1" t="s">
        <v>119</v>
      </c>
      <c r="S25" s="16">
        <v>46157</v>
      </c>
      <c r="T25" s="1">
        <f t="shared" si="2"/>
        <v>2026</v>
      </c>
      <c r="U25" s="1" t="str">
        <f t="shared" si="3"/>
        <v>TW II</v>
      </c>
      <c r="V25" s="1">
        <v>13</v>
      </c>
      <c r="W25" s="1" t="s">
        <v>133</v>
      </c>
      <c r="X25" s="1" t="s">
        <v>134</v>
      </c>
      <c r="Y25" s="3" t="s">
        <v>135</v>
      </c>
      <c r="Z25" s="3" t="s">
        <v>44</v>
      </c>
      <c r="AA25" s="1" t="s">
        <v>45</v>
      </c>
      <c r="AB25" s="1" t="s">
        <v>136</v>
      </c>
      <c r="AC25" s="3" t="s">
        <v>137</v>
      </c>
    </row>
    <row r="26" spans="1:29" ht="14.25" customHeight="1" x14ac:dyDescent="0.45">
      <c r="A26" s="1" t="s">
        <v>132</v>
      </c>
      <c r="B26" s="1">
        <v>1</v>
      </c>
      <c r="C26" s="1" t="s">
        <v>33</v>
      </c>
      <c r="F26" s="1" t="str">
        <f t="shared" si="0"/>
        <v>Baseline</v>
      </c>
      <c r="G26" s="1" t="str">
        <f t="shared" si="1"/>
        <v>Y</v>
      </c>
      <c r="H26" s="15" t="s">
        <v>92</v>
      </c>
      <c r="I26" s="1" t="str">
        <f>IFERROR(VLOOKUP(H26,'DATABASE-DRIFT_LATENT_HP_ERROR'!$A$143:$B$160,2,FALSE()),"")</f>
        <v>Powered System / Isolation of Hazardous Energy</v>
      </c>
      <c r="J26" s="1" t="s">
        <v>75</v>
      </c>
      <c r="K26" s="1" t="s">
        <v>120</v>
      </c>
      <c r="L26" s="2" t="s">
        <v>121</v>
      </c>
      <c r="M26" s="1">
        <v>1</v>
      </c>
      <c r="P26" s="3" t="s">
        <v>122</v>
      </c>
      <c r="Q26" s="1" t="s">
        <v>96</v>
      </c>
      <c r="R26" s="1" t="s">
        <v>123</v>
      </c>
      <c r="S26" s="16">
        <v>46157</v>
      </c>
      <c r="T26" s="1">
        <f t="shared" si="2"/>
        <v>2026</v>
      </c>
      <c r="U26" s="1" t="str">
        <f t="shared" si="3"/>
        <v>TW II</v>
      </c>
      <c r="V26" s="1">
        <v>13</v>
      </c>
      <c r="W26" s="1" t="s">
        <v>133</v>
      </c>
      <c r="X26" s="1" t="s">
        <v>134</v>
      </c>
      <c r="Y26" s="3" t="s">
        <v>135</v>
      </c>
      <c r="Z26" s="3" t="s">
        <v>44</v>
      </c>
      <c r="AA26" s="1" t="s">
        <v>45</v>
      </c>
      <c r="AB26" s="1" t="s">
        <v>136</v>
      </c>
      <c r="AC26" s="3" t="s">
        <v>137</v>
      </c>
    </row>
    <row r="27" spans="1:29" ht="14.25" customHeight="1" x14ac:dyDescent="0.45">
      <c r="A27" s="1" t="s">
        <v>132</v>
      </c>
      <c r="B27" s="1">
        <v>1</v>
      </c>
      <c r="C27" s="1" t="s">
        <v>33</v>
      </c>
      <c r="F27" s="1" t="str">
        <f t="shared" si="0"/>
        <v>Baseline</v>
      </c>
      <c r="G27" s="1" t="str">
        <f t="shared" si="1"/>
        <v>Y</v>
      </c>
      <c r="H27" s="15" t="s">
        <v>92</v>
      </c>
      <c r="I27" s="1" t="str">
        <f>IFERROR(VLOOKUP(H27,'DATABASE-DRIFT_LATENT_HP_ERROR'!$A$143:$B$160,2,FALSE()),"")</f>
        <v>Powered System / Isolation of Hazardous Energy</v>
      </c>
      <c r="J27" s="1" t="s">
        <v>81</v>
      </c>
      <c r="K27" s="1" t="s">
        <v>124</v>
      </c>
      <c r="L27" s="2" t="s">
        <v>125</v>
      </c>
      <c r="O27" s="1">
        <v>1</v>
      </c>
      <c r="P27" s="3" t="s">
        <v>126</v>
      </c>
      <c r="Q27" s="1" t="s">
        <v>96</v>
      </c>
      <c r="R27" s="1" t="s">
        <v>127</v>
      </c>
      <c r="S27" s="16">
        <v>46157</v>
      </c>
      <c r="T27" s="1">
        <f t="shared" si="2"/>
        <v>2026</v>
      </c>
      <c r="U27" s="1" t="str">
        <f t="shared" si="3"/>
        <v>TW II</v>
      </c>
      <c r="V27" s="1">
        <v>13</v>
      </c>
      <c r="W27" s="1" t="s">
        <v>133</v>
      </c>
      <c r="X27" s="1" t="s">
        <v>134</v>
      </c>
      <c r="Y27" s="3" t="s">
        <v>135</v>
      </c>
      <c r="Z27" s="3" t="s">
        <v>44</v>
      </c>
      <c r="AA27" s="1" t="s">
        <v>45</v>
      </c>
      <c r="AB27" s="1" t="s">
        <v>136</v>
      </c>
      <c r="AC27" s="3" t="s">
        <v>137</v>
      </c>
    </row>
    <row r="28" spans="1:29" ht="14.25" customHeight="1" x14ac:dyDescent="0.45">
      <c r="A28" s="1" t="s">
        <v>132</v>
      </c>
      <c r="B28" s="1">
        <v>1</v>
      </c>
      <c r="C28" s="1" t="s">
        <v>33</v>
      </c>
      <c r="F28" s="1" t="str">
        <f t="shared" si="0"/>
        <v>Baseline</v>
      </c>
      <c r="G28" s="1" t="str">
        <f t="shared" si="1"/>
        <v>Y</v>
      </c>
      <c r="H28" s="15" t="s">
        <v>92</v>
      </c>
      <c r="I28" s="1" t="str">
        <f>IFERROR(VLOOKUP(H28,'DATABASE-DRIFT_LATENT_HP_ERROR'!$A$143:$B$160,2,FALSE()),"")</f>
        <v>Powered System / Isolation of Hazardous Energy</v>
      </c>
      <c r="J28" s="1" t="s">
        <v>86</v>
      </c>
      <c r="K28" s="1" t="s">
        <v>128</v>
      </c>
      <c r="L28" s="2" t="s">
        <v>129</v>
      </c>
      <c r="N28" s="1">
        <v>1</v>
      </c>
      <c r="P28" s="3" t="s">
        <v>140</v>
      </c>
      <c r="Q28" s="1" t="s">
        <v>57</v>
      </c>
      <c r="R28" s="1" t="s">
        <v>141</v>
      </c>
      <c r="S28" s="16">
        <v>46157</v>
      </c>
      <c r="T28" s="1">
        <f t="shared" si="2"/>
        <v>2026</v>
      </c>
      <c r="U28" s="1" t="str">
        <f t="shared" si="3"/>
        <v>TW II</v>
      </c>
      <c r="V28" s="1">
        <v>13</v>
      </c>
      <c r="W28" s="1" t="s">
        <v>133</v>
      </c>
      <c r="X28" s="1" t="s">
        <v>134</v>
      </c>
      <c r="Y28" s="3" t="s">
        <v>135</v>
      </c>
      <c r="Z28" s="3" t="s">
        <v>44</v>
      </c>
      <c r="AA28" s="1" t="s">
        <v>45</v>
      </c>
      <c r="AB28" s="1" t="s">
        <v>136</v>
      </c>
      <c r="AC28" s="3" t="s">
        <v>137</v>
      </c>
    </row>
    <row r="29" spans="1:29" ht="14.25" customHeight="1" x14ac:dyDescent="0.45">
      <c r="A29" s="1" t="s">
        <v>142</v>
      </c>
      <c r="B29" s="1">
        <v>1</v>
      </c>
      <c r="C29" s="1" t="s">
        <v>33</v>
      </c>
      <c r="F29" s="1" t="str">
        <f t="shared" si="0"/>
        <v>Baseline</v>
      </c>
      <c r="G29" s="1" t="str">
        <f t="shared" si="1"/>
        <v>Y</v>
      </c>
      <c r="H29" s="15" t="s">
        <v>143</v>
      </c>
      <c r="I29" s="1" t="str">
        <f>IFERROR(VLOOKUP(H29,'DATABASE-DRIFT_LATENT_HP_ERROR'!$A$143:$B$160,2,FALSE()),"")</f>
        <v>Ground Disturbance or Excavation</v>
      </c>
      <c r="J29" s="1" t="s">
        <v>35</v>
      </c>
      <c r="K29" s="1" t="s">
        <v>144</v>
      </c>
      <c r="L29" s="2" t="s">
        <v>145</v>
      </c>
      <c r="M29" s="1">
        <v>1</v>
      </c>
      <c r="P29" s="3" t="s">
        <v>146</v>
      </c>
      <c r="Q29" s="1" t="s">
        <v>147</v>
      </c>
      <c r="R29" s="1" t="s">
        <v>148</v>
      </c>
      <c r="S29" s="16">
        <v>46157</v>
      </c>
      <c r="T29" s="1">
        <f t="shared" si="2"/>
        <v>2026</v>
      </c>
      <c r="U29" s="1" t="str">
        <f t="shared" si="3"/>
        <v>TW II</v>
      </c>
      <c r="V29" s="1">
        <v>13</v>
      </c>
      <c r="W29" s="1" t="s">
        <v>133</v>
      </c>
      <c r="X29" s="3" t="s">
        <v>149</v>
      </c>
      <c r="Y29" s="3" t="s">
        <v>150</v>
      </c>
      <c r="Z29" s="3" t="s">
        <v>44</v>
      </c>
      <c r="AA29" s="1" t="s">
        <v>45</v>
      </c>
      <c r="AB29" s="3" t="s">
        <v>136</v>
      </c>
      <c r="AC29" s="3" t="s">
        <v>137</v>
      </c>
    </row>
    <row r="30" spans="1:29" ht="14.25" customHeight="1" x14ac:dyDescent="0.45">
      <c r="A30" s="1" t="s">
        <v>142</v>
      </c>
      <c r="B30" s="1">
        <v>1</v>
      </c>
      <c r="C30" s="1" t="s">
        <v>33</v>
      </c>
      <c r="F30" s="1" t="str">
        <f t="shared" si="0"/>
        <v>Baseline</v>
      </c>
      <c r="G30" s="1" t="str">
        <f t="shared" si="1"/>
        <v>Y</v>
      </c>
      <c r="H30" s="15" t="s">
        <v>143</v>
      </c>
      <c r="I30" s="1" t="str">
        <f>IFERROR(VLOOKUP(H30,'DATABASE-DRIFT_LATENT_HP_ERROR'!$A$143:$B$160,2,FALSE()),"")</f>
        <v>Ground Disturbance or Excavation</v>
      </c>
      <c r="J30" s="1" t="s">
        <v>48</v>
      </c>
      <c r="K30" s="1" t="s">
        <v>151</v>
      </c>
      <c r="L30" s="2" t="s">
        <v>152</v>
      </c>
      <c r="O30" s="1">
        <v>1</v>
      </c>
      <c r="P30" s="3" t="s">
        <v>153</v>
      </c>
      <c r="Q30" s="1" t="s">
        <v>154</v>
      </c>
      <c r="R30" s="1" t="s">
        <v>155</v>
      </c>
      <c r="S30" s="16">
        <v>46157</v>
      </c>
      <c r="T30" s="1">
        <f t="shared" si="2"/>
        <v>2026</v>
      </c>
      <c r="U30" s="1" t="str">
        <f t="shared" si="3"/>
        <v>TW II</v>
      </c>
      <c r="V30" s="1">
        <v>13</v>
      </c>
      <c r="W30" s="1" t="s">
        <v>133</v>
      </c>
      <c r="X30" s="3" t="s">
        <v>149</v>
      </c>
      <c r="Y30" s="3" t="s">
        <v>150</v>
      </c>
      <c r="Z30" s="3" t="s">
        <v>44</v>
      </c>
      <c r="AA30" s="1" t="s">
        <v>45</v>
      </c>
      <c r="AB30" s="3" t="s">
        <v>136</v>
      </c>
      <c r="AC30" s="3" t="s">
        <v>137</v>
      </c>
    </row>
    <row r="31" spans="1:29" ht="14.25" customHeight="1" x14ac:dyDescent="0.45">
      <c r="A31" s="1" t="s">
        <v>142</v>
      </c>
      <c r="B31" s="1">
        <v>1</v>
      </c>
      <c r="C31" s="1" t="s">
        <v>33</v>
      </c>
      <c r="F31" s="1" t="str">
        <f t="shared" si="0"/>
        <v>Baseline</v>
      </c>
      <c r="G31" s="1" t="str">
        <f t="shared" si="1"/>
        <v>Y</v>
      </c>
      <c r="H31" s="15" t="s">
        <v>143</v>
      </c>
      <c r="I31" s="1" t="str">
        <f>IFERROR(VLOOKUP(H31,'DATABASE-DRIFT_LATENT_HP_ERROR'!$A$143:$B$160,2,FALSE()),"")</f>
        <v>Ground Disturbance or Excavation</v>
      </c>
      <c r="J31" s="1" t="s">
        <v>53</v>
      </c>
      <c r="K31" s="1" t="s">
        <v>156</v>
      </c>
      <c r="L31" s="2" t="s">
        <v>157</v>
      </c>
      <c r="N31" s="1">
        <v>1</v>
      </c>
      <c r="P31" s="3" t="s">
        <v>158</v>
      </c>
      <c r="Q31" s="1" t="s">
        <v>159</v>
      </c>
      <c r="R31" s="1" t="s">
        <v>111</v>
      </c>
      <c r="S31" s="16">
        <v>46157</v>
      </c>
      <c r="T31" s="1">
        <f t="shared" si="2"/>
        <v>2026</v>
      </c>
      <c r="U31" s="1" t="str">
        <f t="shared" si="3"/>
        <v>TW II</v>
      </c>
      <c r="V31" s="1">
        <v>13</v>
      </c>
      <c r="W31" s="1" t="s">
        <v>133</v>
      </c>
      <c r="X31" s="3" t="s">
        <v>149</v>
      </c>
      <c r="Y31" s="3" t="s">
        <v>150</v>
      </c>
      <c r="Z31" s="3" t="s">
        <v>44</v>
      </c>
      <c r="AA31" s="1" t="s">
        <v>45</v>
      </c>
      <c r="AB31" s="3" t="s">
        <v>136</v>
      </c>
      <c r="AC31" s="3" t="s">
        <v>137</v>
      </c>
    </row>
    <row r="32" spans="1:29" ht="14.25" customHeight="1" x14ac:dyDescent="0.45">
      <c r="A32" s="1" t="s">
        <v>142</v>
      </c>
      <c r="B32" s="1">
        <v>1</v>
      </c>
      <c r="C32" s="1" t="s">
        <v>33</v>
      </c>
      <c r="F32" s="1" t="str">
        <f t="shared" si="0"/>
        <v>Baseline</v>
      </c>
      <c r="G32" s="1" t="str">
        <f t="shared" si="1"/>
        <v>Y</v>
      </c>
      <c r="H32" s="15" t="s">
        <v>143</v>
      </c>
      <c r="I32" s="1" t="str">
        <f>IFERROR(VLOOKUP(H32,'DATABASE-DRIFT_LATENT_HP_ERROR'!$A$143:$B$160,2,FALSE()),"")</f>
        <v>Ground Disturbance or Excavation</v>
      </c>
      <c r="J32" s="1" t="s">
        <v>59</v>
      </c>
      <c r="K32" s="1" t="s">
        <v>160</v>
      </c>
      <c r="L32" s="2" t="s">
        <v>161</v>
      </c>
      <c r="M32" s="1">
        <v>1</v>
      </c>
      <c r="P32" s="3" t="s">
        <v>162</v>
      </c>
      <c r="Q32" s="1" t="s">
        <v>163</v>
      </c>
      <c r="R32" s="1" t="s">
        <v>164</v>
      </c>
      <c r="S32" s="16">
        <v>46157</v>
      </c>
      <c r="T32" s="1">
        <f t="shared" si="2"/>
        <v>2026</v>
      </c>
      <c r="U32" s="1" t="str">
        <f t="shared" si="3"/>
        <v>TW II</v>
      </c>
      <c r="V32" s="1">
        <v>13</v>
      </c>
      <c r="W32" s="1" t="s">
        <v>133</v>
      </c>
      <c r="X32" s="3" t="s">
        <v>149</v>
      </c>
      <c r="Y32" s="3" t="s">
        <v>150</v>
      </c>
      <c r="Z32" s="3" t="s">
        <v>44</v>
      </c>
      <c r="AA32" s="1" t="s">
        <v>45</v>
      </c>
      <c r="AB32" s="3" t="s">
        <v>136</v>
      </c>
      <c r="AC32" s="3" t="s">
        <v>137</v>
      </c>
    </row>
    <row r="33" spans="1:32" ht="14.25" customHeight="1" x14ac:dyDescent="0.45">
      <c r="A33" s="1" t="s">
        <v>142</v>
      </c>
      <c r="B33" s="1">
        <v>1</v>
      </c>
      <c r="C33" s="1" t="s">
        <v>33</v>
      </c>
      <c r="F33" s="1" t="str">
        <f t="shared" si="0"/>
        <v>Baseline</v>
      </c>
      <c r="G33" s="1" t="str">
        <f t="shared" si="1"/>
        <v>Y</v>
      </c>
      <c r="H33" s="15" t="s">
        <v>143</v>
      </c>
      <c r="I33" s="1" t="str">
        <f>IFERROR(VLOOKUP(H33,'DATABASE-DRIFT_LATENT_HP_ERROR'!$A$143:$B$160,2,FALSE()),"")</f>
        <v>Ground Disturbance or Excavation</v>
      </c>
      <c r="J33" s="1" t="s">
        <v>64</v>
      </c>
      <c r="K33" s="1" t="s">
        <v>165</v>
      </c>
      <c r="L33" s="2" t="s">
        <v>166</v>
      </c>
      <c r="N33" s="1">
        <v>1</v>
      </c>
      <c r="P33" s="3" t="s">
        <v>167</v>
      </c>
      <c r="Q33" s="1" t="s">
        <v>168</v>
      </c>
      <c r="R33" s="1" t="s">
        <v>169</v>
      </c>
      <c r="S33" s="16">
        <v>46157</v>
      </c>
      <c r="T33" s="1">
        <f t="shared" si="2"/>
        <v>2026</v>
      </c>
      <c r="U33" s="1" t="str">
        <f t="shared" si="3"/>
        <v>TW II</v>
      </c>
      <c r="V33" s="1">
        <v>13</v>
      </c>
      <c r="W33" s="1" t="s">
        <v>133</v>
      </c>
      <c r="X33" s="3" t="s">
        <v>149</v>
      </c>
      <c r="Y33" s="3" t="s">
        <v>150</v>
      </c>
      <c r="Z33" s="3" t="s">
        <v>44</v>
      </c>
      <c r="AA33" s="1" t="s">
        <v>45</v>
      </c>
      <c r="AB33" s="3" t="s">
        <v>136</v>
      </c>
      <c r="AC33" s="3" t="s">
        <v>137</v>
      </c>
    </row>
    <row r="34" spans="1:32" ht="14.25" customHeight="1" x14ac:dyDescent="0.45">
      <c r="A34" s="1" t="s">
        <v>170</v>
      </c>
      <c r="B34" s="1">
        <v>1</v>
      </c>
      <c r="C34" s="1" t="s">
        <v>33</v>
      </c>
      <c r="F34" s="1" t="str">
        <f t="shared" si="0"/>
        <v>Baseline</v>
      </c>
      <c r="G34" s="1" t="str">
        <f t="shared" si="1"/>
        <v>Y</v>
      </c>
      <c r="H34" s="15" t="s">
        <v>34</v>
      </c>
      <c r="I34" s="1" t="str">
        <f>IFERROR(VLOOKUP(H34,'DATABASE-DRIFT_LATENT_HP_ERROR'!$A$143:$B$160,2,FALSE()),"")</f>
        <v>Work at Height</v>
      </c>
      <c r="J34" s="1" t="s">
        <v>35</v>
      </c>
      <c r="K34" s="1" t="s">
        <v>36</v>
      </c>
      <c r="L34" s="2" t="s">
        <v>37</v>
      </c>
      <c r="N34" s="1">
        <v>1</v>
      </c>
      <c r="P34" s="3" t="s">
        <v>171</v>
      </c>
      <c r="Q34" s="1" t="s">
        <v>39</v>
      </c>
      <c r="R34" s="1" t="s">
        <v>40</v>
      </c>
      <c r="S34" s="17">
        <v>46163</v>
      </c>
      <c r="T34" s="1">
        <f t="shared" ref="T34:T56" si="4">IF(S34="","",YEAR(S34))</f>
        <v>2026</v>
      </c>
      <c r="U34" s="1" t="str">
        <f t="shared" ref="U34:U56" si="5">IF(S34="","","TW "&amp;CHOOSE(ROUNDUP(MONTH(S34)/3,0),"I","II","III","IV"))</f>
        <v>TW II</v>
      </c>
      <c r="V34" s="1">
        <v>11</v>
      </c>
      <c r="W34" s="1" t="s">
        <v>172</v>
      </c>
      <c r="X34" s="3" t="s">
        <v>173</v>
      </c>
      <c r="Y34" s="3" t="s">
        <v>174</v>
      </c>
      <c r="Z34" s="3" t="s">
        <v>175</v>
      </c>
      <c r="AA34" s="1" t="s">
        <v>45</v>
      </c>
      <c r="AB34" s="3" t="s">
        <v>176</v>
      </c>
      <c r="AC34" s="3" t="s">
        <v>177</v>
      </c>
      <c r="AD34" s="4" t="s">
        <v>178</v>
      </c>
      <c r="AE34" s="1" t="s">
        <v>179</v>
      </c>
      <c r="AF34" s="1" t="s">
        <v>180</v>
      </c>
    </row>
    <row r="35" spans="1:32" ht="14.25" customHeight="1" x14ac:dyDescent="0.45">
      <c r="A35" s="1" t="s">
        <v>170</v>
      </c>
      <c r="B35" s="1">
        <v>1</v>
      </c>
      <c r="C35" s="1" t="s">
        <v>33</v>
      </c>
      <c r="F35" s="1" t="str">
        <f t="shared" si="0"/>
        <v>Baseline</v>
      </c>
      <c r="G35" s="1" t="str">
        <f t="shared" si="1"/>
        <v>Y</v>
      </c>
      <c r="H35" s="15" t="s">
        <v>34</v>
      </c>
      <c r="I35" s="1" t="str">
        <f>IFERROR(VLOOKUP(H35,'DATABASE-DRIFT_LATENT_HP_ERROR'!$A$143:$B$160,2,FALSE()),"")</f>
        <v>Work at Height</v>
      </c>
      <c r="J35" s="1" t="s">
        <v>48</v>
      </c>
      <c r="K35" s="1" t="s">
        <v>49</v>
      </c>
      <c r="L35" s="2" t="s">
        <v>50</v>
      </c>
      <c r="N35" s="1">
        <v>1</v>
      </c>
      <c r="P35" s="3" t="s">
        <v>181</v>
      </c>
      <c r="Q35" s="1" t="s">
        <v>39</v>
      </c>
      <c r="R35" s="1" t="s">
        <v>52</v>
      </c>
      <c r="S35" s="17">
        <v>46163</v>
      </c>
      <c r="T35" s="1">
        <f t="shared" si="4"/>
        <v>2026</v>
      </c>
      <c r="U35" s="1" t="str">
        <f t="shared" si="5"/>
        <v>TW II</v>
      </c>
      <c r="V35" s="1">
        <v>11</v>
      </c>
      <c r="W35" s="1" t="s">
        <v>172</v>
      </c>
      <c r="X35" s="3" t="s">
        <v>173</v>
      </c>
      <c r="Y35" s="3" t="s">
        <v>174</v>
      </c>
      <c r="Z35" s="3" t="s">
        <v>175</v>
      </c>
      <c r="AA35" s="1" t="s">
        <v>45</v>
      </c>
      <c r="AB35" s="3" t="s">
        <v>176</v>
      </c>
      <c r="AC35" s="3" t="s">
        <v>177</v>
      </c>
      <c r="AD35" s="4" t="s">
        <v>178</v>
      </c>
      <c r="AE35" s="1" t="s">
        <v>179</v>
      </c>
      <c r="AF35" s="1" t="s">
        <v>180</v>
      </c>
    </row>
    <row r="36" spans="1:32" ht="14.25" customHeight="1" x14ac:dyDescent="0.45">
      <c r="A36" s="1" t="s">
        <v>170</v>
      </c>
      <c r="B36" s="1">
        <v>1</v>
      </c>
      <c r="C36" s="1" t="s">
        <v>33</v>
      </c>
      <c r="F36" s="1" t="str">
        <f t="shared" si="0"/>
        <v>Baseline</v>
      </c>
      <c r="G36" s="1" t="str">
        <f t="shared" si="1"/>
        <v>Y</v>
      </c>
      <c r="H36" s="15" t="s">
        <v>34</v>
      </c>
      <c r="I36" s="1" t="str">
        <f>IFERROR(VLOOKUP(H36,'DATABASE-DRIFT_LATENT_HP_ERROR'!$A$143:$B$160,2,FALSE()),"")</f>
        <v>Work at Height</v>
      </c>
      <c r="J36" s="1" t="s">
        <v>53</v>
      </c>
      <c r="K36" s="1" t="s">
        <v>54</v>
      </c>
      <c r="L36" s="2" t="s">
        <v>55</v>
      </c>
      <c r="N36" s="1">
        <v>1</v>
      </c>
      <c r="P36" s="3" t="s">
        <v>182</v>
      </c>
      <c r="Q36" s="1" t="s">
        <v>57</v>
      </c>
      <c r="R36" s="1" t="s">
        <v>58</v>
      </c>
      <c r="S36" s="17">
        <v>46163</v>
      </c>
      <c r="T36" s="1">
        <f t="shared" si="4"/>
        <v>2026</v>
      </c>
      <c r="U36" s="1" t="str">
        <f t="shared" si="5"/>
        <v>TW II</v>
      </c>
      <c r="V36" s="1">
        <v>11</v>
      </c>
      <c r="W36" s="1" t="s">
        <v>172</v>
      </c>
      <c r="X36" s="3" t="s">
        <v>173</v>
      </c>
      <c r="Y36" s="3" t="s">
        <v>174</v>
      </c>
      <c r="Z36" s="3" t="s">
        <v>175</v>
      </c>
      <c r="AA36" s="1" t="s">
        <v>45</v>
      </c>
      <c r="AB36" s="3" t="s">
        <v>176</v>
      </c>
      <c r="AC36" s="3" t="s">
        <v>177</v>
      </c>
      <c r="AD36" s="4" t="s">
        <v>178</v>
      </c>
      <c r="AE36" s="1" t="s">
        <v>179</v>
      </c>
      <c r="AF36" s="1" t="s">
        <v>180</v>
      </c>
    </row>
    <row r="37" spans="1:32" ht="14.25" customHeight="1" x14ac:dyDescent="0.45">
      <c r="A37" s="1" t="s">
        <v>170</v>
      </c>
      <c r="B37" s="1">
        <v>1</v>
      </c>
      <c r="C37" s="1" t="s">
        <v>33</v>
      </c>
      <c r="F37" s="1" t="str">
        <f t="shared" si="0"/>
        <v>Baseline</v>
      </c>
      <c r="G37" s="1" t="str">
        <f t="shared" si="1"/>
        <v>Y</v>
      </c>
      <c r="H37" s="15" t="s">
        <v>34</v>
      </c>
      <c r="I37" s="1" t="str">
        <f>IFERROR(VLOOKUP(H37,'DATABASE-DRIFT_LATENT_HP_ERROR'!$A$143:$B$160,2,FALSE()),"")</f>
        <v>Work at Height</v>
      </c>
      <c r="J37" s="1" t="s">
        <v>59</v>
      </c>
      <c r="K37" s="1" t="s">
        <v>60</v>
      </c>
      <c r="L37" s="2" t="s">
        <v>61</v>
      </c>
      <c r="N37" s="1">
        <v>1</v>
      </c>
      <c r="P37" s="3" t="s">
        <v>183</v>
      </c>
      <c r="Q37" s="1" t="s">
        <v>40</v>
      </c>
      <c r="R37" s="1" t="s">
        <v>63</v>
      </c>
      <c r="S37" s="17">
        <v>46163</v>
      </c>
      <c r="T37" s="1">
        <f t="shared" si="4"/>
        <v>2026</v>
      </c>
      <c r="U37" s="1" t="str">
        <f t="shared" si="5"/>
        <v>TW II</v>
      </c>
      <c r="V37" s="1">
        <v>11</v>
      </c>
      <c r="W37" s="1" t="s">
        <v>172</v>
      </c>
      <c r="X37" s="3" t="s">
        <v>173</v>
      </c>
      <c r="Y37" s="3" t="s">
        <v>174</v>
      </c>
      <c r="Z37" s="3" t="s">
        <v>175</v>
      </c>
      <c r="AA37" s="1" t="s">
        <v>45</v>
      </c>
      <c r="AB37" s="3" t="s">
        <v>176</v>
      </c>
      <c r="AC37" s="3" t="s">
        <v>177</v>
      </c>
      <c r="AD37" s="4" t="s">
        <v>178</v>
      </c>
      <c r="AE37" s="1" t="s">
        <v>179</v>
      </c>
      <c r="AF37" s="1" t="s">
        <v>180</v>
      </c>
    </row>
    <row r="38" spans="1:32" ht="14.25" customHeight="1" x14ac:dyDescent="0.45">
      <c r="A38" s="1" t="s">
        <v>170</v>
      </c>
      <c r="B38" s="1">
        <v>1</v>
      </c>
      <c r="C38" s="1" t="s">
        <v>33</v>
      </c>
      <c r="F38" s="1" t="str">
        <f t="shared" si="0"/>
        <v>Baseline</v>
      </c>
      <c r="G38" s="1" t="str">
        <f t="shared" si="1"/>
        <v>Y</v>
      </c>
      <c r="H38" s="15" t="s">
        <v>34</v>
      </c>
      <c r="I38" s="1" t="str">
        <f>IFERROR(VLOOKUP(H38,'DATABASE-DRIFT_LATENT_HP_ERROR'!$A$143:$B$160,2,FALSE()),"")</f>
        <v>Work at Height</v>
      </c>
      <c r="J38" s="1" t="s">
        <v>64</v>
      </c>
      <c r="K38" s="1" t="s">
        <v>65</v>
      </c>
      <c r="L38" s="2" t="s">
        <v>66</v>
      </c>
      <c r="N38" s="1">
        <v>1</v>
      </c>
      <c r="P38" s="3" t="s">
        <v>184</v>
      </c>
      <c r="Q38" s="1" t="s">
        <v>40</v>
      </c>
      <c r="R38" s="1" t="s">
        <v>68</v>
      </c>
      <c r="S38" s="17">
        <v>46163</v>
      </c>
      <c r="T38" s="1">
        <f t="shared" si="4"/>
        <v>2026</v>
      </c>
      <c r="U38" s="1" t="str">
        <f t="shared" si="5"/>
        <v>TW II</v>
      </c>
      <c r="V38" s="1">
        <v>11</v>
      </c>
      <c r="W38" s="1" t="s">
        <v>172</v>
      </c>
      <c r="X38" s="3" t="s">
        <v>173</v>
      </c>
      <c r="Y38" s="3" t="s">
        <v>174</v>
      </c>
      <c r="Z38" s="3" t="s">
        <v>175</v>
      </c>
      <c r="AA38" s="1" t="s">
        <v>45</v>
      </c>
      <c r="AB38" s="3" t="s">
        <v>176</v>
      </c>
      <c r="AC38" s="3" t="s">
        <v>177</v>
      </c>
      <c r="AD38" s="4" t="s">
        <v>178</v>
      </c>
      <c r="AE38" s="1" t="s">
        <v>179</v>
      </c>
      <c r="AF38" s="1" t="s">
        <v>180</v>
      </c>
    </row>
    <row r="39" spans="1:32" ht="14.25" customHeight="1" x14ac:dyDescent="0.45">
      <c r="A39" s="1" t="s">
        <v>170</v>
      </c>
      <c r="B39" s="1">
        <v>1</v>
      </c>
      <c r="C39" s="1" t="s">
        <v>33</v>
      </c>
      <c r="F39" s="1" t="str">
        <f t="shared" si="0"/>
        <v>Baseline</v>
      </c>
      <c r="G39" s="1" t="str">
        <f t="shared" si="1"/>
        <v>Y</v>
      </c>
      <c r="H39" s="15" t="s">
        <v>34</v>
      </c>
      <c r="I39" s="1" t="str">
        <f>IFERROR(VLOOKUP(H39,'DATABASE-DRIFT_LATENT_HP_ERROR'!$A$143:$B$160,2,FALSE()),"")</f>
        <v>Work at Height</v>
      </c>
      <c r="J39" s="1" t="s">
        <v>69</v>
      </c>
      <c r="K39" s="1" t="s">
        <v>70</v>
      </c>
      <c r="L39" s="2" t="s">
        <v>71</v>
      </c>
      <c r="M39" s="1">
        <v>1</v>
      </c>
      <c r="P39" s="3" t="s">
        <v>185</v>
      </c>
      <c r="Q39" s="1" t="s">
        <v>73</v>
      </c>
      <c r="R39" s="1" t="s">
        <v>74</v>
      </c>
      <c r="S39" s="17">
        <v>46163</v>
      </c>
      <c r="T39" s="1">
        <f t="shared" si="4"/>
        <v>2026</v>
      </c>
      <c r="U39" s="1" t="str">
        <f t="shared" si="5"/>
        <v>TW II</v>
      </c>
      <c r="V39" s="1">
        <v>11</v>
      </c>
      <c r="W39" s="1" t="s">
        <v>172</v>
      </c>
      <c r="X39" s="3" t="s">
        <v>173</v>
      </c>
      <c r="Y39" s="3" t="s">
        <v>174</v>
      </c>
      <c r="Z39" s="3" t="s">
        <v>175</v>
      </c>
      <c r="AA39" s="1" t="s">
        <v>45</v>
      </c>
      <c r="AB39" s="3" t="s">
        <v>176</v>
      </c>
      <c r="AC39" s="3" t="s">
        <v>177</v>
      </c>
      <c r="AD39" s="4" t="s">
        <v>178</v>
      </c>
      <c r="AE39" s="1" t="s">
        <v>179</v>
      </c>
      <c r="AF39" s="1" t="s">
        <v>180</v>
      </c>
    </row>
    <row r="40" spans="1:32" ht="14.25" customHeight="1" x14ac:dyDescent="0.45">
      <c r="A40" s="1" t="s">
        <v>170</v>
      </c>
      <c r="B40" s="1">
        <v>1</v>
      </c>
      <c r="C40" s="1" t="s">
        <v>33</v>
      </c>
      <c r="F40" s="1" t="str">
        <f t="shared" si="0"/>
        <v>Baseline</v>
      </c>
      <c r="G40" s="1" t="str">
        <f t="shared" si="1"/>
        <v>Y</v>
      </c>
      <c r="H40" s="15" t="s">
        <v>34</v>
      </c>
      <c r="I40" s="1" t="str">
        <f>IFERROR(VLOOKUP(H40,'DATABASE-DRIFT_LATENT_HP_ERROR'!$A$143:$B$160,2,FALSE()),"")</f>
        <v>Work at Height</v>
      </c>
      <c r="J40" s="1" t="s">
        <v>75</v>
      </c>
      <c r="K40" s="1" t="s">
        <v>76</v>
      </c>
      <c r="L40" s="2" t="s">
        <v>77</v>
      </c>
      <c r="M40" s="1">
        <v>1</v>
      </c>
      <c r="P40" s="3" t="s">
        <v>186</v>
      </c>
      <c r="Q40" s="1" t="s">
        <v>79</v>
      </c>
      <c r="R40" s="1" t="s">
        <v>80</v>
      </c>
      <c r="S40" s="17">
        <v>46163</v>
      </c>
      <c r="T40" s="1">
        <f t="shared" si="4"/>
        <v>2026</v>
      </c>
      <c r="U40" s="1" t="str">
        <f t="shared" si="5"/>
        <v>TW II</v>
      </c>
      <c r="V40" s="1">
        <v>11</v>
      </c>
      <c r="W40" s="1" t="s">
        <v>172</v>
      </c>
      <c r="X40" s="3" t="s">
        <v>173</v>
      </c>
      <c r="Y40" s="3" t="s">
        <v>174</v>
      </c>
      <c r="Z40" s="3" t="s">
        <v>175</v>
      </c>
      <c r="AA40" s="1" t="s">
        <v>45</v>
      </c>
      <c r="AB40" s="3" t="s">
        <v>176</v>
      </c>
      <c r="AC40" s="3" t="s">
        <v>177</v>
      </c>
      <c r="AD40" s="4" t="s">
        <v>178</v>
      </c>
      <c r="AE40" s="1" t="s">
        <v>179</v>
      </c>
      <c r="AF40" s="1" t="s">
        <v>180</v>
      </c>
    </row>
    <row r="41" spans="1:32" ht="14.25" customHeight="1" x14ac:dyDescent="0.45">
      <c r="A41" s="1" t="s">
        <v>170</v>
      </c>
      <c r="B41" s="1">
        <v>1</v>
      </c>
      <c r="C41" s="1" t="s">
        <v>33</v>
      </c>
      <c r="F41" s="1" t="str">
        <f t="shared" si="0"/>
        <v>Baseline</v>
      </c>
      <c r="G41" s="1" t="str">
        <f t="shared" si="1"/>
        <v>Y</v>
      </c>
      <c r="H41" s="15" t="s">
        <v>34</v>
      </c>
      <c r="I41" s="1" t="str">
        <f>IFERROR(VLOOKUP(H41,'DATABASE-DRIFT_LATENT_HP_ERROR'!$A$143:$B$160,2,FALSE()),"")</f>
        <v>Work at Height</v>
      </c>
      <c r="J41" s="1" t="s">
        <v>81</v>
      </c>
      <c r="K41" s="1" t="s">
        <v>82</v>
      </c>
      <c r="L41" s="2" t="s">
        <v>83</v>
      </c>
      <c r="M41" s="1">
        <v>1</v>
      </c>
      <c r="P41" s="3" t="s">
        <v>187</v>
      </c>
      <c r="Q41" s="1" t="s">
        <v>40</v>
      </c>
      <c r="R41" s="1" t="s">
        <v>85</v>
      </c>
      <c r="S41" s="17">
        <v>46163</v>
      </c>
      <c r="T41" s="1">
        <f t="shared" si="4"/>
        <v>2026</v>
      </c>
      <c r="U41" s="1" t="str">
        <f t="shared" si="5"/>
        <v>TW II</v>
      </c>
      <c r="V41" s="1">
        <v>11</v>
      </c>
      <c r="W41" s="1" t="s">
        <v>172</v>
      </c>
      <c r="X41" s="3" t="s">
        <v>173</v>
      </c>
      <c r="Y41" s="3" t="s">
        <v>174</v>
      </c>
      <c r="Z41" s="3" t="s">
        <v>175</v>
      </c>
      <c r="AA41" s="1" t="s">
        <v>45</v>
      </c>
      <c r="AB41" s="3" t="s">
        <v>176</v>
      </c>
      <c r="AC41" s="3" t="s">
        <v>177</v>
      </c>
      <c r="AD41" s="4" t="s">
        <v>178</v>
      </c>
      <c r="AE41" s="1" t="s">
        <v>179</v>
      </c>
      <c r="AF41" s="1" t="s">
        <v>180</v>
      </c>
    </row>
    <row r="42" spans="1:32" ht="14.25" customHeight="1" x14ac:dyDescent="0.45">
      <c r="A42" s="1" t="s">
        <v>170</v>
      </c>
      <c r="B42" s="1">
        <v>1</v>
      </c>
      <c r="C42" s="1" t="s">
        <v>33</v>
      </c>
      <c r="F42" s="1" t="str">
        <f t="shared" si="0"/>
        <v>Baseline</v>
      </c>
      <c r="G42" s="1" t="str">
        <f t="shared" si="1"/>
        <v>Y</v>
      </c>
      <c r="H42" s="15" t="s">
        <v>34</v>
      </c>
      <c r="I42" s="1" t="str">
        <f>IFERROR(VLOOKUP(H42,'DATABASE-DRIFT_LATENT_HP_ERROR'!$A$143:$B$160,2,FALSE()),"")</f>
        <v>Work at Height</v>
      </c>
      <c r="J42" s="1" t="s">
        <v>86</v>
      </c>
      <c r="K42" s="1" t="s">
        <v>87</v>
      </c>
      <c r="L42" s="2" t="s">
        <v>88</v>
      </c>
      <c r="N42" s="1">
        <v>1</v>
      </c>
      <c r="P42" s="3" t="s">
        <v>188</v>
      </c>
      <c r="Q42" s="1" t="s">
        <v>57</v>
      </c>
      <c r="R42" s="1" t="s">
        <v>90</v>
      </c>
      <c r="S42" s="17">
        <v>46163</v>
      </c>
      <c r="T42" s="1">
        <f t="shared" si="4"/>
        <v>2026</v>
      </c>
      <c r="U42" s="1" t="str">
        <f t="shared" si="5"/>
        <v>TW II</v>
      </c>
      <c r="V42" s="1">
        <v>11</v>
      </c>
      <c r="W42" s="1" t="s">
        <v>172</v>
      </c>
      <c r="X42" s="3" t="s">
        <v>173</v>
      </c>
      <c r="Y42" s="3" t="s">
        <v>174</v>
      </c>
      <c r="Z42" s="3" t="s">
        <v>175</v>
      </c>
      <c r="AA42" s="1" t="s">
        <v>45</v>
      </c>
      <c r="AB42" s="3" t="s">
        <v>176</v>
      </c>
      <c r="AC42" s="3" t="s">
        <v>177</v>
      </c>
      <c r="AD42" s="4" t="s">
        <v>178</v>
      </c>
      <c r="AE42" s="1" t="s">
        <v>179</v>
      </c>
      <c r="AF42" s="1" t="s">
        <v>180</v>
      </c>
    </row>
    <row r="43" spans="1:32" ht="14.25" customHeight="1" x14ac:dyDescent="0.45">
      <c r="A43" s="2" t="s">
        <v>189</v>
      </c>
      <c r="B43" s="1">
        <v>1</v>
      </c>
      <c r="C43" s="1" t="s">
        <v>33</v>
      </c>
      <c r="F43" s="1" t="str">
        <f t="shared" si="0"/>
        <v>Baseline</v>
      </c>
      <c r="G43" s="1" t="str">
        <f t="shared" si="1"/>
        <v>Y</v>
      </c>
      <c r="H43" s="2" t="s">
        <v>34</v>
      </c>
      <c r="I43" s="2" t="str">
        <f>IFERROR(VLOOKUP(H43,'DATABASE-DRIFT_LATENT_HP_ERROR'!$A$143:$B$160,2,FALSE()),"")</f>
        <v>Work at Height</v>
      </c>
      <c r="J43" s="2" t="s">
        <v>35</v>
      </c>
      <c r="K43" s="2" t="s">
        <v>36</v>
      </c>
      <c r="L43" s="2" t="s">
        <v>37</v>
      </c>
      <c r="M43" s="2"/>
      <c r="N43" s="2">
        <v>1</v>
      </c>
      <c r="O43" s="2"/>
      <c r="P43" s="18" t="s">
        <v>190</v>
      </c>
      <c r="Q43" s="2" t="s">
        <v>39</v>
      </c>
      <c r="R43" s="2" t="s">
        <v>40</v>
      </c>
      <c r="S43" s="17">
        <v>46164</v>
      </c>
      <c r="T43" s="1">
        <f t="shared" si="4"/>
        <v>2026</v>
      </c>
      <c r="U43" s="1" t="str">
        <f t="shared" si="5"/>
        <v>TW II</v>
      </c>
      <c r="V43" s="1">
        <v>11</v>
      </c>
      <c r="W43" s="2" t="s">
        <v>172</v>
      </c>
      <c r="X43" s="18" t="s">
        <v>191</v>
      </c>
      <c r="Y43" s="18" t="s">
        <v>192</v>
      </c>
      <c r="Z43" s="18" t="s">
        <v>193</v>
      </c>
      <c r="AA43" s="2" t="s">
        <v>176</v>
      </c>
      <c r="AB43" s="18" t="s">
        <v>45</v>
      </c>
      <c r="AC43" s="18" t="s">
        <v>194</v>
      </c>
      <c r="AD43" s="4" t="s">
        <v>195</v>
      </c>
      <c r="AE43" s="1" t="s">
        <v>196</v>
      </c>
      <c r="AF43" s="1" t="s">
        <v>197</v>
      </c>
    </row>
    <row r="44" spans="1:32" ht="21" customHeight="1" x14ac:dyDescent="0.45">
      <c r="A44" s="2" t="s">
        <v>189</v>
      </c>
      <c r="B44" s="1">
        <v>1</v>
      </c>
      <c r="C44" s="1" t="s">
        <v>33</v>
      </c>
      <c r="F44" s="1" t="str">
        <f t="shared" si="0"/>
        <v>Baseline</v>
      </c>
      <c r="G44" s="1" t="str">
        <f t="shared" si="1"/>
        <v>Y</v>
      </c>
      <c r="H44" s="2" t="s">
        <v>34</v>
      </c>
      <c r="I44" s="2" t="str">
        <f>IFERROR(VLOOKUP(H44,'DATABASE-DRIFT_LATENT_HP_ERROR'!$A$143:$B$160,2,FALSE()),"")</f>
        <v>Work at Height</v>
      </c>
      <c r="J44" s="2" t="s">
        <v>48</v>
      </c>
      <c r="K44" s="2" t="s">
        <v>49</v>
      </c>
      <c r="L44" s="2" t="s">
        <v>50</v>
      </c>
      <c r="M44" s="2"/>
      <c r="N44" s="2">
        <v>1</v>
      </c>
      <c r="O44" s="2"/>
      <c r="P44" s="18" t="s">
        <v>198</v>
      </c>
      <c r="Q44" s="2" t="s">
        <v>39</v>
      </c>
      <c r="R44" s="2" t="s">
        <v>52</v>
      </c>
      <c r="S44" s="17">
        <v>46164</v>
      </c>
      <c r="T44" s="1">
        <f t="shared" si="4"/>
        <v>2026</v>
      </c>
      <c r="U44" s="1" t="str">
        <f t="shared" si="5"/>
        <v>TW II</v>
      </c>
      <c r="V44" s="1">
        <v>11</v>
      </c>
      <c r="W44" s="2" t="s">
        <v>172</v>
      </c>
      <c r="X44" s="18" t="s">
        <v>191</v>
      </c>
      <c r="Y44" s="18" t="s">
        <v>192</v>
      </c>
      <c r="Z44" s="18" t="s">
        <v>193</v>
      </c>
      <c r="AA44" s="2" t="s">
        <v>176</v>
      </c>
      <c r="AB44" s="18" t="s">
        <v>45</v>
      </c>
      <c r="AC44" s="18" t="s">
        <v>194</v>
      </c>
      <c r="AD44" s="4" t="s">
        <v>195</v>
      </c>
      <c r="AE44" s="1" t="s">
        <v>196</v>
      </c>
      <c r="AF44" s="1" t="s">
        <v>197</v>
      </c>
    </row>
    <row r="45" spans="1:32" ht="14.25" customHeight="1" x14ac:dyDescent="0.45">
      <c r="A45" s="2" t="s">
        <v>189</v>
      </c>
      <c r="B45" s="1">
        <v>1</v>
      </c>
      <c r="C45" s="1" t="s">
        <v>33</v>
      </c>
      <c r="F45" s="1" t="str">
        <f t="shared" si="0"/>
        <v>Baseline</v>
      </c>
      <c r="G45" s="1" t="str">
        <f t="shared" si="1"/>
        <v>Y</v>
      </c>
      <c r="H45" s="2" t="s">
        <v>34</v>
      </c>
      <c r="I45" s="2" t="str">
        <f>IFERROR(VLOOKUP(H45,'DATABASE-DRIFT_LATENT_HP_ERROR'!$A$143:$B$160,2,FALSE()),"")</f>
        <v>Work at Height</v>
      </c>
      <c r="J45" s="2" t="s">
        <v>53</v>
      </c>
      <c r="K45" s="2" t="s">
        <v>54</v>
      </c>
      <c r="L45" s="2" t="s">
        <v>55</v>
      </c>
      <c r="M45" s="2"/>
      <c r="N45" s="2">
        <v>1</v>
      </c>
      <c r="O45" s="2"/>
      <c r="P45" s="18" t="s">
        <v>199</v>
      </c>
      <c r="Q45" s="2" t="s">
        <v>57</v>
      </c>
      <c r="R45" s="2" t="s">
        <v>58</v>
      </c>
      <c r="S45" s="17">
        <v>46164</v>
      </c>
      <c r="T45" s="1">
        <f t="shared" si="4"/>
        <v>2026</v>
      </c>
      <c r="U45" s="1" t="str">
        <f t="shared" si="5"/>
        <v>TW II</v>
      </c>
      <c r="V45" s="1">
        <v>11</v>
      </c>
      <c r="W45" s="2" t="s">
        <v>172</v>
      </c>
      <c r="X45" s="18" t="s">
        <v>191</v>
      </c>
      <c r="Y45" s="18" t="s">
        <v>192</v>
      </c>
      <c r="Z45" s="18" t="s">
        <v>193</v>
      </c>
      <c r="AA45" s="2" t="s">
        <v>176</v>
      </c>
      <c r="AB45" s="18" t="s">
        <v>45</v>
      </c>
      <c r="AC45" s="18" t="s">
        <v>194</v>
      </c>
      <c r="AD45" s="4" t="s">
        <v>195</v>
      </c>
      <c r="AE45" s="1" t="s">
        <v>196</v>
      </c>
      <c r="AF45" s="1" t="s">
        <v>197</v>
      </c>
    </row>
    <row r="46" spans="1:32" ht="21" customHeight="1" x14ac:dyDescent="0.45">
      <c r="A46" s="2" t="s">
        <v>189</v>
      </c>
      <c r="B46" s="1">
        <v>1</v>
      </c>
      <c r="C46" s="1" t="s">
        <v>33</v>
      </c>
      <c r="F46" s="1" t="str">
        <f t="shared" si="0"/>
        <v>Baseline</v>
      </c>
      <c r="G46" s="1" t="str">
        <f t="shared" si="1"/>
        <v>Y</v>
      </c>
      <c r="H46" s="2" t="s">
        <v>34</v>
      </c>
      <c r="I46" s="2" t="str">
        <f>IFERROR(VLOOKUP(H46,'DATABASE-DRIFT_LATENT_HP_ERROR'!$A$143:$B$160,2,FALSE()),"")</f>
        <v>Work at Height</v>
      </c>
      <c r="J46" s="2" t="s">
        <v>59</v>
      </c>
      <c r="K46" s="2" t="s">
        <v>60</v>
      </c>
      <c r="L46" s="2" t="s">
        <v>61</v>
      </c>
      <c r="M46" s="2"/>
      <c r="N46" s="2">
        <v>1</v>
      </c>
      <c r="O46" s="2"/>
      <c r="P46" s="18" t="s">
        <v>200</v>
      </c>
      <c r="Q46" s="2" t="s">
        <v>40</v>
      </c>
      <c r="R46" s="2" t="s">
        <v>63</v>
      </c>
      <c r="S46" s="17">
        <v>46164</v>
      </c>
      <c r="T46" s="1">
        <f t="shared" si="4"/>
        <v>2026</v>
      </c>
      <c r="U46" s="1" t="str">
        <f t="shared" si="5"/>
        <v>TW II</v>
      </c>
      <c r="V46" s="1">
        <v>11</v>
      </c>
      <c r="W46" s="2" t="s">
        <v>172</v>
      </c>
      <c r="X46" s="18" t="s">
        <v>191</v>
      </c>
      <c r="Y46" s="18" t="s">
        <v>192</v>
      </c>
      <c r="Z46" s="18" t="s">
        <v>193</v>
      </c>
      <c r="AA46" s="2" t="s">
        <v>176</v>
      </c>
      <c r="AB46" s="18" t="s">
        <v>45</v>
      </c>
      <c r="AC46" s="18" t="s">
        <v>194</v>
      </c>
      <c r="AD46" s="4" t="s">
        <v>195</v>
      </c>
      <c r="AE46" s="1" t="s">
        <v>196</v>
      </c>
      <c r="AF46" s="1" t="s">
        <v>197</v>
      </c>
    </row>
    <row r="47" spans="1:32" ht="14.25" customHeight="1" x14ac:dyDescent="0.45">
      <c r="A47" s="2" t="s">
        <v>189</v>
      </c>
      <c r="B47" s="1">
        <v>1</v>
      </c>
      <c r="C47" s="1" t="s">
        <v>33</v>
      </c>
      <c r="F47" s="1" t="str">
        <f t="shared" si="0"/>
        <v>Baseline</v>
      </c>
      <c r="G47" s="1" t="str">
        <f t="shared" si="1"/>
        <v>Y</v>
      </c>
      <c r="H47" s="2" t="s">
        <v>34</v>
      </c>
      <c r="I47" s="2" t="str">
        <f>IFERROR(VLOOKUP(H47,'DATABASE-DRIFT_LATENT_HP_ERROR'!$A$143:$B$160,2,FALSE()),"")</f>
        <v>Work at Height</v>
      </c>
      <c r="J47" s="2" t="s">
        <v>64</v>
      </c>
      <c r="K47" s="2" t="s">
        <v>65</v>
      </c>
      <c r="L47" s="2" t="s">
        <v>66</v>
      </c>
      <c r="M47" s="2">
        <v>1</v>
      </c>
      <c r="N47" s="2"/>
      <c r="O47" s="2"/>
      <c r="P47" s="18" t="s">
        <v>201</v>
      </c>
      <c r="Q47" s="2" t="s">
        <v>40</v>
      </c>
      <c r="R47" s="2" t="s">
        <v>68</v>
      </c>
      <c r="S47" s="17">
        <v>46164</v>
      </c>
      <c r="T47" s="1">
        <f t="shared" si="4"/>
        <v>2026</v>
      </c>
      <c r="U47" s="1" t="str">
        <f t="shared" si="5"/>
        <v>TW II</v>
      </c>
      <c r="V47" s="1">
        <v>11</v>
      </c>
      <c r="W47" s="2" t="s">
        <v>172</v>
      </c>
      <c r="X47" s="18" t="s">
        <v>191</v>
      </c>
      <c r="Y47" s="18" t="s">
        <v>192</v>
      </c>
      <c r="Z47" s="18" t="s">
        <v>193</v>
      </c>
      <c r="AA47" s="2" t="s">
        <v>176</v>
      </c>
      <c r="AB47" s="18" t="s">
        <v>45</v>
      </c>
      <c r="AC47" s="18" t="s">
        <v>194</v>
      </c>
      <c r="AD47" s="4" t="s">
        <v>195</v>
      </c>
      <c r="AE47" s="1" t="s">
        <v>196</v>
      </c>
      <c r="AF47" s="1" t="s">
        <v>197</v>
      </c>
    </row>
    <row r="48" spans="1:32" ht="21" customHeight="1" x14ac:dyDescent="0.45">
      <c r="A48" s="2" t="s">
        <v>189</v>
      </c>
      <c r="B48" s="1">
        <v>1</v>
      </c>
      <c r="C48" s="1" t="s">
        <v>33</v>
      </c>
      <c r="F48" s="1" t="str">
        <f t="shared" si="0"/>
        <v>Baseline</v>
      </c>
      <c r="G48" s="1" t="str">
        <f t="shared" si="1"/>
        <v>Y</v>
      </c>
      <c r="H48" s="2" t="s">
        <v>34</v>
      </c>
      <c r="I48" s="2" t="str">
        <f>IFERROR(VLOOKUP(H48,'DATABASE-DRIFT_LATENT_HP_ERROR'!$A$143:$B$160,2,FALSE()),"")</f>
        <v>Work at Height</v>
      </c>
      <c r="J48" s="2" t="s">
        <v>69</v>
      </c>
      <c r="K48" s="2" t="s">
        <v>70</v>
      </c>
      <c r="L48" s="2" t="s">
        <v>71</v>
      </c>
      <c r="M48" s="2"/>
      <c r="N48" s="2">
        <v>1</v>
      </c>
      <c r="O48" s="2"/>
      <c r="P48" s="18" t="s">
        <v>202</v>
      </c>
      <c r="Q48" s="2" t="s">
        <v>73</v>
      </c>
      <c r="R48" s="2" t="s">
        <v>74</v>
      </c>
      <c r="S48" s="17">
        <v>46164</v>
      </c>
      <c r="T48" s="1">
        <f t="shared" si="4"/>
        <v>2026</v>
      </c>
      <c r="U48" s="1" t="str">
        <f t="shared" si="5"/>
        <v>TW II</v>
      </c>
      <c r="V48" s="1">
        <v>11</v>
      </c>
      <c r="W48" s="2" t="s">
        <v>172</v>
      </c>
      <c r="X48" s="18" t="s">
        <v>191</v>
      </c>
      <c r="Y48" s="18" t="s">
        <v>192</v>
      </c>
      <c r="Z48" s="18" t="s">
        <v>193</v>
      </c>
      <c r="AA48" s="2" t="s">
        <v>176</v>
      </c>
      <c r="AB48" s="18" t="s">
        <v>45</v>
      </c>
      <c r="AC48" s="18" t="s">
        <v>194</v>
      </c>
      <c r="AD48" s="4" t="s">
        <v>195</v>
      </c>
      <c r="AE48" s="1" t="s">
        <v>196</v>
      </c>
      <c r="AF48" s="1" t="s">
        <v>197</v>
      </c>
    </row>
    <row r="49" spans="1:32" ht="14.25" customHeight="1" x14ac:dyDescent="0.45">
      <c r="A49" s="2" t="s">
        <v>189</v>
      </c>
      <c r="B49" s="1">
        <v>1</v>
      </c>
      <c r="C49" s="1" t="s">
        <v>33</v>
      </c>
      <c r="F49" s="1" t="str">
        <f t="shared" si="0"/>
        <v>Baseline</v>
      </c>
      <c r="G49" s="1" t="str">
        <f t="shared" si="1"/>
        <v>Y</v>
      </c>
      <c r="H49" s="2" t="s">
        <v>34</v>
      </c>
      <c r="I49" s="2" t="str">
        <f>IFERROR(VLOOKUP(H49,'DATABASE-DRIFT_LATENT_HP_ERROR'!$A$143:$B$160,2,FALSE()),"")</f>
        <v>Work at Height</v>
      </c>
      <c r="J49" s="2" t="s">
        <v>75</v>
      </c>
      <c r="K49" s="2" t="s">
        <v>76</v>
      </c>
      <c r="L49" s="2" t="s">
        <v>77</v>
      </c>
      <c r="M49" s="2">
        <v>1</v>
      </c>
      <c r="N49" s="2"/>
      <c r="O49" s="2"/>
      <c r="P49" s="18" t="s">
        <v>203</v>
      </c>
      <c r="Q49" s="2" t="s">
        <v>79</v>
      </c>
      <c r="R49" s="2" t="s">
        <v>80</v>
      </c>
      <c r="S49" s="17">
        <v>46164</v>
      </c>
      <c r="T49" s="1">
        <f t="shared" si="4"/>
        <v>2026</v>
      </c>
      <c r="U49" s="1" t="str">
        <f t="shared" si="5"/>
        <v>TW II</v>
      </c>
      <c r="V49" s="1">
        <v>11</v>
      </c>
      <c r="W49" s="2" t="s">
        <v>172</v>
      </c>
      <c r="X49" s="18" t="s">
        <v>191</v>
      </c>
      <c r="Y49" s="18" t="s">
        <v>192</v>
      </c>
      <c r="Z49" s="18" t="s">
        <v>193</v>
      </c>
      <c r="AA49" s="2" t="s">
        <v>176</v>
      </c>
      <c r="AB49" s="18" t="s">
        <v>45</v>
      </c>
      <c r="AC49" s="18" t="s">
        <v>194</v>
      </c>
      <c r="AD49" s="4" t="s">
        <v>195</v>
      </c>
      <c r="AE49" s="1" t="s">
        <v>196</v>
      </c>
      <c r="AF49" s="1" t="s">
        <v>197</v>
      </c>
    </row>
    <row r="50" spans="1:32" ht="14.25" customHeight="1" x14ac:dyDescent="0.45">
      <c r="A50" s="2" t="s">
        <v>189</v>
      </c>
      <c r="B50" s="1">
        <v>1</v>
      </c>
      <c r="C50" s="1" t="s">
        <v>33</v>
      </c>
      <c r="F50" s="1" t="str">
        <f t="shared" si="0"/>
        <v>Baseline</v>
      </c>
      <c r="G50" s="1" t="str">
        <f t="shared" si="1"/>
        <v>Y</v>
      </c>
      <c r="H50" s="2" t="s">
        <v>34</v>
      </c>
      <c r="I50" s="2" t="str">
        <f>IFERROR(VLOOKUP(H50,'DATABASE-DRIFT_LATENT_HP_ERROR'!$A$143:$B$160,2,FALSE()),"")</f>
        <v>Work at Height</v>
      </c>
      <c r="J50" s="2" t="s">
        <v>81</v>
      </c>
      <c r="K50" s="2" t="s">
        <v>82</v>
      </c>
      <c r="L50" s="2" t="s">
        <v>83</v>
      </c>
      <c r="M50" s="2">
        <v>1</v>
      </c>
      <c r="N50" s="2"/>
      <c r="O50" s="2"/>
      <c r="P50" s="18" t="s">
        <v>204</v>
      </c>
      <c r="Q50" s="2" t="s">
        <v>40</v>
      </c>
      <c r="R50" s="2" t="s">
        <v>85</v>
      </c>
      <c r="S50" s="17">
        <v>46164</v>
      </c>
      <c r="T50" s="1">
        <f t="shared" si="4"/>
        <v>2026</v>
      </c>
      <c r="U50" s="1" t="str">
        <f t="shared" si="5"/>
        <v>TW II</v>
      </c>
      <c r="V50" s="1">
        <v>11</v>
      </c>
      <c r="W50" s="2" t="s">
        <v>172</v>
      </c>
      <c r="X50" s="18" t="s">
        <v>191</v>
      </c>
      <c r="Y50" s="18" t="s">
        <v>192</v>
      </c>
      <c r="Z50" s="18" t="s">
        <v>193</v>
      </c>
      <c r="AA50" s="2" t="s">
        <v>176</v>
      </c>
      <c r="AB50" s="18" t="s">
        <v>45</v>
      </c>
      <c r="AC50" s="18" t="s">
        <v>194</v>
      </c>
      <c r="AD50" s="4" t="s">
        <v>195</v>
      </c>
      <c r="AE50" s="1" t="s">
        <v>196</v>
      </c>
      <c r="AF50" s="1" t="s">
        <v>197</v>
      </c>
    </row>
    <row r="51" spans="1:32" ht="21" customHeight="1" x14ac:dyDescent="0.45">
      <c r="A51" s="2" t="s">
        <v>189</v>
      </c>
      <c r="B51" s="1">
        <v>1</v>
      </c>
      <c r="C51" s="1" t="s">
        <v>33</v>
      </c>
      <c r="F51" s="1" t="str">
        <f t="shared" si="0"/>
        <v>Baseline</v>
      </c>
      <c r="G51" s="1" t="str">
        <f t="shared" si="1"/>
        <v>Y</v>
      </c>
      <c r="H51" s="2" t="s">
        <v>34</v>
      </c>
      <c r="I51" s="2" t="str">
        <f>IFERROR(VLOOKUP(H51,'DATABASE-DRIFT_LATENT_HP_ERROR'!$A$143:$B$160,2,FALSE()),"")</f>
        <v>Work at Height</v>
      </c>
      <c r="J51" s="2" t="s">
        <v>86</v>
      </c>
      <c r="K51" s="2" t="s">
        <v>87</v>
      </c>
      <c r="L51" s="2" t="s">
        <v>88</v>
      </c>
      <c r="M51" s="2"/>
      <c r="N51" s="2">
        <v>1</v>
      </c>
      <c r="O51" s="2"/>
      <c r="P51" s="18" t="s">
        <v>205</v>
      </c>
      <c r="Q51" s="2" t="s">
        <v>57</v>
      </c>
      <c r="R51" s="2" t="s">
        <v>90</v>
      </c>
      <c r="S51" s="17">
        <v>46164</v>
      </c>
      <c r="T51" s="1">
        <f t="shared" si="4"/>
        <v>2026</v>
      </c>
      <c r="U51" s="1" t="str">
        <f t="shared" si="5"/>
        <v>TW II</v>
      </c>
      <c r="V51" s="1">
        <v>11</v>
      </c>
      <c r="W51" s="2" t="s">
        <v>172</v>
      </c>
      <c r="X51" s="18" t="s">
        <v>191</v>
      </c>
      <c r="Y51" s="18" t="s">
        <v>192</v>
      </c>
      <c r="Z51" s="18" t="s">
        <v>193</v>
      </c>
      <c r="AA51" s="2" t="s">
        <v>176</v>
      </c>
      <c r="AB51" s="18" t="s">
        <v>45</v>
      </c>
      <c r="AC51" s="18" t="s">
        <v>194</v>
      </c>
      <c r="AD51" s="4" t="s">
        <v>195</v>
      </c>
      <c r="AE51" s="1" t="s">
        <v>196</v>
      </c>
      <c r="AF51" s="1" t="s">
        <v>197</v>
      </c>
    </row>
    <row r="52" spans="1:32" ht="28.5" customHeight="1" x14ac:dyDescent="0.45">
      <c r="A52" s="2" t="s">
        <v>206</v>
      </c>
      <c r="B52" s="1">
        <v>1</v>
      </c>
      <c r="C52" s="1" t="s">
        <v>33</v>
      </c>
      <c r="F52" s="1" t="str">
        <f t="shared" si="0"/>
        <v>Baseline</v>
      </c>
      <c r="G52" s="1" t="str">
        <f t="shared" si="1"/>
        <v>Y</v>
      </c>
      <c r="H52" s="2" t="s">
        <v>207</v>
      </c>
      <c r="I52" s="2" t="str">
        <f>IFERROR(VLOOKUP(H52,'DATABASE-DRIFT_LATENT_HP_ERROR'!$A$143:$B$160,2,FALSE()),"")</f>
        <v>Confined Space Entry</v>
      </c>
      <c r="J52" s="2" t="s">
        <v>35</v>
      </c>
      <c r="K52" s="2" t="s">
        <v>208</v>
      </c>
      <c r="L52" s="2" t="s">
        <v>209</v>
      </c>
      <c r="M52" s="2"/>
      <c r="N52" s="2">
        <v>1</v>
      </c>
      <c r="O52" s="2"/>
      <c r="P52" s="18" t="s">
        <v>210</v>
      </c>
      <c r="Q52" s="2" t="s">
        <v>211</v>
      </c>
      <c r="R52" s="2" t="s">
        <v>212</v>
      </c>
      <c r="S52" s="17">
        <v>46177</v>
      </c>
      <c r="T52" s="1">
        <f t="shared" si="4"/>
        <v>2026</v>
      </c>
      <c r="U52" s="1" t="str">
        <f t="shared" si="5"/>
        <v>TW II</v>
      </c>
      <c r="V52" s="1">
        <v>11</v>
      </c>
      <c r="W52" s="2" t="s">
        <v>172</v>
      </c>
      <c r="X52" s="18" t="s">
        <v>213</v>
      </c>
      <c r="Y52" s="18" t="s">
        <v>214</v>
      </c>
      <c r="Z52" s="18" t="s">
        <v>215</v>
      </c>
      <c r="AA52" s="2" t="s">
        <v>176</v>
      </c>
      <c r="AB52" s="18" t="s">
        <v>216</v>
      </c>
      <c r="AC52" s="18"/>
      <c r="AD52" s="4" t="s">
        <v>217</v>
      </c>
      <c r="AE52" s="1" t="s">
        <v>218</v>
      </c>
      <c r="AF52" s="1" t="s">
        <v>219</v>
      </c>
    </row>
    <row r="53" spans="1:32" ht="21" customHeight="1" x14ac:dyDescent="0.45">
      <c r="A53" s="2" t="s">
        <v>206</v>
      </c>
      <c r="B53" s="1">
        <v>1</v>
      </c>
      <c r="C53" s="1" t="s">
        <v>33</v>
      </c>
      <c r="F53" s="1" t="str">
        <f t="shared" si="0"/>
        <v>Baseline</v>
      </c>
      <c r="G53" s="1" t="str">
        <f t="shared" si="1"/>
        <v>Y</v>
      </c>
      <c r="H53" s="2" t="s">
        <v>207</v>
      </c>
      <c r="I53" s="2" t="str">
        <f>IFERROR(VLOOKUP(H53,'DATABASE-DRIFT_LATENT_HP_ERROR'!$A$143:$B$160,2,FALSE()),"")</f>
        <v>Confined Space Entry</v>
      </c>
      <c r="J53" s="2" t="s">
        <v>48</v>
      </c>
      <c r="K53" s="2" t="s">
        <v>220</v>
      </c>
      <c r="L53" s="2" t="s">
        <v>221</v>
      </c>
      <c r="M53" s="2">
        <v>1</v>
      </c>
      <c r="N53" s="2"/>
      <c r="O53" s="2"/>
      <c r="P53" s="18" t="s">
        <v>222</v>
      </c>
      <c r="Q53" s="2" t="s">
        <v>223</v>
      </c>
      <c r="R53" s="2" t="s">
        <v>224</v>
      </c>
      <c r="S53" s="17">
        <v>46177</v>
      </c>
      <c r="T53" s="1">
        <f t="shared" si="4"/>
        <v>2026</v>
      </c>
      <c r="U53" s="1" t="str">
        <f t="shared" si="5"/>
        <v>TW II</v>
      </c>
      <c r="V53" s="1">
        <v>11</v>
      </c>
      <c r="W53" s="2" t="s">
        <v>172</v>
      </c>
      <c r="X53" s="18" t="s">
        <v>213</v>
      </c>
      <c r="Y53" s="18" t="s">
        <v>214</v>
      </c>
      <c r="Z53" s="18" t="s">
        <v>215</v>
      </c>
      <c r="AA53" s="2" t="s">
        <v>176</v>
      </c>
      <c r="AB53" s="18" t="s">
        <v>216</v>
      </c>
      <c r="AC53" s="18"/>
      <c r="AD53" s="4" t="s">
        <v>217</v>
      </c>
      <c r="AE53" s="1" t="s">
        <v>218</v>
      </c>
      <c r="AF53" s="1" t="s">
        <v>219</v>
      </c>
    </row>
    <row r="54" spans="1:32" ht="14.25" customHeight="1" x14ac:dyDescent="0.45">
      <c r="A54" s="2" t="s">
        <v>206</v>
      </c>
      <c r="B54" s="1">
        <v>1</v>
      </c>
      <c r="C54" s="1" t="s">
        <v>33</v>
      </c>
      <c r="F54" s="1" t="str">
        <f t="shared" si="0"/>
        <v>Baseline</v>
      </c>
      <c r="G54" s="1" t="str">
        <f t="shared" si="1"/>
        <v>Y</v>
      </c>
      <c r="H54" s="2" t="s">
        <v>207</v>
      </c>
      <c r="I54" s="2" t="str">
        <f>IFERROR(VLOOKUP(H54,'DATABASE-DRIFT_LATENT_HP_ERROR'!$A$143:$B$160,2,FALSE()),"")</f>
        <v>Confined Space Entry</v>
      </c>
      <c r="J54" s="2" t="s">
        <v>53</v>
      </c>
      <c r="K54" s="2" t="s">
        <v>225</v>
      </c>
      <c r="L54" s="2" t="s">
        <v>226</v>
      </c>
      <c r="M54" s="2">
        <v>1</v>
      </c>
      <c r="N54" s="2"/>
      <c r="O54" s="2"/>
      <c r="P54" s="18" t="s">
        <v>227</v>
      </c>
      <c r="Q54" s="2" t="s">
        <v>228</v>
      </c>
      <c r="R54" s="2" t="s">
        <v>229</v>
      </c>
      <c r="S54" s="17">
        <v>46177</v>
      </c>
      <c r="T54" s="1">
        <f t="shared" si="4"/>
        <v>2026</v>
      </c>
      <c r="U54" s="1" t="str">
        <f t="shared" si="5"/>
        <v>TW II</v>
      </c>
      <c r="V54" s="1">
        <v>11</v>
      </c>
      <c r="W54" s="2" t="s">
        <v>172</v>
      </c>
      <c r="X54" s="18" t="s">
        <v>213</v>
      </c>
      <c r="Y54" s="18" t="s">
        <v>214</v>
      </c>
      <c r="Z54" s="18" t="s">
        <v>215</v>
      </c>
      <c r="AA54" s="2" t="s">
        <v>176</v>
      </c>
      <c r="AB54" s="18" t="s">
        <v>216</v>
      </c>
      <c r="AC54" s="18"/>
      <c r="AD54" s="4" t="s">
        <v>217</v>
      </c>
      <c r="AE54" s="1" t="s">
        <v>218</v>
      </c>
      <c r="AF54" s="1" t="s">
        <v>219</v>
      </c>
    </row>
    <row r="55" spans="1:32" ht="14.25" customHeight="1" x14ac:dyDescent="0.45">
      <c r="A55" s="2" t="s">
        <v>206</v>
      </c>
      <c r="B55" s="1">
        <v>1</v>
      </c>
      <c r="C55" s="1" t="s">
        <v>33</v>
      </c>
      <c r="F55" s="1" t="str">
        <f t="shared" si="0"/>
        <v>Baseline</v>
      </c>
      <c r="G55" s="1" t="str">
        <f t="shared" si="1"/>
        <v>Y</v>
      </c>
      <c r="H55" s="2" t="s">
        <v>207</v>
      </c>
      <c r="I55" s="2" t="str">
        <f>IFERROR(VLOOKUP(H55,'DATABASE-DRIFT_LATENT_HP_ERROR'!$A$143:$B$160,2,FALSE()),"")</f>
        <v>Confined Space Entry</v>
      </c>
      <c r="J55" s="2" t="s">
        <v>59</v>
      </c>
      <c r="K55" s="2" t="s">
        <v>230</v>
      </c>
      <c r="L55" s="2" t="s">
        <v>231</v>
      </c>
      <c r="M55" s="2">
        <v>1</v>
      </c>
      <c r="N55" s="2"/>
      <c r="O55" s="2"/>
      <c r="P55" s="18" t="s">
        <v>232</v>
      </c>
      <c r="Q55" s="2" t="s">
        <v>233</v>
      </c>
      <c r="R55" s="2" t="s">
        <v>234</v>
      </c>
      <c r="S55" s="17">
        <v>46177</v>
      </c>
      <c r="T55" s="1">
        <f t="shared" si="4"/>
        <v>2026</v>
      </c>
      <c r="U55" s="1" t="str">
        <f t="shared" si="5"/>
        <v>TW II</v>
      </c>
      <c r="V55" s="1">
        <v>11</v>
      </c>
      <c r="W55" s="2" t="s">
        <v>172</v>
      </c>
      <c r="X55" s="18" t="s">
        <v>213</v>
      </c>
      <c r="Y55" s="18" t="s">
        <v>214</v>
      </c>
      <c r="Z55" s="18" t="s">
        <v>215</v>
      </c>
      <c r="AA55" s="2" t="s">
        <v>176</v>
      </c>
      <c r="AB55" s="18" t="s">
        <v>216</v>
      </c>
      <c r="AC55" s="18"/>
      <c r="AD55" s="4" t="s">
        <v>217</v>
      </c>
      <c r="AE55" s="1" t="s">
        <v>218</v>
      </c>
      <c r="AF55" s="1" t="s">
        <v>219</v>
      </c>
    </row>
    <row r="56" spans="1:32" ht="21" customHeight="1" x14ac:dyDescent="0.45">
      <c r="A56" s="2" t="s">
        <v>206</v>
      </c>
      <c r="B56" s="1">
        <v>1</v>
      </c>
      <c r="C56" s="1" t="s">
        <v>33</v>
      </c>
      <c r="F56" s="1" t="str">
        <f t="shared" si="0"/>
        <v>Baseline</v>
      </c>
      <c r="G56" s="1" t="str">
        <f t="shared" si="1"/>
        <v>Y</v>
      </c>
      <c r="H56" s="2" t="s">
        <v>207</v>
      </c>
      <c r="I56" s="2" t="str">
        <f>IFERROR(VLOOKUP(H56,'DATABASE-DRIFT_LATENT_HP_ERROR'!$A$143:$B$160,2,FALSE()),"")</f>
        <v>Confined Space Entry</v>
      </c>
      <c r="J56" s="2" t="s">
        <v>64</v>
      </c>
      <c r="K56" s="2" t="s">
        <v>235</v>
      </c>
      <c r="L56" s="2" t="s">
        <v>236</v>
      </c>
      <c r="M56" s="2"/>
      <c r="N56" s="2"/>
      <c r="O56" s="2">
        <v>1</v>
      </c>
      <c r="P56" s="18" t="s">
        <v>237</v>
      </c>
      <c r="Q56" s="2" t="s">
        <v>238</v>
      </c>
      <c r="R56" s="2" t="s">
        <v>103</v>
      </c>
      <c r="S56" s="17">
        <v>46177</v>
      </c>
      <c r="T56" s="1">
        <f t="shared" si="4"/>
        <v>2026</v>
      </c>
      <c r="U56" s="1" t="str">
        <f t="shared" si="5"/>
        <v>TW II</v>
      </c>
      <c r="V56" s="1">
        <v>11</v>
      </c>
      <c r="W56" s="2" t="s">
        <v>172</v>
      </c>
      <c r="X56" s="18" t="s">
        <v>213</v>
      </c>
      <c r="Y56" s="18" t="s">
        <v>214</v>
      </c>
      <c r="Z56" s="18" t="s">
        <v>215</v>
      </c>
      <c r="AA56" s="2" t="s">
        <v>176</v>
      </c>
      <c r="AB56" s="18" t="s">
        <v>216</v>
      </c>
      <c r="AC56" s="18"/>
      <c r="AD56" s="4" t="s">
        <v>217</v>
      </c>
      <c r="AE56" s="1" t="s">
        <v>218</v>
      </c>
      <c r="AF56" s="1" t="s">
        <v>219</v>
      </c>
    </row>
    <row r="57" spans="1:32" ht="14.25" customHeight="1" x14ac:dyDescent="0.45">
      <c r="A57" s="2" t="s">
        <v>206</v>
      </c>
      <c r="B57" s="1">
        <v>1</v>
      </c>
      <c r="C57" s="1" t="s">
        <v>33</v>
      </c>
      <c r="F57" s="1" t="str">
        <f t="shared" si="0"/>
        <v>Baseline</v>
      </c>
      <c r="G57" s="1" t="str">
        <f t="shared" si="1"/>
        <v>Y</v>
      </c>
      <c r="H57" s="2" t="s">
        <v>207</v>
      </c>
      <c r="I57" s="2" t="str">
        <f>IFERROR(VLOOKUP(H57,'DATABASE-DRIFT_LATENT_HP_ERROR'!$A$143:$B$160,2,FALSE()),"")</f>
        <v>Confined Space Entry</v>
      </c>
      <c r="J57" s="2" t="s">
        <v>75</v>
      </c>
      <c r="K57" s="2" t="s">
        <v>239</v>
      </c>
      <c r="L57" s="2" t="s">
        <v>240</v>
      </c>
      <c r="M57" s="2"/>
      <c r="N57" s="2">
        <v>1</v>
      </c>
      <c r="O57" s="2"/>
      <c r="P57" s="18" t="s">
        <v>241</v>
      </c>
      <c r="Q57" s="2" t="s">
        <v>242</v>
      </c>
      <c r="R57" s="2" t="s">
        <v>243</v>
      </c>
      <c r="S57" s="17">
        <v>46177</v>
      </c>
      <c r="T57" s="1">
        <f>IF(S58="","",YEAR(S58))</f>
        <v>2026</v>
      </c>
      <c r="U57" s="1" t="str">
        <f>IF(S58="","","TW "&amp;CHOOSE(ROUNDUP(MONTH(S58)/3,0),"I","II","III","IV"))</f>
        <v>TW II</v>
      </c>
      <c r="V57" s="1">
        <v>11</v>
      </c>
      <c r="W57" s="2" t="s">
        <v>172</v>
      </c>
      <c r="X57" s="18" t="s">
        <v>213</v>
      </c>
      <c r="Y57" s="18" t="s">
        <v>214</v>
      </c>
      <c r="Z57" s="18" t="s">
        <v>215</v>
      </c>
      <c r="AA57" s="2" t="s">
        <v>176</v>
      </c>
      <c r="AB57" s="18" t="s">
        <v>216</v>
      </c>
      <c r="AC57" s="18"/>
      <c r="AD57" s="4" t="s">
        <v>217</v>
      </c>
      <c r="AE57" s="1" t="s">
        <v>218</v>
      </c>
      <c r="AF57" s="1" t="s">
        <v>219</v>
      </c>
    </row>
    <row r="58" spans="1:32" ht="21" customHeight="1" x14ac:dyDescent="0.45">
      <c r="A58" s="2" t="s">
        <v>206</v>
      </c>
      <c r="B58" s="1">
        <v>1</v>
      </c>
      <c r="C58" s="1" t="s">
        <v>33</v>
      </c>
      <c r="F58" s="1" t="str">
        <f t="shared" si="0"/>
        <v>Baseline</v>
      </c>
      <c r="G58" s="1" t="str">
        <f t="shared" si="1"/>
        <v>Y</v>
      </c>
      <c r="H58" s="2" t="s">
        <v>207</v>
      </c>
      <c r="I58" s="2" t="str">
        <f>IFERROR(VLOOKUP(H58,'DATABASE-DRIFT_LATENT_HP_ERROR'!$A$143:$B$160,2,FALSE()),"")</f>
        <v>Confined Space Entry</v>
      </c>
      <c r="J58" s="2" t="s">
        <v>69</v>
      </c>
      <c r="K58" s="2" t="s">
        <v>244</v>
      </c>
      <c r="L58" s="2" t="s">
        <v>240</v>
      </c>
      <c r="M58" s="2">
        <v>1</v>
      </c>
      <c r="N58" s="2"/>
      <c r="O58" s="2"/>
      <c r="P58" s="18" t="s">
        <v>241</v>
      </c>
      <c r="Q58" s="2" t="s">
        <v>242</v>
      </c>
      <c r="R58" s="2" t="s">
        <v>243</v>
      </c>
      <c r="S58" s="17">
        <v>46177</v>
      </c>
      <c r="T58" s="1">
        <f t="shared" ref="T58:T81" si="6">IF(S58="","",YEAR(S58))</f>
        <v>2026</v>
      </c>
      <c r="U58" s="1" t="str">
        <f t="shared" ref="U58:U81" si="7">IF(S58="","","TW "&amp;CHOOSE(ROUNDUP(MONTH(S58)/3,0),"I","II","III","IV"))</f>
        <v>TW II</v>
      </c>
      <c r="V58" s="1">
        <v>11</v>
      </c>
      <c r="W58" s="2" t="s">
        <v>172</v>
      </c>
      <c r="X58" s="18" t="s">
        <v>213</v>
      </c>
      <c r="Y58" s="18" t="s">
        <v>214</v>
      </c>
      <c r="Z58" s="18" t="s">
        <v>215</v>
      </c>
      <c r="AA58" s="2" t="s">
        <v>176</v>
      </c>
      <c r="AB58" s="18" t="s">
        <v>216</v>
      </c>
      <c r="AC58" s="18"/>
      <c r="AD58" s="4" t="s">
        <v>217</v>
      </c>
      <c r="AE58" s="1" t="s">
        <v>218</v>
      </c>
      <c r="AF58" s="1" t="s">
        <v>219</v>
      </c>
    </row>
    <row r="59" spans="1:32" ht="21" customHeight="1" x14ac:dyDescent="0.45">
      <c r="A59" s="2" t="s">
        <v>245</v>
      </c>
      <c r="B59" s="1">
        <v>1</v>
      </c>
      <c r="C59" s="1" t="s">
        <v>33</v>
      </c>
      <c r="F59" s="1" t="str">
        <f t="shared" si="0"/>
        <v>Baseline</v>
      </c>
      <c r="G59" s="1" t="str">
        <f t="shared" si="1"/>
        <v>Y</v>
      </c>
      <c r="H59" s="2" t="s">
        <v>207</v>
      </c>
      <c r="I59" s="2" t="str">
        <f>IFERROR(VLOOKUP(H59,'DATABASE-DRIFT_LATENT_HP_ERROR'!$A$143:$B$160,2,FALSE()),"")</f>
        <v>Confined Space Entry</v>
      </c>
      <c r="J59" s="2" t="s">
        <v>35</v>
      </c>
      <c r="K59" s="2" t="s">
        <v>208</v>
      </c>
      <c r="L59" s="2" t="s">
        <v>209</v>
      </c>
      <c r="M59" s="2"/>
      <c r="N59" s="2">
        <v>1</v>
      </c>
      <c r="O59" s="2"/>
      <c r="P59" s="18" t="s">
        <v>246</v>
      </c>
      <c r="Q59" s="2" t="s">
        <v>211</v>
      </c>
      <c r="R59" s="2" t="s">
        <v>212</v>
      </c>
      <c r="S59" s="17">
        <v>46178</v>
      </c>
      <c r="T59" s="1">
        <f t="shared" si="6"/>
        <v>2026</v>
      </c>
      <c r="U59" s="1" t="str">
        <f t="shared" si="7"/>
        <v>TW II</v>
      </c>
      <c r="V59" s="1">
        <v>11</v>
      </c>
      <c r="W59" s="2" t="s">
        <v>247</v>
      </c>
      <c r="X59" s="18" t="s">
        <v>248</v>
      </c>
      <c r="Y59" s="18" t="s">
        <v>249</v>
      </c>
      <c r="Z59" s="18" t="s">
        <v>250</v>
      </c>
      <c r="AA59" s="2" t="s">
        <v>176</v>
      </c>
      <c r="AB59" s="18" t="s">
        <v>251</v>
      </c>
      <c r="AC59" s="18" t="s">
        <v>252</v>
      </c>
      <c r="AD59" s="4" t="s">
        <v>253</v>
      </c>
      <c r="AE59" s="1" t="s">
        <v>254</v>
      </c>
      <c r="AF59" s="1" t="s">
        <v>255</v>
      </c>
    </row>
    <row r="60" spans="1:32" ht="21" customHeight="1" x14ac:dyDescent="0.45">
      <c r="A60" s="2" t="s">
        <v>245</v>
      </c>
      <c r="B60" s="1">
        <v>1</v>
      </c>
      <c r="C60" s="1" t="s">
        <v>33</v>
      </c>
      <c r="F60" s="1" t="str">
        <f t="shared" si="0"/>
        <v>Baseline</v>
      </c>
      <c r="G60" s="1" t="str">
        <f t="shared" si="1"/>
        <v>Y</v>
      </c>
      <c r="H60" s="2" t="s">
        <v>207</v>
      </c>
      <c r="I60" s="2" t="str">
        <f>IFERROR(VLOOKUP(H60,'DATABASE-DRIFT_LATENT_HP_ERROR'!$A$143:$B$160,2,FALSE()),"")</f>
        <v>Confined Space Entry</v>
      </c>
      <c r="J60" s="2" t="s">
        <v>48</v>
      </c>
      <c r="K60" s="2" t="s">
        <v>220</v>
      </c>
      <c r="L60" s="2" t="s">
        <v>221</v>
      </c>
      <c r="M60" s="2">
        <v>1</v>
      </c>
      <c r="N60" s="2"/>
      <c r="O60" s="2"/>
      <c r="P60" s="18" t="s">
        <v>256</v>
      </c>
      <c r="Q60" s="2" t="s">
        <v>223</v>
      </c>
      <c r="R60" s="2" t="s">
        <v>224</v>
      </c>
      <c r="S60" s="17">
        <v>46178</v>
      </c>
      <c r="T60" s="1">
        <f t="shared" si="6"/>
        <v>2026</v>
      </c>
      <c r="U60" s="1" t="str">
        <f t="shared" si="7"/>
        <v>TW II</v>
      </c>
      <c r="V60" s="1">
        <v>11</v>
      </c>
      <c r="W60" s="2" t="s">
        <v>247</v>
      </c>
      <c r="X60" s="18" t="s">
        <v>248</v>
      </c>
      <c r="Y60" s="18" t="s">
        <v>249</v>
      </c>
      <c r="Z60" s="18" t="s">
        <v>250</v>
      </c>
      <c r="AA60" s="2" t="s">
        <v>176</v>
      </c>
      <c r="AB60" s="18" t="s">
        <v>251</v>
      </c>
      <c r="AC60" s="18" t="s">
        <v>252</v>
      </c>
      <c r="AD60" s="4" t="s">
        <v>253</v>
      </c>
      <c r="AE60" s="1" t="s">
        <v>254</v>
      </c>
      <c r="AF60" s="1" t="s">
        <v>255</v>
      </c>
    </row>
    <row r="61" spans="1:32" ht="14.25" customHeight="1" x14ac:dyDescent="0.45">
      <c r="A61" s="2" t="s">
        <v>245</v>
      </c>
      <c r="B61" s="1">
        <v>1</v>
      </c>
      <c r="C61" s="1" t="s">
        <v>33</v>
      </c>
      <c r="F61" s="1" t="str">
        <f t="shared" si="0"/>
        <v>Baseline</v>
      </c>
      <c r="G61" s="1" t="str">
        <f t="shared" si="1"/>
        <v>Y</v>
      </c>
      <c r="H61" s="2" t="s">
        <v>207</v>
      </c>
      <c r="I61" s="2" t="str">
        <f>IFERROR(VLOOKUP(H61,'DATABASE-DRIFT_LATENT_HP_ERROR'!$A$143:$B$160,2,FALSE()),"")</f>
        <v>Confined Space Entry</v>
      </c>
      <c r="J61" s="2" t="s">
        <v>53</v>
      </c>
      <c r="K61" s="2" t="s">
        <v>225</v>
      </c>
      <c r="L61" s="2" t="s">
        <v>226</v>
      </c>
      <c r="M61" s="2">
        <v>1</v>
      </c>
      <c r="N61" s="2"/>
      <c r="O61" s="2"/>
      <c r="P61" s="18" t="s">
        <v>257</v>
      </c>
      <c r="Q61" s="2" t="s">
        <v>228</v>
      </c>
      <c r="R61" s="2" t="s">
        <v>229</v>
      </c>
      <c r="S61" s="17">
        <v>46178</v>
      </c>
      <c r="T61" s="1">
        <f t="shared" si="6"/>
        <v>2026</v>
      </c>
      <c r="U61" s="1" t="str">
        <f t="shared" si="7"/>
        <v>TW II</v>
      </c>
      <c r="V61" s="1">
        <v>11</v>
      </c>
      <c r="W61" s="2" t="s">
        <v>247</v>
      </c>
      <c r="X61" s="18" t="s">
        <v>248</v>
      </c>
      <c r="Y61" s="18" t="s">
        <v>249</v>
      </c>
      <c r="Z61" s="18" t="s">
        <v>250</v>
      </c>
      <c r="AA61" s="2" t="s">
        <v>176</v>
      </c>
      <c r="AB61" s="18" t="s">
        <v>251</v>
      </c>
      <c r="AC61" s="18" t="s">
        <v>252</v>
      </c>
      <c r="AD61" s="4" t="s">
        <v>253</v>
      </c>
      <c r="AE61" s="1" t="s">
        <v>254</v>
      </c>
      <c r="AF61" s="1" t="s">
        <v>255</v>
      </c>
    </row>
    <row r="62" spans="1:32" ht="14.25" customHeight="1" x14ac:dyDescent="0.45">
      <c r="A62" s="2" t="s">
        <v>245</v>
      </c>
      <c r="B62" s="1">
        <v>1</v>
      </c>
      <c r="C62" s="1" t="s">
        <v>33</v>
      </c>
      <c r="F62" s="1" t="str">
        <f t="shared" si="0"/>
        <v>Baseline</v>
      </c>
      <c r="G62" s="1" t="str">
        <f t="shared" si="1"/>
        <v>Y</v>
      </c>
      <c r="H62" s="2" t="s">
        <v>207</v>
      </c>
      <c r="I62" s="2" t="str">
        <f>IFERROR(VLOOKUP(H62,'DATABASE-DRIFT_LATENT_HP_ERROR'!$A$143:$B$160,2,FALSE()),"")</f>
        <v>Confined Space Entry</v>
      </c>
      <c r="J62" s="2" t="s">
        <v>59</v>
      </c>
      <c r="K62" s="2" t="s">
        <v>230</v>
      </c>
      <c r="L62" s="2" t="s">
        <v>231</v>
      </c>
      <c r="M62" s="2">
        <v>1</v>
      </c>
      <c r="N62" s="2"/>
      <c r="O62" s="2"/>
      <c r="P62" s="18" t="s">
        <v>258</v>
      </c>
      <c r="Q62" s="2" t="s">
        <v>233</v>
      </c>
      <c r="R62" s="2" t="s">
        <v>234</v>
      </c>
      <c r="S62" s="17">
        <v>46178</v>
      </c>
      <c r="T62" s="1">
        <f t="shared" si="6"/>
        <v>2026</v>
      </c>
      <c r="U62" s="1" t="str">
        <f t="shared" si="7"/>
        <v>TW II</v>
      </c>
      <c r="V62" s="1">
        <v>11</v>
      </c>
      <c r="W62" s="2" t="s">
        <v>247</v>
      </c>
      <c r="X62" s="18" t="s">
        <v>248</v>
      </c>
      <c r="Y62" s="18" t="s">
        <v>249</v>
      </c>
      <c r="Z62" s="18" t="s">
        <v>250</v>
      </c>
      <c r="AA62" s="2" t="s">
        <v>176</v>
      </c>
      <c r="AB62" s="18" t="s">
        <v>251</v>
      </c>
      <c r="AC62" s="18" t="s">
        <v>252</v>
      </c>
      <c r="AD62" s="4" t="s">
        <v>253</v>
      </c>
      <c r="AE62" s="1" t="s">
        <v>254</v>
      </c>
      <c r="AF62" s="1" t="s">
        <v>255</v>
      </c>
    </row>
    <row r="63" spans="1:32" ht="21" customHeight="1" x14ac:dyDescent="0.45">
      <c r="A63" s="2" t="s">
        <v>245</v>
      </c>
      <c r="B63" s="1">
        <v>1</v>
      </c>
      <c r="C63" s="1" t="s">
        <v>33</v>
      </c>
      <c r="F63" s="1" t="str">
        <f t="shared" si="0"/>
        <v>Baseline</v>
      </c>
      <c r="G63" s="1" t="str">
        <f t="shared" si="1"/>
        <v>Y</v>
      </c>
      <c r="H63" s="2" t="s">
        <v>207</v>
      </c>
      <c r="I63" s="2" t="str">
        <f>IFERROR(VLOOKUP(H63,'DATABASE-DRIFT_LATENT_HP_ERROR'!$A$143:$B$160,2,FALSE()),"")</f>
        <v>Confined Space Entry</v>
      </c>
      <c r="J63" s="2" t="s">
        <v>64</v>
      </c>
      <c r="K63" s="2" t="s">
        <v>235</v>
      </c>
      <c r="L63" s="2" t="s">
        <v>236</v>
      </c>
      <c r="M63" s="2">
        <v>1</v>
      </c>
      <c r="N63" s="2"/>
      <c r="O63" s="2"/>
      <c r="P63" s="18" t="s">
        <v>259</v>
      </c>
      <c r="Q63" s="2" t="s">
        <v>238</v>
      </c>
      <c r="R63" s="2" t="s">
        <v>103</v>
      </c>
      <c r="S63" s="17">
        <v>46178</v>
      </c>
      <c r="T63" s="1">
        <f t="shared" si="6"/>
        <v>2026</v>
      </c>
      <c r="U63" s="1" t="str">
        <f t="shared" si="7"/>
        <v>TW II</v>
      </c>
      <c r="V63" s="1">
        <v>11</v>
      </c>
      <c r="W63" s="2" t="s">
        <v>247</v>
      </c>
      <c r="X63" s="18" t="s">
        <v>248</v>
      </c>
      <c r="Y63" s="18" t="s">
        <v>249</v>
      </c>
      <c r="Z63" s="18" t="s">
        <v>250</v>
      </c>
      <c r="AA63" s="2" t="s">
        <v>176</v>
      </c>
      <c r="AB63" s="18" t="s">
        <v>251</v>
      </c>
      <c r="AC63" s="18" t="s">
        <v>252</v>
      </c>
      <c r="AD63" s="4" t="s">
        <v>253</v>
      </c>
      <c r="AE63" s="1" t="s">
        <v>254</v>
      </c>
      <c r="AF63" s="1" t="s">
        <v>255</v>
      </c>
    </row>
    <row r="64" spans="1:32" ht="21" customHeight="1" x14ac:dyDescent="0.45">
      <c r="A64" s="2" t="s">
        <v>245</v>
      </c>
      <c r="B64" s="1">
        <v>1</v>
      </c>
      <c r="C64" s="1" t="s">
        <v>33</v>
      </c>
      <c r="F64" s="1" t="str">
        <f t="shared" si="0"/>
        <v>Baseline</v>
      </c>
      <c r="G64" s="1" t="str">
        <f t="shared" si="1"/>
        <v>Y</v>
      </c>
      <c r="H64" s="2" t="s">
        <v>207</v>
      </c>
      <c r="I64" s="2" t="str">
        <f>IFERROR(VLOOKUP(H64,'DATABASE-DRIFT_LATENT_HP_ERROR'!$A$143:$B$160,2,FALSE()),"")</f>
        <v>Confined Space Entry</v>
      </c>
      <c r="J64" s="2" t="s">
        <v>69</v>
      </c>
      <c r="K64" s="2" t="s">
        <v>244</v>
      </c>
      <c r="L64" s="2" t="s">
        <v>260</v>
      </c>
      <c r="M64" s="2"/>
      <c r="N64" s="2">
        <v>1</v>
      </c>
      <c r="O64" s="2"/>
      <c r="P64" s="18" t="s">
        <v>261</v>
      </c>
      <c r="Q64" s="2" t="s">
        <v>262</v>
      </c>
      <c r="R64" s="2" t="s">
        <v>90</v>
      </c>
      <c r="S64" s="17">
        <v>46178</v>
      </c>
      <c r="T64" s="1">
        <f t="shared" si="6"/>
        <v>2026</v>
      </c>
      <c r="U64" s="1" t="str">
        <f t="shared" si="7"/>
        <v>TW II</v>
      </c>
      <c r="V64" s="1">
        <v>11</v>
      </c>
      <c r="W64" s="2" t="s">
        <v>247</v>
      </c>
      <c r="X64" s="18" t="s">
        <v>248</v>
      </c>
      <c r="Y64" s="18" t="s">
        <v>249</v>
      </c>
      <c r="Z64" s="18" t="s">
        <v>250</v>
      </c>
      <c r="AA64" s="2" t="s">
        <v>176</v>
      </c>
      <c r="AB64" s="18" t="s">
        <v>251</v>
      </c>
      <c r="AC64" s="18" t="s">
        <v>252</v>
      </c>
      <c r="AD64" s="4" t="s">
        <v>253</v>
      </c>
      <c r="AE64" s="1" t="s">
        <v>254</v>
      </c>
      <c r="AF64" s="1" t="s">
        <v>255</v>
      </c>
    </row>
    <row r="65" spans="1:32" ht="21" customHeight="1" x14ac:dyDescent="0.45">
      <c r="A65" s="2" t="s">
        <v>245</v>
      </c>
      <c r="B65" s="1">
        <v>1</v>
      </c>
      <c r="C65" s="1" t="s">
        <v>33</v>
      </c>
      <c r="F65" s="1" t="str">
        <f t="shared" si="0"/>
        <v>Baseline</v>
      </c>
      <c r="G65" s="1" t="str">
        <f t="shared" si="1"/>
        <v>Y</v>
      </c>
      <c r="H65" s="2" t="s">
        <v>207</v>
      </c>
      <c r="I65" s="2" t="str">
        <f>IFERROR(VLOOKUP(H65,'DATABASE-DRIFT_LATENT_HP_ERROR'!$A$143:$B$160,2,FALSE()),"")</f>
        <v>Confined Space Entry</v>
      </c>
      <c r="J65" s="2" t="s">
        <v>75</v>
      </c>
      <c r="K65" s="2" t="s">
        <v>239</v>
      </c>
      <c r="L65" s="2" t="s">
        <v>240</v>
      </c>
      <c r="M65" s="2"/>
      <c r="N65" s="2">
        <v>1</v>
      </c>
      <c r="O65" s="2"/>
      <c r="P65" s="18" t="s">
        <v>263</v>
      </c>
      <c r="Q65" s="2" t="s">
        <v>242</v>
      </c>
      <c r="R65" s="2" t="s">
        <v>243</v>
      </c>
      <c r="S65" s="17">
        <v>46178</v>
      </c>
      <c r="T65" s="1">
        <f t="shared" si="6"/>
        <v>2026</v>
      </c>
      <c r="U65" s="1" t="str">
        <f t="shared" si="7"/>
        <v>TW II</v>
      </c>
      <c r="V65" s="1">
        <v>11</v>
      </c>
      <c r="W65" s="2" t="s">
        <v>247</v>
      </c>
      <c r="X65" s="18" t="s">
        <v>248</v>
      </c>
      <c r="Y65" s="18" t="s">
        <v>249</v>
      </c>
      <c r="Z65" s="18" t="s">
        <v>250</v>
      </c>
      <c r="AA65" s="2" t="s">
        <v>176</v>
      </c>
      <c r="AB65" s="18" t="s">
        <v>251</v>
      </c>
      <c r="AC65" s="18" t="s">
        <v>252</v>
      </c>
      <c r="AD65" s="4" t="s">
        <v>253</v>
      </c>
      <c r="AE65" s="1" t="s">
        <v>254</v>
      </c>
      <c r="AF65" s="1" t="s">
        <v>255</v>
      </c>
    </row>
    <row r="66" spans="1:32" ht="21" customHeight="1" x14ac:dyDescent="0.45">
      <c r="A66" s="2" t="s">
        <v>264</v>
      </c>
      <c r="B66" s="1">
        <v>1</v>
      </c>
      <c r="C66" s="1" t="s">
        <v>33</v>
      </c>
      <c r="F66" s="1" t="str">
        <f t="shared" ref="F66:F129" si="8">IF(A66="","",IF(B66=1,"Baseline",IF(C66="Y","Reverification","Follow-up")))</f>
        <v>Baseline</v>
      </c>
      <c r="G66" s="1" t="str">
        <f t="shared" ref="G66:G129" si="9">IF(A66="","",IF(COUNTIFS($V$2:$V$300,V66,$H$2:$H$300,H66,$B$2:$B$300,"&gt;"&amp;B66)=0,"Y","N"))</f>
        <v>Y</v>
      </c>
      <c r="H66" s="2" t="s">
        <v>207</v>
      </c>
      <c r="I66" s="2" t="str">
        <f>IFERROR(VLOOKUP(H66,'DATABASE-DRIFT_LATENT_HP_ERROR'!$A$143:$B$160,2,FALSE()),"")</f>
        <v>Confined Space Entry</v>
      </c>
      <c r="J66" s="2" t="s">
        <v>35</v>
      </c>
      <c r="K66" s="2" t="s">
        <v>208</v>
      </c>
      <c r="L66" s="2" t="s">
        <v>209</v>
      </c>
      <c r="M66" s="2"/>
      <c r="N66" s="2">
        <v>1</v>
      </c>
      <c r="O66" s="2"/>
      <c r="P66" s="18" t="s">
        <v>246</v>
      </c>
      <c r="Q66" s="2" t="s">
        <v>211</v>
      </c>
      <c r="R66" s="2" t="s">
        <v>212</v>
      </c>
      <c r="S66" s="17">
        <v>46178</v>
      </c>
      <c r="T66" s="1">
        <f t="shared" si="6"/>
        <v>2026</v>
      </c>
      <c r="U66" s="1" t="str">
        <f t="shared" si="7"/>
        <v>TW II</v>
      </c>
      <c r="V66" s="1">
        <v>11</v>
      </c>
      <c r="W66" s="2" t="s">
        <v>265</v>
      </c>
      <c r="X66" s="18" t="s">
        <v>266</v>
      </c>
      <c r="Y66" s="18" t="s">
        <v>267</v>
      </c>
      <c r="Z66" s="18" t="s">
        <v>250</v>
      </c>
      <c r="AA66" s="2" t="s">
        <v>176</v>
      </c>
      <c r="AB66" s="18" t="s">
        <v>268</v>
      </c>
      <c r="AC66" s="18" t="s">
        <v>269</v>
      </c>
      <c r="AD66" s="4" t="s">
        <v>270</v>
      </c>
      <c r="AE66" s="1" t="s">
        <v>271</v>
      </c>
      <c r="AF66" s="1" t="s">
        <v>272</v>
      </c>
    </row>
    <row r="67" spans="1:32" ht="21" customHeight="1" x14ac:dyDescent="0.45">
      <c r="A67" s="2" t="s">
        <v>264</v>
      </c>
      <c r="B67" s="1">
        <v>1</v>
      </c>
      <c r="C67" s="1" t="s">
        <v>33</v>
      </c>
      <c r="F67" s="1" t="str">
        <f t="shared" si="8"/>
        <v>Baseline</v>
      </c>
      <c r="G67" s="1" t="str">
        <f t="shared" si="9"/>
        <v>Y</v>
      </c>
      <c r="H67" s="2" t="s">
        <v>207</v>
      </c>
      <c r="I67" s="2" t="str">
        <f>IFERROR(VLOOKUP(H67,'DATABASE-DRIFT_LATENT_HP_ERROR'!$A$143:$B$160,2,FALSE()),"")</f>
        <v>Confined Space Entry</v>
      </c>
      <c r="J67" s="2" t="s">
        <v>48</v>
      </c>
      <c r="K67" s="2" t="s">
        <v>220</v>
      </c>
      <c r="L67" s="2" t="s">
        <v>221</v>
      </c>
      <c r="M67" s="2">
        <v>1</v>
      </c>
      <c r="N67" s="2"/>
      <c r="O67" s="2"/>
      <c r="P67" s="18" t="s">
        <v>256</v>
      </c>
      <c r="Q67" s="2" t="s">
        <v>223</v>
      </c>
      <c r="R67" s="2" t="s">
        <v>224</v>
      </c>
      <c r="S67" s="17">
        <v>46178</v>
      </c>
      <c r="T67" s="1">
        <f t="shared" si="6"/>
        <v>2026</v>
      </c>
      <c r="U67" s="1" t="str">
        <f t="shared" si="7"/>
        <v>TW II</v>
      </c>
      <c r="V67" s="1">
        <v>11</v>
      </c>
      <c r="W67" s="2" t="s">
        <v>265</v>
      </c>
      <c r="X67" s="18" t="s">
        <v>266</v>
      </c>
      <c r="Y67" s="18" t="s">
        <v>267</v>
      </c>
      <c r="Z67" s="18" t="s">
        <v>250</v>
      </c>
      <c r="AA67" s="2" t="s">
        <v>176</v>
      </c>
      <c r="AB67" s="18" t="s">
        <v>268</v>
      </c>
      <c r="AC67" s="18" t="s">
        <v>269</v>
      </c>
      <c r="AD67" s="4" t="s">
        <v>270</v>
      </c>
      <c r="AE67" s="1" t="s">
        <v>271</v>
      </c>
      <c r="AF67" s="1" t="s">
        <v>272</v>
      </c>
    </row>
    <row r="68" spans="1:32" ht="14.25" customHeight="1" x14ac:dyDescent="0.45">
      <c r="A68" s="2" t="s">
        <v>264</v>
      </c>
      <c r="B68" s="1">
        <v>1</v>
      </c>
      <c r="C68" s="1" t="s">
        <v>33</v>
      </c>
      <c r="F68" s="1" t="str">
        <f t="shared" si="8"/>
        <v>Baseline</v>
      </c>
      <c r="G68" s="1" t="str">
        <f t="shared" si="9"/>
        <v>Y</v>
      </c>
      <c r="H68" s="2" t="s">
        <v>207</v>
      </c>
      <c r="I68" s="2" t="str">
        <f>IFERROR(VLOOKUP(H68,'DATABASE-DRIFT_LATENT_HP_ERROR'!$A$143:$B$160,2,FALSE()),"")</f>
        <v>Confined Space Entry</v>
      </c>
      <c r="J68" s="2" t="s">
        <v>53</v>
      </c>
      <c r="K68" s="2" t="s">
        <v>225</v>
      </c>
      <c r="L68" s="2" t="s">
        <v>226</v>
      </c>
      <c r="M68" s="2">
        <v>1</v>
      </c>
      <c r="N68" s="2"/>
      <c r="O68" s="2"/>
      <c r="P68" s="18" t="s">
        <v>273</v>
      </c>
      <c r="Q68" s="2" t="s">
        <v>228</v>
      </c>
      <c r="R68" s="2" t="s">
        <v>229</v>
      </c>
      <c r="S68" s="17">
        <v>46178</v>
      </c>
      <c r="T68" s="1">
        <f t="shared" si="6"/>
        <v>2026</v>
      </c>
      <c r="U68" s="1" t="str">
        <f t="shared" si="7"/>
        <v>TW II</v>
      </c>
      <c r="V68" s="1">
        <v>11</v>
      </c>
      <c r="W68" s="2" t="s">
        <v>265</v>
      </c>
      <c r="X68" s="18" t="s">
        <v>266</v>
      </c>
      <c r="Y68" s="18" t="s">
        <v>267</v>
      </c>
      <c r="Z68" s="18" t="s">
        <v>250</v>
      </c>
      <c r="AA68" s="2" t="s">
        <v>176</v>
      </c>
      <c r="AB68" s="18" t="s">
        <v>268</v>
      </c>
      <c r="AC68" s="18" t="s">
        <v>269</v>
      </c>
      <c r="AD68" s="4" t="s">
        <v>270</v>
      </c>
      <c r="AE68" s="1" t="s">
        <v>271</v>
      </c>
      <c r="AF68" s="1" t="s">
        <v>272</v>
      </c>
    </row>
    <row r="69" spans="1:32" ht="14.25" customHeight="1" x14ac:dyDescent="0.45">
      <c r="A69" s="2" t="s">
        <v>264</v>
      </c>
      <c r="B69" s="1">
        <v>1</v>
      </c>
      <c r="C69" s="1" t="s">
        <v>33</v>
      </c>
      <c r="F69" s="1" t="str">
        <f t="shared" si="8"/>
        <v>Baseline</v>
      </c>
      <c r="G69" s="1" t="str">
        <f t="shared" si="9"/>
        <v>Y</v>
      </c>
      <c r="H69" s="2" t="s">
        <v>207</v>
      </c>
      <c r="I69" s="2" t="str">
        <f>IFERROR(VLOOKUP(H69,'DATABASE-DRIFT_LATENT_HP_ERROR'!$A$143:$B$160,2,FALSE()),"")</f>
        <v>Confined Space Entry</v>
      </c>
      <c r="J69" s="2" t="s">
        <v>59</v>
      </c>
      <c r="K69" s="2" t="s">
        <v>230</v>
      </c>
      <c r="L69" s="2" t="s">
        <v>231</v>
      </c>
      <c r="M69" s="2">
        <v>1</v>
      </c>
      <c r="N69" s="2"/>
      <c r="O69" s="2"/>
      <c r="P69" s="18" t="s">
        <v>258</v>
      </c>
      <c r="Q69" s="2" t="s">
        <v>233</v>
      </c>
      <c r="R69" s="2" t="s">
        <v>234</v>
      </c>
      <c r="S69" s="17">
        <v>46178</v>
      </c>
      <c r="T69" s="1">
        <f t="shared" si="6"/>
        <v>2026</v>
      </c>
      <c r="U69" s="1" t="str">
        <f t="shared" si="7"/>
        <v>TW II</v>
      </c>
      <c r="V69" s="1">
        <v>11</v>
      </c>
      <c r="W69" s="2" t="s">
        <v>265</v>
      </c>
      <c r="X69" s="18" t="s">
        <v>266</v>
      </c>
      <c r="Y69" s="18" t="s">
        <v>267</v>
      </c>
      <c r="Z69" s="18" t="s">
        <v>250</v>
      </c>
      <c r="AA69" s="2" t="s">
        <v>176</v>
      </c>
      <c r="AB69" s="18" t="s">
        <v>268</v>
      </c>
      <c r="AC69" s="18" t="s">
        <v>269</v>
      </c>
      <c r="AD69" s="4" t="s">
        <v>270</v>
      </c>
      <c r="AE69" s="1" t="s">
        <v>271</v>
      </c>
      <c r="AF69" s="1" t="s">
        <v>272</v>
      </c>
    </row>
    <row r="70" spans="1:32" ht="21" customHeight="1" x14ac:dyDescent="0.45">
      <c r="A70" s="2" t="s">
        <v>264</v>
      </c>
      <c r="B70" s="1">
        <v>1</v>
      </c>
      <c r="C70" s="1" t="s">
        <v>33</v>
      </c>
      <c r="F70" s="1" t="str">
        <f t="shared" si="8"/>
        <v>Baseline</v>
      </c>
      <c r="G70" s="1" t="str">
        <f t="shared" si="9"/>
        <v>Y</v>
      </c>
      <c r="H70" s="2" t="s">
        <v>207</v>
      </c>
      <c r="I70" s="2" t="str">
        <f>IFERROR(VLOOKUP(H70,'DATABASE-DRIFT_LATENT_HP_ERROR'!$A$143:$B$160,2,FALSE()),"")</f>
        <v>Confined Space Entry</v>
      </c>
      <c r="J70" s="2" t="s">
        <v>64</v>
      </c>
      <c r="K70" s="2" t="s">
        <v>235</v>
      </c>
      <c r="L70" s="2" t="s">
        <v>236</v>
      </c>
      <c r="M70" s="2">
        <v>1</v>
      </c>
      <c r="N70" s="2"/>
      <c r="O70" s="2"/>
      <c r="P70" s="18" t="s">
        <v>259</v>
      </c>
      <c r="Q70" s="2" t="s">
        <v>238</v>
      </c>
      <c r="R70" s="2" t="s">
        <v>103</v>
      </c>
      <c r="S70" s="17">
        <v>46178</v>
      </c>
      <c r="T70" s="1">
        <f t="shared" si="6"/>
        <v>2026</v>
      </c>
      <c r="U70" s="1" t="str">
        <f t="shared" si="7"/>
        <v>TW II</v>
      </c>
      <c r="V70" s="1">
        <v>11</v>
      </c>
      <c r="W70" s="2" t="s">
        <v>265</v>
      </c>
      <c r="X70" s="18" t="s">
        <v>266</v>
      </c>
      <c r="Y70" s="18" t="s">
        <v>267</v>
      </c>
      <c r="Z70" s="18" t="s">
        <v>250</v>
      </c>
      <c r="AA70" s="2" t="s">
        <v>176</v>
      </c>
      <c r="AB70" s="18" t="s">
        <v>268</v>
      </c>
      <c r="AC70" s="18" t="s">
        <v>269</v>
      </c>
      <c r="AD70" s="4" t="s">
        <v>270</v>
      </c>
      <c r="AE70" s="1" t="s">
        <v>271</v>
      </c>
      <c r="AF70" s="1" t="s">
        <v>272</v>
      </c>
    </row>
    <row r="71" spans="1:32" ht="21" customHeight="1" x14ac:dyDescent="0.45">
      <c r="A71" s="2" t="s">
        <v>264</v>
      </c>
      <c r="B71" s="1">
        <v>1</v>
      </c>
      <c r="C71" s="1" t="s">
        <v>33</v>
      </c>
      <c r="F71" s="1" t="str">
        <f t="shared" si="8"/>
        <v>Baseline</v>
      </c>
      <c r="G71" s="1" t="str">
        <f t="shared" si="9"/>
        <v>Y</v>
      </c>
      <c r="H71" s="2" t="s">
        <v>207</v>
      </c>
      <c r="I71" s="2" t="str">
        <f>IFERROR(VLOOKUP(H71,'DATABASE-DRIFT_LATENT_HP_ERROR'!$A$143:$B$160,2,FALSE()),"")</f>
        <v>Confined Space Entry</v>
      </c>
      <c r="J71" s="2" t="s">
        <v>69</v>
      </c>
      <c r="K71" s="2" t="s">
        <v>244</v>
      </c>
      <c r="L71" s="2" t="s">
        <v>260</v>
      </c>
      <c r="M71" s="2"/>
      <c r="N71" s="2">
        <v>1</v>
      </c>
      <c r="O71" s="2"/>
      <c r="P71" s="18" t="s">
        <v>261</v>
      </c>
      <c r="Q71" s="2" t="s">
        <v>262</v>
      </c>
      <c r="R71" s="2" t="s">
        <v>90</v>
      </c>
      <c r="S71" s="17">
        <v>46178</v>
      </c>
      <c r="T71" s="1">
        <f t="shared" si="6"/>
        <v>2026</v>
      </c>
      <c r="U71" s="1" t="str">
        <f t="shared" si="7"/>
        <v>TW II</v>
      </c>
      <c r="V71" s="1">
        <v>11</v>
      </c>
      <c r="W71" s="2" t="s">
        <v>265</v>
      </c>
      <c r="X71" s="18" t="s">
        <v>266</v>
      </c>
      <c r="Y71" s="18" t="s">
        <v>267</v>
      </c>
      <c r="Z71" s="18" t="s">
        <v>250</v>
      </c>
      <c r="AA71" s="2" t="s">
        <v>176</v>
      </c>
      <c r="AB71" s="18" t="s">
        <v>268</v>
      </c>
      <c r="AC71" s="18" t="s">
        <v>269</v>
      </c>
      <c r="AD71" s="4" t="s">
        <v>270</v>
      </c>
      <c r="AE71" s="1" t="s">
        <v>271</v>
      </c>
      <c r="AF71" s="1" t="s">
        <v>272</v>
      </c>
    </row>
    <row r="72" spans="1:32" ht="21" customHeight="1" x14ac:dyDescent="0.45">
      <c r="A72" s="2" t="s">
        <v>264</v>
      </c>
      <c r="B72" s="1">
        <v>1</v>
      </c>
      <c r="C72" s="1" t="s">
        <v>33</v>
      </c>
      <c r="F72" s="1" t="str">
        <f t="shared" si="8"/>
        <v>Baseline</v>
      </c>
      <c r="G72" s="1" t="str">
        <f t="shared" si="9"/>
        <v>Y</v>
      </c>
      <c r="H72" s="2" t="s">
        <v>207</v>
      </c>
      <c r="I72" s="2" t="str">
        <f>IFERROR(VLOOKUP(H72,'DATABASE-DRIFT_LATENT_HP_ERROR'!$A$143:$B$160,2,FALSE()),"")</f>
        <v>Confined Space Entry</v>
      </c>
      <c r="J72" s="2" t="s">
        <v>75</v>
      </c>
      <c r="K72" s="2" t="s">
        <v>239</v>
      </c>
      <c r="L72" s="2" t="s">
        <v>240</v>
      </c>
      <c r="M72" s="2"/>
      <c r="N72" s="2">
        <v>1</v>
      </c>
      <c r="O72" s="2"/>
      <c r="P72" s="18" t="s">
        <v>274</v>
      </c>
      <c r="Q72" s="2" t="s">
        <v>242</v>
      </c>
      <c r="R72" s="2" t="s">
        <v>243</v>
      </c>
      <c r="S72" s="17">
        <v>46178</v>
      </c>
      <c r="T72" s="1">
        <f t="shared" si="6"/>
        <v>2026</v>
      </c>
      <c r="U72" s="1" t="str">
        <f t="shared" si="7"/>
        <v>TW II</v>
      </c>
      <c r="V72" s="1">
        <v>11</v>
      </c>
      <c r="W72" s="2" t="s">
        <v>265</v>
      </c>
      <c r="X72" s="18" t="s">
        <v>266</v>
      </c>
      <c r="Y72" s="18" t="s">
        <v>267</v>
      </c>
      <c r="Z72" s="18" t="s">
        <v>250</v>
      </c>
      <c r="AA72" s="2" t="s">
        <v>176</v>
      </c>
      <c r="AB72" s="18" t="s">
        <v>268</v>
      </c>
      <c r="AC72" s="18" t="s">
        <v>269</v>
      </c>
      <c r="AD72" s="4" t="s">
        <v>270</v>
      </c>
      <c r="AE72" s="1" t="s">
        <v>271</v>
      </c>
      <c r="AF72" s="1" t="s">
        <v>272</v>
      </c>
    </row>
    <row r="73" spans="1:32" ht="21" customHeight="1" x14ac:dyDescent="0.45">
      <c r="A73" s="2" t="s">
        <v>275</v>
      </c>
      <c r="B73" s="1">
        <v>1</v>
      </c>
      <c r="C73" s="1" t="s">
        <v>33</v>
      </c>
      <c r="F73" s="1" t="str">
        <f t="shared" si="8"/>
        <v>Baseline</v>
      </c>
      <c r="G73" s="1" t="str">
        <f t="shared" si="9"/>
        <v>Y</v>
      </c>
      <c r="H73" s="2" t="s">
        <v>34</v>
      </c>
      <c r="I73" s="2" t="str">
        <f>IFERROR(VLOOKUP(H73,'DATABASE-DRIFT_LATENT_HP_ERROR'!$A$143:$B$160,2,FALSE()),"")</f>
        <v>Work at Height</v>
      </c>
      <c r="J73" s="2" t="s">
        <v>35</v>
      </c>
      <c r="K73" s="2" t="s">
        <v>36</v>
      </c>
      <c r="L73" s="2" t="s">
        <v>37</v>
      </c>
      <c r="M73" s="2"/>
      <c r="N73" s="2">
        <v>1</v>
      </c>
      <c r="O73" s="2"/>
      <c r="P73" s="18" t="s">
        <v>276</v>
      </c>
      <c r="Q73" s="2" t="s">
        <v>39</v>
      </c>
      <c r="R73" s="2" t="s">
        <v>40</v>
      </c>
      <c r="S73" s="17">
        <v>46177</v>
      </c>
      <c r="T73" s="1">
        <f t="shared" si="6"/>
        <v>2026</v>
      </c>
      <c r="U73" s="1" t="str">
        <f t="shared" si="7"/>
        <v>TW II</v>
      </c>
      <c r="V73" s="1">
        <v>11</v>
      </c>
      <c r="W73" s="2" t="s">
        <v>172</v>
      </c>
      <c r="X73" s="18" t="s">
        <v>277</v>
      </c>
      <c r="Y73" s="18" t="s">
        <v>278</v>
      </c>
      <c r="Z73" s="18" t="s">
        <v>279</v>
      </c>
      <c r="AA73" s="2" t="s">
        <v>176</v>
      </c>
      <c r="AB73" s="18" t="s">
        <v>280</v>
      </c>
      <c r="AC73" s="18" t="s">
        <v>281</v>
      </c>
      <c r="AD73" s="4" t="s">
        <v>282</v>
      </c>
      <c r="AE73" s="1" t="s">
        <v>196</v>
      </c>
      <c r="AF73" s="1" t="s">
        <v>283</v>
      </c>
    </row>
    <row r="74" spans="1:32" ht="21" customHeight="1" x14ac:dyDescent="0.45">
      <c r="A74" s="2" t="s">
        <v>275</v>
      </c>
      <c r="B74" s="1">
        <v>1</v>
      </c>
      <c r="C74" s="1" t="s">
        <v>33</v>
      </c>
      <c r="F74" s="1" t="str">
        <f t="shared" si="8"/>
        <v>Baseline</v>
      </c>
      <c r="G74" s="1" t="str">
        <f t="shared" si="9"/>
        <v>Y</v>
      </c>
      <c r="H74" s="2" t="s">
        <v>34</v>
      </c>
      <c r="I74" s="2" t="str">
        <f>IFERROR(VLOOKUP(H74,'DATABASE-DRIFT_LATENT_HP_ERROR'!$A$143:$B$160,2,FALSE()),"")</f>
        <v>Work at Height</v>
      </c>
      <c r="J74" s="2" t="s">
        <v>48</v>
      </c>
      <c r="K74" s="2" t="s">
        <v>49</v>
      </c>
      <c r="L74" s="2" t="s">
        <v>50</v>
      </c>
      <c r="M74" s="2"/>
      <c r="N74" s="2">
        <v>1</v>
      </c>
      <c r="O74" s="2"/>
      <c r="P74" s="18" t="s">
        <v>284</v>
      </c>
      <c r="Q74" s="2" t="s">
        <v>39</v>
      </c>
      <c r="R74" s="2" t="s">
        <v>52</v>
      </c>
      <c r="S74" s="17">
        <v>46177</v>
      </c>
      <c r="T74" s="1">
        <f t="shared" si="6"/>
        <v>2026</v>
      </c>
      <c r="U74" s="1" t="str">
        <f t="shared" si="7"/>
        <v>TW II</v>
      </c>
      <c r="V74" s="1">
        <v>11</v>
      </c>
      <c r="W74" s="2" t="s">
        <v>172</v>
      </c>
      <c r="X74" s="18" t="s">
        <v>277</v>
      </c>
      <c r="Y74" s="18" t="s">
        <v>278</v>
      </c>
      <c r="Z74" s="18" t="s">
        <v>279</v>
      </c>
      <c r="AA74" s="2" t="s">
        <v>176</v>
      </c>
      <c r="AB74" s="18" t="s">
        <v>280</v>
      </c>
      <c r="AC74" s="18" t="s">
        <v>281</v>
      </c>
      <c r="AD74" s="4" t="s">
        <v>282</v>
      </c>
      <c r="AE74" s="1" t="s">
        <v>196</v>
      </c>
      <c r="AF74" s="1" t="s">
        <v>283</v>
      </c>
    </row>
    <row r="75" spans="1:32" ht="21" customHeight="1" x14ac:dyDescent="0.45">
      <c r="A75" s="2" t="s">
        <v>275</v>
      </c>
      <c r="B75" s="1">
        <v>1</v>
      </c>
      <c r="C75" s="1" t="s">
        <v>33</v>
      </c>
      <c r="F75" s="1" t="str">
        <f t="shared" si="8"/>
        <v>Baseline</v>
      </c>
      <c r="G75" s="1" t="str">
        <f t="shared" si="9"/>
        <v>Y</v>
      </c>
      <c r="H75" s="2" t="s">
        <v>34</v>
      </c>
      <c r="I75" s="2" t="str">
        <f>IFERROR(VLOOKUP(H75,'DATABASE-DRIFT_LATENT_HP_ERROR'!$A$143:$B$160,2,FALSE()),"")</f>
        <v>Work at Height</v>
      </c>
      <c r="J75" s="2" t="s">
        <v>53</v>
      </c>
      <c r="K75" s="2" t="s">
        <v>54</v>
      </c>
      <c r="L75" s="2" t="s">
        <v>55</v>
      </c>
      <c r="M75" s="2"/>
      <c r="N75" s="2">
        <v>1</v>
      </c>
      <c r="O75" s="2"/>
      <c r="P75" s="18" t="s">
        <v>285</v>
      </c>
      <c r="Q75" s="2" t="s">
        <v>57</v>
      </c>
      <c r="R75" s="2" t="s">
        <v>58</v>
      </c>
      <c r="S75" s="17">
        <v>46177</v>
      </c>
      <c r="T75" s="1">
        <f t="shared" si="6"/>
        <v>2026</v>
      </c>
      <c r="U75" s="1" t="str">
        <f t="shared" si="7"/>
        <v>TW II</v>
      </c>
      <c r="V75" s="1">
        <v>11</v>
      </c>
      <c r="W75" s="2" t="s">
        <v>172</v>
      </c>
      <c r="X75" s="18" t="s">
        <v>277</v>
      </c>
      <c r="Y75" s="18" t="s">
        <v>278</v>
      </c>
      <c r="Z75" s="18" t="s">
        <v>279</v>
      </c>
      <c r="AA75" s="2" t="s">
        <v>176</v>
      </c>
      <c r="AB75" s="18" t="s">
        <v>280</v>
      </c>
      <c r="AC75" s="18" t="s">
        <v>281</v>
      </c>
      <c r="AD75" s="4" t="s">
        <v>282</v>
      </c>
      <c r="AE75" s="1" t="s">
        <v>196</v>
      </c>
      <c r="AF75" s="1" t="s">
        <v>283</v>
      </c>
    </row>
    <row r="76" spans="1:32" ht="21" customHeight="1" x14ac:dyDescent="0.45">
      <c r="A76" s="2" t="s">
        <v>275</v>
      </c>
      <c r="B76" s="1">
        <v>1</v>
      </c>
      <c r="C76" s="1" t="s">
        <v>33</v>
      </c>
      <c r="F76" s="1" t="str">
        <f t="shared" si="8"/>
        <v>Baseline</v>
      </c>
      <c r="G76" s="1" t="str">
        <f t="shared" si="9"/>
        <v>Y</v>
      </c>
      <c r="H76" s="2" t="s">
        <v>34</v>
      </c>
      <c r="I76" s="2" t="str">
        <f>IFERROR(VLOOKUP(H76,'DATABASE-DRIFT_LATENT_HP_ERROR'!$A$143:$B$160,2,FALSE()),"")</f>
        <v>Work at Height</v>
      </c>
      <c r="J76" s="2" t="s">
        <v>59</v>
      </c>
      <c r="K76" s="2" t="s">
        <v>60</v>
      </c>
      <c r="L76" s="2" t="s">
        <v>61</v>
      </c>
      <c r="M76" s="2"/>
      <c r="N76" s="2">
        <v>1</v>
      </c>
      <c r="O76" s="2"/>
      <c r="P76" s="18" t="s">
        <v>286</v>
      </c>
      <c r="Q76" s="2" t="s">
        <v>40</v>
      </c>
      <c r="R76" s="2" t="s">
        <v>63</v>
      </c>
      <c r="S76" s="17">
        <v>46177</v>
      </c>
      <c r="T76" s="1">
        <f t="shared" si="6"/>
        <v>2026</v>
      </c>
      <c r="U76" s="1" t="str">
        <f t="shared" si="7"/>
        <v>TW II</v>
      </c>
      <c r="V76" s="1">
        <v>11</v>
      </c>
      <c r="W76" s="2" t="s">
        <v>172</v>
      </c>
      <c r="X76" s="18" t="s">
        <v>277</v>
      </c>
      <c r="Y76" s="18" t="s">
        <v>278</v>
      </c>
      <c r="Z76" s="18" t="s">
        <v>279</v>
      </c>
      <c r="AA76" s="2" t="s">
        <v>176</v>
      </c>
      <c r="AB76" s="18" t="s">
        <v>280</v>
      </c>
      <c r="AC76" s="18" t="s">
        <v>281</v>
      </c>
      <c r="AD76" s="4" t="s">
        <v>282</v>
      </c>
      <c r="AE76" s="1" t="s">
        <v>196</v>
      </c>
      <c r="AF76" s="1" t="s">
        <v>283</v>
      </c>
    </row>
    <row r="77" spans="1:32" ht="14.25" customHeight="1" x14ac:dyDescent="0.45">
      <c r="A77" s="2" t="s">
        <v>275</v>
      </c>
      <c r="B77" s="1">
        <v>1</v>
      </c>
      <c r="C77" s="1" t="s">
        <v>33</v>
      </c>
      <c r="F77" s="1" t="str">
        <f t="shared" si="8"/>
        <v>Baseline</v>
      </c>
      <c r="G77" s="1" t="str">
        <f t="shared" si="9"/>
        <v>Y</v>
      </c>
      <c r="H77" s="2" t="s">
        <v>34</v>
      </c>
      <c r="I77" s="2" t="str">
        <f>IFERROR(VLOOKUP(H77,'DATABASE-DRIFT_LATENT_HP_ERROR'!$A$143:$B$160,2,FALSE()),"")</f>
        <v>Work at Height</v>
      </c>
      <c r="J77" s="2" t="s">
        <v>64</v>
      </c>
      <c r="K77" s="2" t="s">
        <v>65</v>
      </c>
      <c r="L77" s="2" t="s">
        <v>66</v>
      </c>
      <c r="M77" s="2">
        <v>1</v>
      </c>
      <c r="N77" s="2"/>
      <c r="O77" s="2"/>
      <c r="P77" s="18" t="s">
        <v>201</v>
      </c>
      <c r="Q77" s="2" t="s">
        <v>40</v>
      </c>
      <c r="R77" s="2" t="s">
        <v>68</v>
      </c>
      <c r="S77" s="17">
        <v>46177</v>
      </c>
      <c r="T77" s="1">
        <f t="shared" si="6"/>
        <v>2026</v>
      </c>
      <c r="U77" s="1" t="str">
        <f t="shared" si="7"/>
        <v>TW II</v>
      </c>
      <c r="V77" s="1">
        <v>11</v>
      </c>
      <c r="W77" s="2" t="s">
        <v>172</v>
      </c>
      <c r="X77" s="18" t="s">
        <v>277</v>
      </c>
      <c r="Y77" s="18" t="s">
        <v>278</v>
      </c>
      <c r="Z77" s="18" t="s">
        <v>279</v>
      </c>
      <c r="AA77" s="2" t="s">
        <v>176</v>
      </c>
      <c r="AB77" s="18" t="s">
        <v>280</v>
      </c>
      <c r="AC77" s="18" t="s">
        <v>281</v>
      </c>
      <c r="AD77" s="4" t="s">
        <v>282</v>
      </c>
      <c r="AE77" s="1" t="s">
        <v>196</v>
      </c>
      <c r="AF77" s="1" t="s">
        <v>283</v>
      </c>
    </row>
    <row r="78" spans="1:32" ht="14.25" customHeight="1" x14ac:dyDescent="0.45">
      <c r="A78" s="2" t="s">
        <v>275</v>
      </c>
      <c r="B78" s="1">
        <v>1</v>
      </c>
      <c r="C78" s="1" t="s">
        <v>33</v>
      </c>
      <c r="F78" s="1" t="str">
        <f t="shared" si="8"/>
        <v>Baseline</v>
      </c>
      <c r="G78" s="1" t="str">
        <f t="shared" si="9"/>
        <v>Y</v>
      </c>
      <c r="H78" s="2" t="s">
        <v>34</v>
      </c>
      <c r="I78" s="2" t="str">
        <f>IFERROR(VLOOKUP(H78,'DATABASE-DRIFT_LATENT_HP_ERROR'!$A$143:$B$160,2,FALSE()),"")</f>
        <v>Work at Height</v>
      </c>
      <c r="J78" s="2" t="s">
        <v>69</v>
      </c>
      <c r="K78" s="2" t="s">
        <v>70</v>
      </c>
      <c r="L78" s="2" t="s">
        <v>71</v>
      </c>
      <c r="M78" s="2"/>
      <c r="N78" s="2">
        <v>1</v>
      </c>
      <c r="O78" s="2"/>
      <c r="P78" s="18" t="s">
        <v>287</v>
      </c>
      <c r="Q78" s="2" t="s">
        <v>73</v>
      </c>
      <c r="R78" s="2" t="s">
        <v>74</v>
      </c>
      <c r="S78" s="17">
        <v>46177</v>
      </c>
      <c r="T78" s="1">
        <f t="shared" si="6"/>
        <v>2026</v>
      </c>
      <c r="U78" s="1" t="str">
        <f t="shared" si="7"/>
        <v>TW II</v>
      </c>
      <c r="V78" s="1">
        <v>11</v>
      </c>
      <c r="W78" s="2" t="s">
        <v>172</v>
      </c>
      <c r="X78" s="18" t="s">
        <v>277</v>
      </c>
      <c r="Y78" s="18" t="s">
        <v>278</v>
      </c>
      <c r="Z78" s="18" t="s">
        <v>279</v>
      </c>
      <c r="AA78" s="2" t="s">
        <v>176</v>
      </c>
      <c r="AB78" s="18" t="s">
        <v>280</v>
      </c>
      <c r="AC78" s="18" t="s">
        <v>281</v>
      </c>
      <c r="AD78" s="4" t="s">
        <v>282</v>
      </c>
      <c r="AE78" s="1" t="s">
        <v>196</v>
      </c>
      <c r="AF78" s="1" t="s">
        <v>283</v>
      </c>
    </row>
    <row r="79" spans="1:32" ht="21" customHeight="1" x14ac:dyDescent="0.45">
      <c r="A79" s="2" t="s">
        <v>275</v>
      </c>
      <c r="B79" s="1">
        <v>1</v>
      </c>
      <c r="C79" s="1" t="s">
        <v>33</v>
      </c>
      <c r="F79" s="1" t="str">
        <f t="shared" si="8"/>
        <v>Baseline</v>
      </c>
      <c r="G79" s="1" t="str">
        <f t="shared" si="9"/>
        <v>Y</v>
      </c>
      <c r="H79" s="2" t="s">
        <v>34</v>
      </c>
      <c r="I79" s="2" t="str">
        <f>IFERROR(VLOOKUP(H79,'DATABASE-DRIFT_LATENT_HP_ERROR'!$A$143:$B$160,2,FALSE()),"")</f>
        <v>Work at Height</v>
      </c>
      <c r="J79" s="2" t="s">
        <v>75</v>
      </c>
      <c r="K79" s="2" t="s">
        <v>76</v>
      </c>
      <c r="L79" s="2" t="s">
        <v>77</v>
      </c>
      <c r="M79" s="2"/>
      <c r="N79" s="2">
        <v>1</v>
      </c>
      <c r="O79" s="2"/>
      <c r="P79" s="18" t="s">
        <v>288</v>
      </c>
      <c r="Q79" s="2" t="s">
        <v>79</v>
      </c>
      <c r="R79" s="2" t="s">
        <v>80</v>
      </c>
      <c r="S79" s="17">
        <v>46177</v>
      </c>
      <c r="T79" s="1">
        <f t="shared" si="6"/>
        <v>2026</v>
      </c>
      <c r="U79" s="1" t="str">
        <f t="shared" si="7"/>
        <v>TW II</v>
      </c>
      <c r="V79" s="1">
        <v>11</v>
      </c>
      <c r="W79" s="2" t="s">
        <v>172</v>
      </c>
      <c r="X79" s="18" t="s">
        <v>277</v>
      </c>
      <c r="Y79" s="18" t="s">
        <v>278</v>
      </c>
      <c r="Z79" s="18" t="s">
        <v>279</v>
      </c>
      <c r="AA79" s="2" t="s">
        <v>176</v>
      </c>
      <c r="AB79" s="18" t="s">
        <v>280</v>
      </c>
      <c r="AC79" s="18" t="s">
        <v>281</v>
      </c>
      <c r="AD79" s="4" t="s">
        <v>282</v>
      </c>
      <c r="AE79" s="1" t="s">
        <v>196</v>
      </c>
      <c r="AF79" s="1" t="s">
        <v>283</v>
      </c>
    </row>
    <row r="80" spans="1:32" ht="14.25" customHeight="1" x14ac:dyDescent="0.45">
      <c r="A80" s="2" t="s">
        <v>275</v>
      </c>
      <c r="B80" s="1">
        <v>1</v>
      </c>
      <c r="C80" s="1" t="s">
        <v>33</v>
      </c>
      <c r="F80" s="1" t="str">
        <f t="shared" si="8"/>
        <v>Baseline</v>
      </c>
      <c r="G80" s="1" t="str">
        <f t="shared" si="9"/>
        <v>Y</v>
      </c>
      <c r="H80" s="2" t="s">
        <v>34</v>
      </c>
      <c r="I80" s="2" t="str">
        <f>IFERROR(VLOOKUP(H80,'DATABASE-DRIFT_LATENT_HP_ERROR'!$A$143:$B$160,2,FALSE()),"")</f>
        <v>Work at Height</v>
      </c>
      <c r="J80" s="2" t="s">
        <v>81</v>
      </c>
      <c r="K80" s="2" t="s">
        <v>82</v>
      </c>
      <c r="L80" s="2" t="s">
        <v>83</v>
      </c>
      <c r="M80" s="2">
        <v>1</v>
      </c>
      <c r="N80" s="2"/>
      <c r="O80" s="2"/>
      <c r="P80" s="18" t="s">
        <v>289</v>
      </c>
      <c r="Q80" s="2" t="s">
        <v>40</v>
      </c>
      <c r="R80" s="2" t="s">
        <v>85</v>
      </c>
      <c r="S80" s="17">
        <v>46177</v>
      </c>
      <c r="T80" s="1">
        <f t="shared" si="6"/>
        <v>2026</v>
      </c>
      <c r="U80" s="1" t="str">
        <f t="shared" si="7"/>
        <v>TW II</v>
      </c>
      <c r="V80" s="1">
        <v>11</v>
      </c>
      <c r="W80" s="2" t="s">
        <v>172</v>
      </c>
      <c r="X80" s="18" t="s">
        <v>277</v>
      </c>
      <c r="Y80" s="18" t="s">
        <v>278</v>
      </c>
      <c r="Z80" s="18" t="s">
        <v>279</v>
      </c>
      <c r="AA80" s="2" t="s">
        <v>176</v>
      </c>
      <c r="AB80" s="18" t="s">
        <v>280</v>
      </c>
      <c r="AC80" s="18" t="s">
        <v>281</v>
      </c>
      <c r="AD80" s="4" t="s">
        <v>282</v>
      </c>
      <c r="AE80" s="1" t="s">
        <v>196</v>
      </c>
      <c r="AF80" s="1" t="s">
        <v>283</v>
      </c>
    </row>
    <row r="81" spans="1:32" ht="21" customHeight="1" x14ac:dyDescent="0.45">
      <c r="A81" s="2" t="s">
        <v>275</v>
      </c>
      <c r="B81" s="1">
        <v>1</v>
      </c>
      <c r="C81" s="1" t="s">
        <v>33</v>
      </c>
      <c r="F81" s="1" t="str">
        <f t="shared" si="8"/>
        <v>Baseline</v>
      </c>
      <c r="G81" s="1" t="str">
        <f t="shared" si="9"/>
        <v>Y</v>
      </c>
      <c r="H81" s="2" t="s">
        <v>34</v>
      </c>
      <c r="I81" s="2" t="str">
        <f>IFERROR(VLOOKUP(H81,'DATABASE-DRIFT_LATENT_HP_ERROR'!$A$143:$B$160,2,FALSE()),"")</f>
        <v>Work at Height</v>
      </c>
      <c r="J81" s="2" t="s">
        <v>86</v>
      </c>
      <c r="K81" s="2" t="s">
        <v>87</v>
      </c>
      <c r="L81" s="2" t="s">
        <v>88</v>
      </c>
      <c r="M81" s="2"/>
      <c r="N81" s="2">
        <v>1</v>
      </c>
      <c r="O81" s="2"/>
      <c r="P81" s="18" t="s">
        <v>290</v>
      </c>
      <c r="Q81" s="2" t="s">
        <v>57</v>
      </c>
      <c r="R81" s="2" t="s">
        <v>90</v>
      </c>
      <c r="S81" s="17">
        <v>46177</v>
      </c>
      <c r="T81" s="1">
        <f t="shared" si="6"/>
        <v>2026</v>
      </c>
      <c r="U81" s="1" t="str">
        <f t="shared" si="7"/>
        <v>TW II</v>
      </c>
      <c r="V81" s="1">
        <v>11</v>
      </c>
      <c r="W81" s="2" t="s">
        <v>172</v>
      </c>
      <c r="X81" s="18" t="s">
        <v>277</v>
      </c>
      <c r="Y81" s="18" t="s">
        <v>278</v>
      </c>
      <c r="Z81" s="18" t="s">
        <v>279</v>
      </c>
      <c r="AA81" s="2" t="s">
        <v>176</v>
      </c>
      <c r="AB81" s="18" t="s">
        <v>280</v>
      </c>
      <c r="AC81" s="18" t="s">
        <v>281</v>
      </c>
      <c r="AD81" s="4" t="s">
        <v>282</v>
      </c>
      <c r="AE81" s="1" t="s">
        <v>196</v>
      </c>
      <c r="AF81" s="1" t="s">
        <v>283</v>
      </c>
    </row>
    <row r="82" spans="1:32" ht="14.25" customHeight="1" x14ac:dyDescent="0.45">
      <c r="F82" s="1" t="str">
        <f t="shared" si="8"/>
        <v/>
      </c>
      <c r="G82" s="1" t="str">
        <f t="shared" si="9"/>
        <v/>
      </c>
      <c r="I82" s="1" t="str">
        <f>IFERROR(VLOOKUP(H82,'DATABASE-DRIFT_LATENT_HP_ERROR'!$A$143:$B$160,2,FALSE()),"")</f>
        <v/>
      </c>
      <c r="K82" s="2"/>
    </row>
    <row r="83" spans="1:32" ht="21" customHeight="1" x14ac:dyDescent="0.45">
      <c r="A83" s="2" t="s">
        <v>291</v>
      </c>
      <c r="B83" s="1">
        <v>1</v>
      </c>
      <c r="C83" s="1" t="s">
        <v>33</v>
      </c>
      <c r="F83" s="1" t="str">
        <f t="shared" si="8"/>
        <v>Baseline</v>
      </c>
      <c r="G83" s="1" t="str">
        <f t="shared" si="9"/>
        <v>Y</v>
      </c>
      <c r="H83" s="2" t="s">
        <v>292</v>
      </c>
      <c r="I83" s="2" t="str">
        <f>IFERROR(VLOOKUP(H83,'DATABASE-DRIFT_LATENT_HP_ERROR'!$A$143:$B$160,2,FALSE()),"")</f>
        <v>Hot Work</v>
      </c>
      <c r="J83" s="2" t="s">
        <v>35</v>
      </c>
      <c r="K83" s="2" t="s">
        <v>293</v>
      </c>
      <c r="L83" s="2" t="s">
        <v>294</v>
      </c>
      <c r="M83" s="2"/>
      <c r="N83" s="2">
        <v>1</v>
      </c>
      <c r="O83" s="2"/>
      <c r="P83" s="18" t="s">
        <v>295</v>
      </c>
      <c r="Q83" s="2" t="s">
        <v>296</v>
      </c>
      <c r="R83" s="2" t="s">
        <v>297</v>
      </c>
      <c r="S83" s="17">
        <v>46178</v>
      </c>
      <c r="T83" s="1">
        <f t="shared" ref="T83:T114" si="10">IF(S83="","",YEAR(S83))</f>
        <v>2026</v>
      </c>
      <c r="U83" s="1" t="str">
        <f t="shared" ref="U83:U114" si="11">IF(S83="","","TW "&amp;CHOOSE(ROUNDUP(MONTH(S83)/3,0),"I","II","III","IV"))</f>
        <v>TW II</v>
      </c>
      <c r="V83" s="1">
        <v>11</v>
      </c>
      <c r="W83" s="2" t="s">
        <v>247</v>
      </c>
      <c r="X83" s="18" t="s">
        <v>298</v>
      </c>
      <c r="Y83" s="18" t="s">
        <v>299</v>
      </c>
      <c r="Z83" s="18" t="s">
        <v>250</v>
      </c>
      <c r="AA83" s="2" t="s">
        <v>176</v>
      </c>
      <c r="AB83" s="18" t="s">
        <v>251</v>
      </c>
      <c r="AC83" s="18" t="s">
        <v>252</v>
      </c>
      <c r="AD83" s="4" t="s">
        <v>253</v>
      </c>
      <c r="AE83" s="1" t="s">
        <v>254</v>
      </c>
      <c r="AF83" s="1" t="s">
        <v>255</v>
      </c>
    </row>
    <row r="84" spans="1:32" ht="21" customHeight="1" x14ac:dyDescent="0.45">
      <c r="A84" s="2" t="s">
        <v>291</v>
      </c>
      <c r="B84" s="1">
        <v>1</v>
      </c>
      <c r="C84" s="1" t="s">
        <v>33</v>
      </c>
      <c r="F84" s="1" t="str">
        <f t="shared" si="8"/>
        <v>Baseline</v>
      </c>
      <c r="G84" s="1" t="str">
        <f t="shared" si="9"/>
        <v>Y</v>
      </c>
      <c r="H84" s="2" t="s">
        <v>292</v>
      </c>
      <c r="I84" s="2" t="str">
        <f>IFERROR(VLOOKUP(H84,'DATABASE-DRIFT_LATENT_HP_ERROR'!$A$143:$B$160,2,FALSE()),"")</f>
        <v>Hot Work</v>
      </c>
      <c r="J84" s="2" t="s">
        <v>48</v>
      </c>
      <c r="K84" s="2" t="s">
        <v>300</v>
      </c>
      <c r="L84" s="2" t="s">
        <v>301</v>
      </c>
      <c r="M84" s="2">
        <v>1</v>
      </c>
      <c r="N84" s="2"/>
      <c r="O84" s="2"/>
      <c r="P84" s="18"/>
      <c r="Q84" s="2" t="s">
        <v>302</v>
      </c>
      <c r="R84" s="2" t="s">
        <v>303</v>
      </c>
      <c r="S84" s="17">
        <v>46178</v>
      </c>
      <c r="T84" s="1">
        <f t="shared" si="10"/>
        <v>2026</v>
      </c>
      <c r="U84" s="1" t="str">
        <f t="shared" si="11"/>
        <v>TW II</v>
      </c>
      <c r="V84" s="1">
        <v>11</v>
      </c>
      <c r="W84" s="2" t="s">
        <v>247</v>
      </c>
      <c r="X84" s="18" t="s">
        <v>298</v>
      </c>
      <c r="Y84" s="18" t="s">
        <v>299</v>
      </c>
      <c r="Z84" s="18" t="s">
        <v>250</v>
      </c>
      <c r="AA84" s="2" t="s">
        <v>176</v>
      </c>
      <c r="AB84" s="18" t="s">
        <v>251</v>
      </c>
      <c r="AC84" s="18" t="s">
        <v>252</v>
      </c>
      <c r="AD84" s="4" t="s">
        <v>253</v>
      </c>
      <c r="AE84" s="1" t="s">
        <v>254</v>
      </c>
      <c r="AF84" s="1" t="s">
        <v>255</v>
      </c>
    </row>
    <row r="85" spans="1:32" ht="21" customHeight="1" x14ac:dyDescent="0.45">
      <c r="A85" s="2" t="s">
        <v>291</v>
      </c>
      <c r="B85" s="1">
        <v>1</v>
      </c>
      <c r="C85" s="1" t="s">
        <v>33</v>
      </c>
      <c r="F85" s="1" t="str">
        <f t="shared" si="8"/>
        <v>Baseline</v>
      </c>
      <c r="G85" s="1" t="str">
        <f t="shared" si="9"/>
        <v>Y</v>
      </c>
      <c r="H85" s="2" t="s">
        <v>292</v>
      </c>
      <c r="I85" s="2" t="str">
        <f>IFERROR(VLOOKUP(H85,'DATABASE-DRIFT_LATENT_HP_ERROR'!$A$143:$B$160,2,FALSE()),"")</f>
        <v>Hot Work</v>
      </c>
      <c r="J85" s="2" t="s">
        <v>53</v>
      </c>
      <c r="K85" s="2" t="s">
        <v>304</v>
      </c>
      <c r="L85" s="2" t="s">
        <v>305</v>
      </c>
      <c r="M85" s="2"/>
      <c r="N85" s="2">
        <v>1</v>
      </c>
      <c r="O85" s="2"/>
      <c r="P85" s="18" t="s">
        <v>306</v>
      </c>
      <c r="Q85" s="2" t="s">
        <v>302</v>
      </c>
      <c r="R85" s="2" t="s">
        <v>307</v>
      </c>
      <c r="S85" s="17">
        <v>46178</v>
      </c>
      <c r="T85" s="1">
        <f t="shared" si="10"/>
        <v>2026</v>
      </c>
      <c r="U85" s="1" t="str">
        <f t="shared" si="11"/>
        <v>TW II</v>
      </c>
      <c r="V85" s="1">
        <v>11</v>
      </c>
      <c r="W85" s="2" t="s">
        <v>247</v>
      </c>
      <c r="X85" s="18" t="s">
        <v>298</v>
      </c>
      <c r="Y85" s="18" t="s">
        <v>299</v>
      </c>
      <c r="Z85" s="18" t="s">
        <v>250</v>
      </c>
      <c r="AA85" s="2" t="s">
        <v>176</v>
      </c>
      <c r="AB85" s="18" t="s">
        <v>251</v>
      </c>
      <c r="AC85" s="18" t="s">
        <v>252</v>
      </c>
      <c r="AD85" s="4" t="s">
        <v>253</v>
      </c>
      <c r="AE85" s="1" t="s">
        <v>254</v>
      </c>
      <c r="AF85" s="1" t="s">
        <v>255</v>
      </c>
    </row>
    <row r="86" spans="1:32" ht="21" customHeight="1" x14ac:dyDescent="0.45">
      <c r="A86" s="2" t="s">
        <v>291</v>
      </c>
      <c r="B86" s="1">
        <v>1</v>
      </c>
      <c r="C86" s="1" t="s">
        <v>33</v>
      </c>
      <c r="F86" s="1" t="str">
        <f t="shared" si="8"/>
        <v>Baseline</v>
      </c>
      <c r="G86" s="1" t="str">
        <f t="shared" si="9"/>
        <v>Y</v>
      </c>
      <c r="H86" s="2" t="s">
        <v>292</v>
      </c>
      <c r="I86" s="2" t="str">
        <f>IFERROR(VLOOKUP(H86,'DATABASE-DRIFT_LATENT_HP_ERROR'!$A$143:$B$160,2,FALSE()),"")</f>
        <v>Hot Work</v>
      </c>
      <c r="J86" s="2" t="s">
        <v>59</v>
      </c>
      <c r="K86" s="2" t="s">
        <v>308</v>
      </c>
      <c r="L86" s="2" t="s">
        <v>309</v>
      </c>
      <c r="M86" s="2">
        <v>1</v>
      </c>
      <c r="N86" s="2"/>
      <c r="O86" s="2"/>
      <c r="P86" s="18" t="s">
        <v>310</v>
      </c>
      <c r="Q86" s="2" t="s">
        <v>296</v>
      </c>
      <c r="R86" s="2" t="s">
        <v>309</v>
      </c>
      <c r="S86" s="17">
        <v>46178</v>
      </c>
      <c r="T86" s="1">
        <f t="shared" si="10"/>
        <v>2026</v>
      </c>
      <c r="U86" s="1" t="str">
        <f t="shared" si="11"/>
        <v>TW II</v>
      </c>
      <c r="V86" s="1">
        <v>11</v>
      </c>
      <c r="W86" s="2" t="s">
        <v>247</v>
      </c>
      <c r="X86" s="18" t="s">
        <v>298</v>
      </c>
      <c r="Y86" s="18" t="s">
        <v>299</v>
      </c>
      <c r="Z86" s="18" t="s">
        <v>250</v>
      </c>
      <c r="AA86" s="2" t="s">
        <v>176</v>
      </c>
      <c r="AB86" s="18" t="s">
        <v>251</v>
      </c>
      <c r="AC86" s="18" t="s">
        <v>252</v>
      </c>
      <c r="AD86" s="4" t="s">
        <v>253</v>
      </c>
      <c r="AE86" s="1" t="s">
        <v>254</v>
      </c>
      <c r="AF86" s="1" t="s">
        <v>255</v>
      </c>
    </row>
    <row r="87" spans="1:32" ht="21" customHeight="1" x14ac:dyDescent="0.45">
      <c r="A87" s="2" t="s">
        <v>291</v>
      </c>
      <c r="B87" s="1">
        <v>1</v>
      </c>
      <c r="C87" s="1" t="s">
        <v>33</v>
      </c>
      <c r="F87" s="1" t="str">
        <f t="shared" si="8"/>
        <v>Baseline</v>
      </c>
      <c r="G87" s="1" t="str">
        <f t="shared" si="9"/>
        <v>Y</v>
      </c>
      <c r="H87" s="2" t="s">
        <v>292</v>
      </c>
      <c r="I87" s="2" t="str">
        <f>IFERROR(VLOOKUP(H87,'DATABASE-DRIFT_LATENT_HP_ERROR'!$A$143:$B$160,2,FALSE()),"")</f>
        <v>Hot Work</v>
      </c>
      <c r="J87" s="2" t="s">
        <v>64</v>
      </c>
      <c r="K87" s="2" t="s">
        <v>311</v>
      </c>
      <c r="L87" s="2" t="s">
        <v>312</v>
      </c>
      <c r="M87" s="2">
        <v>1</v>
      </c>
      <c r="N87" s="2"/>
      <c r="O87" s="2"/>
      <c r="P87" s="18"/>
      <c r="Q87" s="2" t="s">
        <v>302</v>
      </c>
      <c r="R87" s="2" t="s">
        <v>313</v>
      </c>
      <c r="S87" s="17">
        <v>46178</v>
      </c>
      <c r="T87" s="1">
        <f t="shared" si="10"/>
        <v>2026</v>
      </c>
      <c r="U87" s="1" t="str">
        <f t="shared" si="11"/>
        <v>TW II</v>
      </c>
      <c r="V87" s="1">
        <v>11</v>
      </c>
      <c r="W87" s="2" t="s">
        <v>247</v>
      </c>
      <c r="X87" s="18" t="s">
        <v>298</v>
      </c>
      <c r="Y87" s="18" t="s">
        <v>299</v>
      </c>
      <c r="Z87" s="18" t="s">
        <v>250</v>
      </c>
      <c r="AA87" s="2" t="s">
        <v>176</v>
      </c>
      <c r="AB87" s="18" t="s">
        <v>251</v>
      </c>
      <c r="AC87" s="18" t="s">
        <v>252</v>
      </c>
      <c r="AD87" s="4" t="s">
        <v>253</v>
      </c>
      <c r="AE87" s="1" t="s">
        <v>254</v>
      </c>
      <c r="AF87" s="1" t="s">
        <v>255</v>
      </c>
    </row>
    <row r="88" spans="1:32" ht="21" customHeight="1" x14ac:dyDescent="0.45">
      <c r="A88" s="2" t="s">
        <v>291</v>
      </c>
      <c r="B88" s="1">
        <v>1</v>
      </c>
      <c r="C88" s="1" t="s">
        <v>33</v>
      </c>
      <c r="F88" s="1" t="str">
        <f t="shared" si="8"/>
        <v>Baseline</v>
      </c>
      <c r="G88" s="1" t="str">
        <f t="shared" si="9"/>
        <v>Y</v>
      </c>
      <c r="H88" s="2" t="s">
        <v>292</v>
      </c>
      <c r="I88" s="2" t="str">
        <f>IFERROR(VLOOKUP(H88,'DATABASE-DRIFT_LATENT_HP_ERROR'!$A$143:$B$160,2,FALSE()),"")</f>
        <v>Hot Work</v>
      </c>
      <c r="J88" s="2" t="s">
        <v>69</v>
      </c>
      <c r="K88" s="2" t="s">
        <v>314</v>
      </c>
      <c r="L88" s="2" t="s">
        <v>315</v>
      </c>
      <c r="M88" s="2"/>
      <c r="N88" s="2">
        <v>1</v>
      </c>
      <c r="O88" s="2"/>
      <c r="P88" s="18" t="s">
        <v>316</v>
      </c>
      <c r="Q88" s="2" t="s">
        <v>302</v>
      </c>
      <c r="R88" s="2" t="s">
        <v>317</v>
      </c>
      <c r="S88" s="17">
        <v>46178</v>
      </c>
      <c r="T88" s="1">
        <f t="shared" si="10"/>
        <v>2026</v>
      </c>
      <c r="U88" s="1" t="str">
        <f t="shared" si="11"/>
        <v>TW II</v>
      </c>
      <c r="V88" s="1">
        <v>11</v>
      </c>
      <c r="W88" s="2" t="s">
        <v>247</v>
      </c>
      <c r="X88" s="18" t="s">
        <v>298</v>
      </c>
      <c r="Y88" s="18" t="s">
        <v>299</v>
      </c>
      <c r="Z88" s="18" t="s">
        <v>250</v>
      </c>
      <c r="AA88" s="2" t="s">
        <v>176</v>
      </c>
      <c r="AB88" s="18" t="s">
        <v>251</v>
      </c>
      <c r="AC88" s="18" t="s">
        <v>252</v>
      </c>
      <c r="AD88" s="4" t="s">
        <v>253</v>
      </c>
      <c r="AE88" s="1" t="s">
        <v>254</v>
      </c>
      <c r="AF88" s="1" t="s">
        <v>255</v>
      </c>
    </row>
    <row r="89" spans="1:32" ht="21" customHeight="1" x14ac:dyDescent="0.45">
      <c r="A89" s="2" t="s">
        <v>291</v>
      </c>
      <c r="B89" s="1">
        <v>1</v>
      </c>
      <c r="C89" s="1" t="s">
        <v>33</v>
      </c>
      <c r="F89" s="1" t="str">
        <f t="shared" si="8"/>
        <v>Baseline</v>
      </c>
      <c r="G89" s="1" t="str">
        <f t="shared" si="9"/>
        <v>Y</v>
      </c>
      <c r="H89" s="2" t="s">
        <v>292</v>
      </c>
      <c r="I89" s="2" t="str">
        <f>IFERROR(VLOOKUP(H89,'DATABASE-DRIFT_LATENT_HP_ERROR'!$A$143:$B$160,2,FALSE()),"")</f>
        <v>Hot Work</v>
      </c>
      <c r="J89" s="2" t="s">
        <v>75</v>
      </c>
      <c r="K89" s="2" t="s">
        <v>318</v>
      </c>
      <c r="L89" s="2" t="s">
        <v>319</v>
      </c>
      <c r="M89" s="2"/>
      <c r="N89" s="2">
        <v>1</v>
      </c>
      <c r="O89" s="2"/>
      <c r="P89" s="18"/>
      <c r="Q89" s="2" t="s">
        <v>296</v>
      </c>
      <c r="R89" s="2" t="s">
        <v>320</v>
      </c>
      <c r="S89" s="17">
        <v>46178</v>
      </c>
      <c r="T89" s="1">
        <f t="shared" si="10"/>
        <v>2026</v>
      </c>
      <c r="U89" s="1" t="str">
        <f t="shared" si="11"/>
        <v>TW II</v>
      </c>
      <c r="V89" s="1">
        <v>11</v>
      </c>
      <c r="W89" s="2" t="s">
        <v>247</v>
      </c>
      <c r="X89" s="18" t="s">
        <v>298</v>
      </c>
      <c r="Y89" s="18" t="s">
        <v>299</v>
      </c>
      <c r="Z89" s="18" t="s">
        <v>250</v>
      </c>
      <c r="AA89" s="2" t="s">
        <v>176</v>
      </c>
      <c r="AB89" s="18" t="s">
        <v>251</v>
      </c>
      <c r="AC89" s="18" t="s">
        <v>252</v>
      </c>
      <c r="AD89" s="4" t="s">
        <v>253</v>
      </c>
      <c r="AE89" s="1" t="s">
        <v>254</v>
      </c>
      <c r="AF89" s="1" t="s">
        <v>255</v>
      </c>
    </row>
    <row r="90" spans="1:32" ht="21" customHeight="1" x14ac:dyDescent="0.45">
      <c r="A90" s="2" t="s">
        <v>321</v>
      </c>
      <c r="B90" s="1">
        <v>1</v>
      </c>
      <c r="C90" s="1" t="s">
        <v>33</v>
      </c>
      <c r="F90" s="1" t="str">
        <f t="shared" si="8"/>
        <v>Baseline</v>
      </c>
      <c r="G90" s="1" t="str">
        <f t="shared" si="9"/>
        <v>Y</v>
      </c>
      <c r="H90" s="2" t="s">
        <v>34</v>
      </c>
      <c r="I90" s="2" t="str">
        <f>IFERROR(VLOOKUP(H90,'DATABASE-DRIFT_LATENT_HP_ERROR'!$A$143:$B$160,2,FALSE()),"")</f>
        <v>Work at Height</v>
      </c>
      <c r="J90" s="2" t="s">
        <v>35</v>
      </c>
      <c r="K90" s="2" t="s">
        <v>36</v>
      </c>
      <c r="L90" s="2" t="s">
        <v>37</v>
      </c>
      <c r="M90" s="2"/>
      <c r="N90" s="2">
        <v>1</v>
      </c>
      <c r="O90" s="2"/>
      <c r="P90" s="18"/>
      <c r="Q90" s="2" t="s">
        <v>39</v>
      </c>
      <c r="R90" s="2" t="s">
        <v>40</v>
      </c>
      <c r="S90" s="17">
        <v>46209</v>
      </c>
      <c r="T90" s="1">
        <f t="shared" si="10"/>
        <v>2026</v>
      </c>
      <c r="U90" s="1" t="str">
        <f t="shared" si="11"/>
        <v>TW III</v>
      </c>
      <c r="V90" s="1">
        <v>12</v>
      </c>
      <c r="W90" s="2" t="s">
        <v>322</v>
      </c>
      <c r="X90" s="18" t="s">
        <v>323</v>
      </c>
      <c r="Y90" s="18" t="s">
        <v>324</v>
      </c>
      <c r="Z90" s="18" t="s">
        <v>325</v>
      </c>
      <c r="AA90" s="2" t="s">
        <v>45</v>
      </c>
      <c r="AB90" s="18" t="s">
        <v>326</v>
      </c>
      <c r="AC90" s="18" t="s">
        <v>176</v>
      </c>
      <c r="AD90" s="4" t="s">
        <v>327</v>
      </c>
      <c r="AE90" s="1" t="s">
        <v>328</v>
      </c>
      <c r="AF90" s="1" t="s">
        <v>329</v>
      </c>
    </row>
    <row r="91" spans="1:32" ht="21" customHeight="1" x14ac:dyDescent="0.45">
      <c r="A91" s="2" t="s">
        <v>321</v>
      </c>
      <c r="B91" s="1">
        <v>1</v>
      </c>
      <c r="C91" s="1" t="s">
        <v>33</v>
      </c>
      <c r="F91" s="1" t="str">
        <f t="shared" si="8"/>
        <v>Baseline</v>
      </c>
      <c r="G91" s="1" t="str">
        <f t="shared" si="9"/>
        <v>Y</v>
      </c>
      <c r="H91" s="2" t="s">
        <v>34</v>
      </c>
      <c r="I91" s="2" t="str">
        <f>IFERROR(VLOOKUP(H91,'DATABASE-DRIFT_LATENT_HP_ERROR'!$A$143:$B$160,2,FALSE()),"")</f>
        <v>Work at Height</v>
      </c>
      <c r="J91" s="2" t="s">
        <v>48</v>
      </c>
      <c r="K91" s="2" t="s">
        <v>49</v>
      </c>
      <c r="L91" s="2" t="s">
        <v>50</v>
      </c>
      <c r="M91" s="2"/>
      <c r="N91" s="2">
        <v>1</v>
      </c>
      <c r="O91" s="2"/>
      <c r="P91" s="18" t="s">
        <v>330</v>
      </c>
      <c r="Q91" s="2" t="s">
        <v>39</v>
      </c>
      <c r="R91" s="2" t="s">
        <v>52</v>
      </c>
      <c r="S91" s="17">
        <v>46209</v>
      </c>
      <c r="T91" s="1">
        <f t="shared" si="10"/>
        <v>2026</v>
      </c>
      <c r="U91" s="1" t="str">
        <f t="shared" si="11"/>
        <v>TW III</v>
      </c>
      <c r="V91" s="1">
        <v>12</v>
      </c>
      <c r="W91" s="2" t="s">
        <v>322</v>
      </c>
      <c r="X91" s="18" t="s">
        <v>323</v>
      </c>
      <c r="Y91" s="18" t="s">
        <v>324</v>
      </c>
      <c r="Z91" s="18" t="s">
        <v>325</v>
      </c>
      <c r="AA91" s="2" t="s">
        <v>45</v>
      </c>
      <c r="AB91" s="18" t="s">
        <v>326</v>
      </c>
      <c r="AC91" s="18" t="s">
        <v>176</v>
      </c>
      <c r="AD91" s="4" t="s">
        <v>327</v>
      </c>
      <c r="AE91" s="1" t="s">
        <v>328</v>
      </c>
      <c r="AF91" s="1" t="s">
        <v>329</v>
      </c>
    </row>
    <row r="92" spans="1:32" ht="21" customHeight="1" x14ac:dyDescent="0.45">
      <c r="A92" s="2" t="s">
        <v>321</v>
      </c>
      <c r="B92" s="1">
        <v>1</v>
      </c>
      <c r="C92" s="1" t="s">
        <v>33</v>
      </c>
      <c r="F92" s="1" t="str">
        <f t="shared" si="8"/>
        <v>Baseline</v>
      </c>
      <c r="G92" s="1" t="str">
        <f t="shared" si="9"/>
        <v>Y</v>
      </c>
      <c r="H92" s="2" t="s">
        <v>34</v>
      </c>
      <c r="I92" s="2" t="str">
        <f>IFERROR(VLOOKUP(H92,'DATABASE-DRIFT_LATENT_HP_ERROR'!$A$143:$B$160,2,FALSE()),"")</f>
        <v>Work at Height</v>
      </c>
      <c r="J92" s="2" t="s">
        <v>53</v>
      </c>
      <c r="K92" s="2" t="s">
        <v>54</v>
      </c>
      <c r="L92" s="2" t="s">
        <v>55</v>
      </c>
      <c r="M92" s="2"/>
      <c r="N92" s="2">
        <v>1</v>
      </c>
      <c r="O92" s="2"/>
      <c r="P92" s="18"/>
      <c r="Q92" s="2" t="s">
        <v>57</v>
      </c>
      <c r="R92" s="2" t="s">
        <v>58</v>
      </c>
      <c r="S92" s="17">
        <v>46209</v>
      </c>
      <c r="T92" s="1">
        <f t="shared" si="10"/>
        <v>2026</v>
      </c>
      <c r="U92" s="1" t="str">
        <f t="shared" si="11"/>
        <v>TW III</v>
      </c>
      <c r="V92" s="1">
        <v>12</v>
      </c>
      <c r="W92" s="2" t="s">
        <v>322</v>
      </c>
      <c r="X92" s="18" t="s">
        <v>323</v>
      </c>
      <c r="Y92" s="18" t="s">
        <v>324</v>
      </c>
      <c r="Z92" s="18" t="s">
        <v>325</v>
      </c>
      <c r="AA92" s="2" t="s">
        <v>45</v>
      </c>
      <c r="AB92" s="18" t="s">
        <v>326</v>
      </c>
      <c r="AC92" s="18" t="s">
        <v>176</v>
      </c>
      <c r="AD92" s="4" t="s">
        <v>327</v>
      </c>
      <c r="AE92" s="1" t="s">
        <v>328</v>
      </c>
      <c r="AF92" s="1" t="s">
        <v>329</v>
      </c>
    </row>
    <row r="93" spans="1:32" ht="21" customHeight="1" x14ac:dyDescent="0.45">
      <c r="A93" s="2" t="s">
        <v>321</v>
      </c>
      <c r="B93" s="1">
        <v>1</v>
      </c>
      <c r="C93" s="1" t="s">
        <v>33</v>
      </c>
      <c r="F93" s="1" t="str">
        <f t="shared" si="8"/>
        <v>Baseline</v>
      </c>
      <c r="G93" s="1" t="str">
        <f t="shared" si="9"/>
        <v>Y</v>
      </c>
      <c r="H93" s="2" t="s">
        <v>34</v>
      </c>
      <c r="I93" s="2" t="str">
        <f>IFERROR(VLOOKUP(H93,'DATABASE-DRIFT_LATENT_HP_ERROR'!$A$143:$B$160,2,FALSE()),"")</f>
        <v>Work at Height</v>
      </c>
      <c r="J93" s="2" t="s">
        <v>59</v>
      </c>
      <c r="K93" s="2" t="s">
        <v>60</v>
      </c>
      <c r="L93" s="2" t="s">
        <v>61</v>
      </c>
      <c r="M93" s="2">
        <v>1</v>
      </c>
      <c r="N93" s="2"/>
      <c r="O93" s="2"/>
      <c r="P93" s="18" t="s">
        <v>331</v>
      </c>
      <c r="Q93" s="2" t="s">
        <v>40</v>
      </c>
      <c r="R93" s="2" t="s">
        <v>63</v>
      </c>
      <c r="S93" s="17">
        <v>46209</v>
      </c>
      <c r="T93" s="1">
        <f t="shared" si="10"/>
        <v>2026</v>
      </c>
      <c r="U93" s="1" t="str">
        <f t="shared" si="11"/>
        <v>TW III</v>
      </c>
      <c r="V93" s="1">
        <v>12</v>
      </c>
      <c r="W93" s="2" t="s">
        <v>322</v>
      </c>
      <c r="X93" s="18" t="s">
        <v>323</v>
      </c>
      <c r="Y93" s="18" t="s">
        <v>324</v>
      </c>
      <c r="Z93" s="18" t="s">
        <v>325</v>
      </c>
      <c r="AA93" s="2" t="s">
        <v>45</v>
      </c>
      <c r="AB93" s="18" t="s">
        <v>326</v>
      </c>
      <c r="AC93" s="18" t="s">
        <v>176</v>
      </c>
      <c r="AD93" s="4" t="s">
        <v>327</v>
      </c>
      <c r="AE93" s="1" t="s">
        <v>328</v>
      </c>
      <c r="AF93" s="1" t="s">
        <v>329</v>
      </c>
    </row>
    <row r="94" spans="1:32" ht="21" customHeight="1" x14ac:dyDescent="0.45">
      <c r="A94" s="2" t="s">
        <v>321</v>
      </c>
      <c r="B94" s="1">
        <v>1</v>
      </c>
      <c r="C94" s="1" t="s">
        <v>33</v>
      </c>
      <c r="F94" s="1" t="str">
        <f t="shared" si="8"/>
        <v>Baseline</v>
      </c>
      <c r="G94" s="1" t="str">
        <f t="shared" si="9"/>
        <v>Y</v>
      </c>
      <c r="H94" s="2" t="s">
        <v>34</v>
      </c>
      <c r="I94" s="2" t="str">
        <f>IFERROR(VLOOKUP(H94,'DATABASE-DRIFT_LATENT_HP_ERROR'!$A$143:$B$160,2,FALSE()),"")</f>
        <v>Work at Height</v>
      </c>
      <c r="J94" s="2" t="s">
        <v>64</v>
      </c>
      <c r="K94" s="2" t="s">
        <v>65</v>
      </c>
      <c r="L94" s="2" t="s">
        <v>66</v>
      </c>
      <c r="M94" s="2"/>
      <c r="N94" s="2">
        <v>1</v>
      </c>
      <c r="O94" s="2"/>
      <c r="P94" s="18"/>
      <c r="Q94" s="2" t="s">
        <v>40</v>
      </c>
      <c r="R94" s="2" t="s">
        <v>68</v>
      </c>
      <c r="S94" s="17">
        <v>46209</v>
      </c>
      <c r="T94" s="1">
        <f t="shared" si="10"/>
        <v>2026</v>
      </c>
      <c r="U94" s="1" t="str">
        <f t="shared" si="11"/>
        <v>TW III</v>
      </c>
      <c r="V94" s="1">
        <v>12</v>
      </c>
      <c r="W94" s="2" t="s">
        <v>322</v>
      </c>
      <c r="X94" s="18" t="s">
        <v>323</v>
      </c>
      <c r="Y94" s="18" t="s">
        <v>324</v>
      </c>
      <c r="Z94" s="18" t="s">
        <v>325</v>
      </c>
      <c r="AA94" s="2" t="s">
        <v>45</v>
      </c>
      <c r="AB94" s="18" t="s">
        <v>326</v>
      </c>
      <c r="AC94" s="18" t="s">
        <v>176</v>
      </c>
      <c r="AD94" s="4" t="s">
        <v>327</v>
      </c>
      <c r="AE94" s="1" t="s">
        <v>328</v>
      </c>
      <c r="AF94" s="1" t="s">
        <v>329</v>
      </c>
    </row>
    <row r="95" spans="1:32" ht="21" customHeight="1" x14ac:dyDescent="0.45">
      <c r="A95" s="2" t="s">
        <v>321</v>
      </c>
      <c r="B95" s="1">
        <v>1</v>
      </c>
      <c r="C95" s="1" t="s">
        <v>33</v>
      </c>
      <c r="F95" s="1" t="str">
        <f t="shared" si="8"/>
        <v>Baseline</v>
      </c>
      <c r="G95" s="1" t="str">
        <f t="shared" si="9"/>
        <v>Y</v>
      </c>
      <c r="H95" s="2" t="s">
        <v>34</v>
      </c>
      <c r="I95" s="2" t="str">
        <f>IFERROR(VLOOKUP(H95,'DATABASE-DRIFT_LATENT_HP_ERROR'!$A$143:$B$160,2,FALSE()),"")</f>
        <v>Work at Height</v>
      </c>
      <c r="J95" s="2" t="s">
        <v>69</v>
      </c>
      <c r="K95" s="2" t="s">
        <v>70</v>
      </c>
      <c r="L95" s="2" t="s">
        <v>71</v>
      </c>
      <c r="M95" s="2">
        <v>1</v>
      </c>
      <c r="N95" s="2"/>
      <c r="O95" s="2"/>
      <c r="P95" s="18"/>
      <c r="Q95" s="2" t="s">
        <v>73</v>
      </c>
      <c r="R95" s="2" t="s">
        <v>74</v>
      </c>
      <c r="S95" s="17">
        <v>46209</v>
      </c>
      <c r="T95" s="1">
        <f t="shared" si="10"/>
        <v>2026</v>
      </c>
      <c r="U95" s="1" t="str">
        <f t="shared" si="11"/>
        <v>TW III</v>
      </c>
      <c r="V95" s="1">
        <v>12</v>
      </c>
      <c r="W95" s="2" t="s">
        <v>322</v>
      </c>
      <c r="X95" s="18" t="s">
        <v>323</v>
      </c>
      <c r="Y95" s="18" t="s">
        <v>324</v>
      </c>
      <c r="Z95" s="18" t="s">
        <v>325</v>
      </c>
      <c r="AA95" s="2" t="s">
        <v>45</v>
      </c>
      <c r="AB95" s="18" t="s">
        <v>326</v>
      </c>
      <c r="AC95" s="18" t="s">
        <v>176</v>
      </c>
      <c r="AD95" s="4" t="s">
        <v>327</v>
      </c>
      <c r="AE95" s="1" t="s">
        <v>328</v>
      </c>
      <c r="AF95" s="1" t="s">
        <v>329</v>
      </c>
    </row>
    <row r="96" spans="1:32" ht="21" customHeight="1" x14ac:dyDescent="0.45">
      <c r="A96" s="2" t="s">
        <v>321</v>
      </c>
      <c r="B96" s="1">
        <v>1</v>
      </c>
      <c r="C96" s="1" t="s">
        <v>33</v>
      </c>
      <c r="F96" s="1" t="str">
        <f t="shared" si="8"/>
        <v>Baseline</v>
      </c>
      <c r="G96" s="1" t="str">
        <f t="shared" si="9"/>
        <v>Y</v>
      </c>
      <c r="H96" s="2" t="s">
        <v>34</v>
      </c>
      <c r="I96" s="2" t="str">
        <f>IFERROR(VLOOKUP(H96,'DATABASE-DRIFT_LATENT_HP_ERROR'!$A$143:$B$160,2,FALSE()),"")</f>
        <v>Work at Height</v>
      </c>
      <c r="J96" s="2" t="s">
        <v>75</v>
      </c>
      <c r="K96" s="2" t="s">
        <v>76</v>
      </c>
      <c r="L96" s="2" t="s">
        <v>77</v>
      </c>
      <c r="M96" s="2">
        <v>1</v>
      </c>
      <c r="N96" s="2"/>
      <c r="O96" s="2"/>
      <c r="P96" s="18"/>
      <c r="Q96" s="2" t="s">
        <v>79</v>
      </c>
      <c r="R96" s="2" t="s">
        <v>80</v>
      </c>
      <c r="S96" s="17">
        <v>46209</v>
      </c>
      <c r="T96" s="1">
        <f t="shared" si="10"/>
        <v>2026</v>
      </c>
      <c r="U96" s="1" t="str">
        <f t="shared" si="11"/>
        <v>TW III</v>
      </c>
      <c r="V96" s="1">
        <v>12</v>
      </c>
      <c r="W96" s="2" t="s">
        <v>322</v>
      </c>
      <c r="X96" s="18" t="s">
        <v>323</v>
      </c>
      <c r="Y96" s="18" t="s">
        <v>324</v>
      </c>
      <c r="Z96" s="18" t="s">
        <v>325</v>
      </c>
      <c r="AA96" s="2" t="s">
        <v>45</v>
      </c>
      <c r="AB96" s="18" t="s">
        <v>326</v>
      </c>
      <c r="AC96" s="18" t="s">
        <v>176</v>
      </c>
      <c r="AD96" s="4" t="s">
        <v>327</v>
      </c>
      <c r="AE96" s="1" t="s">
        <v>328</v>
      </c>
      <c r="AF96" s="1" t="s">
        <v>329</v>
      </c>
    </row>
    <row r="97" spans="1:32" ht="21" customHeight="1" x14ac:dyDescent="0.45">
      <c r="A97" s="2" t="s">
        <v>321</v>
      </c>
      <c r="B97" s="1">
        <v>1</v>
      </c>
      <c r="C97" s="1" t="s">
        <v>33</v>
      </c>
      <c r="F97" s="1" t="str">
        <f t="shared" si="8"/>
        <v>Baseline</v>
      </c>
      <c r="G97" s="1" t="str">
        <f t="shared" si="9"/>
        <v>Y</v>
      </c>
      <c r="H97" s="2" t="s">
        <v>34</v>
      </c>
      <c r="I97" s="2" t="str">
        <f>IFERROR(VLOOKUP(H97,'DATABASE-DRIFT_LATENT_HP_ERROR'!$A$143:$B$160,2,FALSE()),"")</f>
        <v>Work at Height</v>
      </c>
      <c r="J97" s="2" t="s">
        <v>81</v>
      </c>
      <c r="K97" s="2" t="s">
        <v>82</v>
      </c>
      <c r="L97" s="2" t="s">
        <v>83</v>
      </c>
      <c r="M97" s="2"/>
      <c r="N97" s="2">
        <v>1</v>
      </c>
      <c r="O97" s="2"/>
      <c r="P97" s="18"/>
      <c r="Q97" s="2" t="s">
        <v>40</v>
      </c>
      <c r="R97" s="2" t="s">
        <v>85</v>
      </c>
      <c r="S97" s="17">
        <v>46209</v>
      </c>
      <c r="T97" s="1">
        <f t="shared" si="10"/>
        <v>2026</v>
      </c>
      <c r="U97" s="1" t="str">
        <f t="shared" si="11"/>
        <v>TW III</v>
      </c>
      <c r="V97" s="1">
        <v>12</v>
      </c>
      <c r="W97" s="2" t="s">
        <v>322</v>
      </c>
      <c r="X97" s="18" t="s">
        <v>323</v>
      </c>
      <c r="Y97" s="18" t="s">
        <v>324</v>
      </c>
      <c r="Z97" s="18" t="s">
        <v>325</v>
      </c>
      <c r="AA97" s="2" t="s">
        <v>45</v>
      </c>
      <c r="AB97" s="18" t="s">
        <v>326</v>
      </c>
      <c r="AC97" s="18" t="s">
        <v>176</v>
      </c>
      <c r="AD97" s="4" t="s">
        <v>327</v>
      </c>
      <c r="AE97" s="1" t="s">
        <v>328</v>
      </c>
      <c r="AF97" s="1" t="s">
        <v>329</v>
      </c>
    </row>
    <row r="98" spans="1:32" ht="21" customHeight="1" x14ac:dyDescent="0.45">
      <c r="A98" s="2" t="s">
        <v>321</v>
      </c>
      <c r="B98" s="1">
        <v>1</v>
      </c>
      <c r="C98" s="1" t="s">
        <v>33</v>
      </c>
      <c r="F98" s="1" t="str">
        <f t="shared" si="8"/>
        <v>Baseline</v>
      </c>
      <c r="G98" s="1" t="str">
        <f t="shared" si="9"/>
        <v>Y</v>
      </c>
      <c r="H98" s="2" t="s">
        <v>34</v>
      </c>
      <c r="I98" s="2" t="str">
        <f>IFERROR(VLOOKUP(H98,'DATABASE-DRIFT_LATENT_HP_ERROR'!$A$143:$B$160,2,FALSE()),"")</f>
        <v>Work at Height</v>
      </c>
      <c r="J98" s="2" t="s">
        <v>86</v>
      </c>
      <c r="K98" s="2" t="s">
        <v>87</v>
      </c>
      <c r="L98" s="2" t="s">
        <v>88</v>
      </c>
      <c r="M98" s="2"/>
      <c r="N98" s="2">
        <v>1</v>
      </c>
      <c r="O98" s="2"/>
      <c r="P98" s="18" t="s">
        <v>332</v>
      </c>
      <c r="Q98" s="2" t="s">
        <v>57</v>
      </c>
      <c r="R98" s="2" t="s">
        <v>90</v>
      </c>
      <c r="S98" s="17">
        <v>46209</v>
      </c>
      <c r="T98" s="1">
        <f t="shared" si="10"/>
        <v>2026</v>
      </c>
      <c r="U98" s="1" t="str">
        <f t="shared" si="11"/>
        <v>TW III</v>
      </c>
      <c r="V98" s="1">
        <v>12</v>
      </c>
      <c r="W98" s="2" t="s">
        <v>322</v>
      </c>
      <c r="X98" s="18" t="s">
        <v>323</v>
      </c>
      <c r="Y98" s="18" t="s">
        <v>324</v>
      </c>
      <c r="Z98" s="18" t="s">
        <v>325</v>
      </c>
      <c r="AA98" s="2" t="s">
        <v>45</v>
      </c>
      <c r="AB98" s="18" t="s">
        <v>326</v>
      </c>
      <c r="AC98" s="18" t="s">
        <v>176</v>
      </c>
      <c r="AD98" s="4" t="s">
        <v>327</v>
      </c>
      <c r="AE98" s="1" t="s">
        <v>328</v>
      </c>
      <c r="AF98" s="1" t="s">
        <v>329</v>
      </c>
    </row>
    <row r="99" spans="1:32" ht="14.25" customHeight="1" x14ac:dyDescent="0.45">
      <c r="A99" s="1" t="s">
        <v>333</v>
      </c>
      <c r="B99" s="1">
        <v>1</v>
      </c>
      <c r="C99" s="1" t="s">
        <v>33</v>
      </c>
      <c r="F99" s="1" t="str">
        <f t="shared" si="8"/>
        <v>Baseline</v>
      </c>
      <c r="G99" s="1" t="str">
        <f t="shared" si="9"/>
        <v>Y</v>
      </c>
      <c r="H99" s="1" t="s">
        <v>143</v>
      </c>
      <c r="I99" s="1" t="str">
        <f>IFERROR(VLOOKUP(H99,'DATABASE-DRIFT_LATENT_HP_ERROR'!$A$143:$B$160,2,FALSE()),"")</f>
        <v>Ground Disturbance or Excavation</v>
      </c>
      <c r="J99" s="1" t="s">
        <v>35</v>
      </c>
      <c r="K99" s="1" t="s">
        <v>144</v>
      </c>
      <c r="L99" s="2" t="s">
        <v>334</v>
      </c>
      <c r="N99" s="1">
        <v>1</v>
      </c>
      <c r="P99" s="3" t="s">
        <v>335</v>
      </c>
      <c r="Q99" s="1" t="s">
        <v>147</v>
      </c>
      <c r="R99" s="1" t="s">
        <v>148</v>
      </c>
      <c r="S99" s="16">
        <v>46211</v>
      </c>
      <c r="T99" s="1">
        <f t="shared" si="10"/>
        <v>2026</v>
      </c>
      <c r="U99" s="1" t="str">
        <f t="shared" si="11"/>
        <v>TW III</v>
      </c>
      <c r="V99" s="1">
        <v>12</v>
      </c>
      <c r="W99" s="1" t="s">
        <v>336</v>
      </c>
      <c r="X99" s="3" t="s">
        <v>337</v>
      </c>
      <c r="Y99" s="3" t="s">
        <v>338</v>
      </c>
      <c r="Z99" s="3" t="s">
        <v>339</v>
      </c>
      <c r="AA99" s="1" t="s">
        <v>176</v>
      </c>
      <c r="AB99" s="3" t="s">
        <v>340</v>
      </c>
      <c r="AD99" s="4" t="s">
        <v>327</v>
      </c>
      <c r="AE99" s="1" t="s">
        <v>341</v>
      </c>
      <c r="AF99" s="1" t="s">
        <v>342</v>
      </c>
    </row>
    <row r="100" spans="1:32" ht="14.25" customHeight="1" x14ac:dyDescent="0.45">
      <c r="A100" s="1" t="s">
        <v>333</v>
      </c>
      <c r="B100" s="1">
        <v>1</v>
      </c>
      <c r="C100" s="1" t="s">
        <v>33</v>
      </c>
      <c r="F100" s="1" t="str">
        <f t="shared" si="8"/>
        <v>Baseline</v>
      </c>
      <c r="G100" s="1" t="str">
        <f t="shared" si="9"/>
        <v>Y</v>
      </c>
      <c r="H100" s="1" t="s">
        <v>143</v>
      </c>
      <c r="I100" s="1" t="str">
        <f>IFERROR(VLOOKUP(H100,'DATABASE-DRIFT_LATENT_HP_ERROR'!$A$143:$B$160,2,FALSE()),"")</f>
        <v>Ground Disturbance or Excavation</v>
      </c>
      <c r="J100" s="1" t="s">
        <v>48</v>
      </c>
      <c r="K100" s="1" t="s">
        <v>151</v>
      </c>
      <c r="L100" s="2" t="s">
        <v>343</v>
      </c>
      <c r="M100" s="1">
        <v>1</v>
      </c>
      <c r="P100" s="3" t="s">
        <v>344</v>
      </c>
      <c r="Q100" s="1" t="s">
        <v>154</v>
      </c>
      <c r="R100" s="1" t="s">
        <v>155</v>
      </c>
      <c r="S100" s="16">
        <v>46211</v>
      </c>
      <c r="T100" s="1">
        <f t="shared" si="10"/>
        <v>2026</v>
      </c>
      <c r="U100" s="1" t="str">
        <f t="shared" si="11"/>
        <v>TW III</v>
      </c>
      <c r="V100" s="1">
        <v>12</v>
      </c>
      <c r="W100" s="1" t="s">
        <v>336</v>
      </c>
      <c r="X100" s="3" t="s">
        <v>337</v>
      </c>
      <c r="Y100" s="3" t="s">
        <v>338</v>
      </c>
      <c r="Z100" s="3" t="s">
        <v>339</v>
      </c>
      <c r="AA100" s="1" t="s">
        <v>176</v>
      </c>
      <c r="AB100" s="3" t="s">
        <v>340</v>
      </c>
      <c r="AD100" s="4" t="s">
        <v>327</v>
      </c>
      <c r="AE100" s="1" t="s">
        <v>341</v>
      </c>
      <c r="AF100" s="1" t="s">
        <v>342</v>
      </c>
    </row>
    <row r="101" spans="1:32" ht="14.25" customHeight="1" x14ac:dyDescent="0.45">
      <c r="A101" s="1" t="s">
        <v>333</v>
      </c>
      <c r="B101" s="1">
        <v>1</v>
      </c>
      <c r="C101" s="1" t="s">
        <v>33</v>
      </c>
      <c r="F101" s="1" t="str">
        <f t="shared" si="8"/>
        <v>Baseline</v>
      </c>
      <c r="G101" s="1" t="str">
        <f t="shared" si="9"/>
        <v>Y</v>
      </c>
      <c r="H101" s="1" t="s">
        <v>143</v>
      </c>
      <c r="I101" s="1" t="str">
        <f>IFERROR(VLOOKUP(H101,'DATABASE-DRIFT_LATENT_HP_ERROR'!$A$143:$B$160,2,FALSE()),"")</f>
        <v>Ground Disturbance or Excavation</v>
      </c>
      <c r="J101" s="1" t="s">
        <v>53</v>
      </c>
      <c r="K101" s="1" t="s">
        <v>156</v>
      </c>
      <c r="L101" s="2" t="s">
        <v>345</v>
      </c>
      <c r="M101" s="1">
        <v>1</v>
      </c>
      <c r="Q101" s="1" t="s">
        <v>159</v>
      </c>
      <c r="R101" s="1" t="s">
        <v>111</v>
      </c>
      <c r="S101" s="16">
        <v>46211</v>
      </c>
      <c r="T101" s="1">
        <f t="shared" si="10"/>
        <v>2026</v>
      </c>
      <c r="U101" s="1" t="str">
        <f t="shared" si="11"/>
        <v>TW III</v>
      </c>
      <c r="V101" s="1">
        <v>12</v>
      </c>
      <c r="W101" s="1" t="s">
        <v>336</v>
      </c>
      <c r="X101" s="3" t="s">
        <v>337</v>
      </c>
      <c r="Y101" s="3" t="s">
        <v>338</v>
      </c>
      <c r="Z101" s="3" t="s">
        <v>339</v>
      </c>
      <c r="AA101" s="1" t="s">
        <v>176</v>
      </c>
      <c r="AB101" s="3" t="s">
        <v>340</v>
      </c>
      <c r="AD101" s="4" t="s">
        <v>327</v>
      </c>
      <c r="AE101" s="1" t="s">
        <v>341</v>
      </c>
      <c r="AF101" s="1" t="s">
        <v>342</v>
      </c>
    </row>
    <row r="102" spans="1:32" ht="14.25" customHeight="1" x14ac:dyDescent="0.45">
      <c r="A102" s="1" t="s">
        <v>333</v>
      </c>
      <c r="B102" s="1">
        <v>1</v>
      </c>
      <c r="C102" s="1" t="s">
        <v>33</v>
      </c>
      <c r="F102" s="1" t="str">
        <f t="shared" si="8"/>
        <v>Baseline</v>
      </c>
      <c r="G102" s="1" t="str">
        <f t="shared" si="9"/>
        <v>Y</v>
      </c>
      <c r="H102" s="1" t="s">
        <v>143</v>
      </c>
      <c r="I102" s="1" t="str">
        <f>IFERROR(VLOOKUP(H102,'DATABASE-DRIFT_LATENT_HP_ERROR'!$A$143:$B$160,2,FALSE()),"")</f>
        <v>Ground Disturbance or Excavation</v>
      </c>
      <c r="J102" s="1" t="s">
        <v>59</v>
      </c>
      <c r="K102" s="1" t="s">
        <v>160</v>
      </c>
      <c r="L102" s="2" t="s">
        <v>346</v>
      </c>
      <c r="O102" s="1">
        <v>1</v>
      </c>
      <c r="Q102" s="1" t="s">
        <v>163</v>
      </c>
      <c r="R102" s="1" t="s">
        <v>164</v>
      </c>
      <c r="S102" s="16">
        <v>46211</v>
      </c>
      <c r="T102" s="1">
        <f t="shared" si="10"/>
        <v>2026</v>
      </c>
      <c r="U102" s="1" t="str">
        <f t="shared" si="11"/>
        <v>TW III</v>
      </c>
      <c r="V102" s="1">
        <v>12</v>
      </c>
      <c r="W102" s="1" t="s">
        <v>336</v>
      </c>
      <c r="X102" s="3" t="s">
        <v>337</v>
      </c>
      <c r="Y102" s="3" t="s">
        <v>338</v>
      </c>
      <c r="Z102" s="3" t="s">
        <v>339</v>
      </c>
      <c r="AA102" s="1" t="s">
        <v>176</v>
      </c>
      <c r="AB102" s="3" t="s">
        <v>340</v>
      </c>
      <c r="AD102" s="4" t="s">
        <v>327</v>
      </c>
      <c r="AE102" s="1" t="s">
        <v>341</v>
      </c>
      <c r="AF102" s="1" t="s">
        <v>342</v>
      </c>
    </row>
    <row r="103" spans="1:32" ht="14.25" customHeight="1" x14ac:dyDescent="0.45">
      <c r="A103" s="1" t="s">
        <v>333</v>
      </c>
      <c r="B103" s="1">
        <v>1</v>
      </c>
      <c r="C103" s="1" t="s">
        <v>33</v>
      </c>
      <c r="F103" s="1" t="str">
        <f t="shared" si="8"/>
        <v>Baseline</v>
      </c>
      <c r="G103" s="1" t="str">
        <f t="shared" si="9"/>
        <v>Y</v>
      </c>
      <c r="H103" s="1" t="s">
        <v>143</v>
      </c>
      <c r="I103" s="1" t="str">
        <f>IFERROR(VLOOKUP(H103,'DATABASE-DRIFT_LATENT_HP_ERROR'!$A$143:$B$160,2,FALSE()),"")</f>
        <v>Ground Disturbance or Excavation</v>
      </c>
      <c r="J103" s="1" t="s">
        <v>64</v>
      </c>
      <c r="K103" s="1" t="s">
        <v>165</v>
      </c>
      <c r="L103" s="2" t="s">
        <v>347</v>
      </c>
      <c r="M103" s="1">
        <v>1</v>
      </c>
      <c r="Q103" s="1" t="s">
        <v>168</v>
      </c>
      <c r="R103" s="1" t="s">
        <v>169</v>
      </c>
      <c r="S103" s="16">
        <v>46211</v>
      </c>
      <c r="T103" s="1">
        <f t="shared" si="10"/>
        <v>2026</v>
      </c>
      <c r="U103" s="1" t="str">
        <f t="shared" si="11"/>
        <v>TW III</v>
      </c>
      <c r="V103" s="1">
        <v>12</v>
      </c>
      <c r="W103" s="1" t="s">
        <v>336</v>
      </c>
      <c r="X103" s="3" t="s">
        <v>337</v>
      </c>
      <c r="Y103" s="3" t="s">
        <v>338</v>
      </c>
      <c r="Z103" s="3" t="s">
        <v>339</v>
      </c>
      <c r="AA103" s="1" t="s">
        <v>176</v>
      </c>
      <c r="AB103" s="3" t="s">
        <v>340</v>
      </c>
      <c r="AD103" s="4" t="s">
        <v>327</v>
      </c>
      <c r="AE103" s="1" t="s">
        <v>341</v>
      </c>
      <c r="AF103" s="1" t="s">
        <v>342</v>
      </c>
    </row>
    <row r="104" spans="1:32" ht="14.25" customHeight="1" x14ac:dyDescent="0.45">
      <c r="A104" s="1" t="s">
        <v>348</v>
      </c>
      <c r="B104" s="1">
        <v>1</v>
      </c>
      <c r="C104" s="1" t="s">
        <v>33</v>
      </c>
      <c r="F104" s="1" t="str">
        <f t="shared" si="8"/>
        <v>Baseline</v>
      </c>
      <c r="G104" s="1" t="str">
        <f t="shared" si="9"/>
        <v>Y</v>
      </c>
      <c r="H104" s="1" t="s">
        <v>34</v>
      </c>
      <c r="I104" s="1" t="str">
        <f>IFERROR(VLOOKUP(H104,'DATABASE-DRIFT_LATENT_HP_ERROR'!$A$143:$B$160,2,FALSE()),"")</f>
        <v>Work at Height</v>
      </c>
      <c r="J104" s="1" t="s">
        <v>35</v>
      </c>
      <c r="K104" s="1" t="s">
        <v>36</v>
      </c>
      <c r="L104" s="2" t="s">
        <v>349</v>
      </c>
      <c r="N104" s="1">
        <v>1</v>
      </c>
      <c r="P104" s="3" t="s">
        <v>350</v>
      </c>
      <c r="Q104" s="1" t="s">
        <v>39</v>
      </c>
      <c r="R104" s="1" t="s">
        <v>40</v>
      </c>
      <c r="S104" s="16">
        <v>46209</v>
      </c>
      <c r="T104" s="1">
        <f t="shared" si="10"/>
        <v>2026</v>
      </c>
      <c r="U104" s="1" t="str">
        <f t="shared" si="11"/>
        <v>TW III</v>
      </c>
      <c r="V104" s="1">
        <v>12</v>
      </c>
      <c r="W104" s="1" t="s">
        <v>322</v>
      </c>
      <c r="X104" s="3" t="s">
        <v>351</v>
      </c>
      <c r="Y104" s="3" t="s">
        <v>352</v>
      </c>
      <c r="Z104" s="3" t="s">
        <v>353</v>
      </c>
      <c r="AA104" s="1" t="s">
        <v>45</v>
      </c>
      <c r="AB104" s="3" t="s">
        <v>326</v>
      </c>
      <c r="AC104" s="3" t="s">
        <v>176</v>
      </c>
      <c r="AD104" s="4" t="s">
        <v>327</v>
      </c>
      <c r="AE104" s="1" t="s">
        <v>328</v>
      </c>
    </row>
    <row r="105" spans="1:32" ht="14.25" customHeight="1" x14ac:dyDescent="0.45">
      <c r="A105" s="1" t="s">
        <v>348</v>
      </c>
      <c r="B105" s="1">
        <v>1</v>
      </c>
      <c r="C105" s="1" t="s">
        <v>33</v>
      </c>
      <c r="F105" s="1" t="str">
        <f t="shared" si="8"/>
        <v>Baseline</v>
      </c>
      <c r="G105" s="1" t="str">
        <f t="shared" si="9"/>
        <v>Y</v>
      </c>
      <c r="H105" s="1" t="s">
        <v>34</v>
      </c>
      <c r="I105" s="1" t="str">
        <f>IFERROR(VLOOKUP(H105,'DATABASE-DRIFT_LATENT_HP_ERROR'!$A$143:$B$160,2,FALSE()),"")</f>
        <v>Work at Height</v>
      </c>
      <c r="J105" s="1" t="s">
        <v>48</v>
      </c>
      <c r="K105" s="1" t="s">
        <v>49</v>
      </c>
      <c r="L105" s="2" t="s">
        <v>354</v>
      </c>
      <c r="N105" s="1">
        <v>1</v>
      </c>
      <c r="P105" s="3" t="s">
        <v>355</v>
      </c>
      <c r="Q105" s="1" t="s">
        <v>39</v>
      </c>
      <c r="R105" s="1" t="s">
        <v>52</v>
      </c>
      <c r="S105" s="16">
        <v>46209</v>
      </c>
      <c r="T105" s="1">
        <f t="shared" si="10"/>
        <v>2026</v>
      </c>
      <c r="U105" s="1" t="str">
        <f t="shared" si="11"/>
        <v>TW III</v>
      </c>
      <c r="V105" s="1">
        <v>12</v>
      </c>
      <c r="W105" s="1" t="s">
        <v>322</v>
      </c>
      <c r="X105" s="3" t="s">
        <v>351</v>
      </c>
      <c r="Y105" s="3" t="s">
        <v>352</v>
      </c>
      <c r="Z105" s="3" t="s">
        <v>353</v>
      </c>
      <c r="AA105" s="1" t="s">
        <v>45</v>
      </c>
      <c r="AB105" s="3" t="s">
        <v>326</v>
      </c>
      <c r="AC105" s="3" t="s">
        <v>176</v>
      </c>
      <c r="AD105" s="4" t="s">
        <v>327</v>
      </c>
      <c r="AE105" s="1" t="s">
        <v>328</v>
      </c>
    </row>
    <row r="106" spans="1:32" ht="14.25" customHeight="1" x14ac:dyDescent="0.45">
      <c r="A106" s="1" t="s">
        <v>348</v>
      </c>
      <c r="B106" s="1">
        <v>1</v>
      </c>
      <c r="C106" s="1" t="s">
        <v>33</v>
      </c>
      <c r="F106" s="1" t="str">
        <f t="shared" si="8"/>
        <v>Baseline</v>
      </c>
      <c r="G106" s="1" t="str">
        <f t="shared" si="9"/>
        <v>Y</v>
      </c>
      <c r="H106" s="1" t="s">
        <v>34</v>
      </c>
      <c r="I106" s="1" t="str">
        <f>IFERROR(VLOOKUP(H106,'DATABASE-DRIFT_LATENT_HP_ERROR'!$A$143:$B$160,2,FALSE()),"")</f>
        <v>Work at Height</v>
      </c>
      <c r="J106" s="1" t="s">
        <v>53</v>
      </c>
      <c r="K106" s="1" t="s">
        <v>54</v>
      </c>
      <c r="L106" s="2" t="s">
        <v>356</v>
      </c>
      <c r="N106" s="1">
        <v>1</v>
      </c>
      <c r="P106" s="3" t="s">
        <v>357</v>
      </c>
      <c r="Q106" s="1" t="s">
        <v>57</v>
      </c>
      <c r="R106" s="1" t="s">
        <v>58</v>
      </c>
      <c r="S106" s="16">
        <v>46209</v>
      </c>
      <c r="T106" s="1">
        <f t="shared" si="10"/>
        <v>2026</v>
      </c>
      <c r="U106" s="1" t="str">
        <f t="shared" si="11"/>
        <v>TW III</v>
      </c>
      <c r="V106" s="1">
        <v>12</v>
      </c>
      <c r="W106" s="1" t="s">
        <v>322</v>
      </c>
      <c r="X106" s="3" t="s">
        <v>351</v>
      </c>
      <c r="Y106" s="3" t="s">
        <v>352</v>
      </c>
      <c r="Z106" s="3" t="s">
        <v>353</v>
      </c>
      <c r="AA106" s="1" t="s">
        <v>45</v>
      </c>
      <c r="AB106" s="3" t="s">
        <v>326</v>
      </c>
      <c r="AC106" s="3" t="s">
        <v>176</v>
      </c>
      <c r="AD106" s="4" t="s">
        <v>327</v>
      </c>
      <c r="AE106" s="1" t="s">
        <v>328</v>
      </c>
    </row>
    <row r="107" spans="1:32" ht="14.25" customHeight="1" x14ac:dyDescent="0.45">
      <c r="A107" s="1" t="s">
        <v>348</v>
      </c>
      <c r="B107" s="1">
        <v>1</v>
      </c>
      <c r="C107" s="1" t="s">
        <v>33</v>
      </c>
      <c r="F107" s="1" t="str">
        <f t="shared" si="8"/>
        <v>Baseline</v>
      </c>
      <c r="G107" s="1" t="str">
        <f t="shared" si="9"/>
        <v>Y</v>
      </c>
      <c r="H107" s="1" t="s">
        <v>34</v>
      </c>
      <c r="I107" s="1" t="str">
        <f>IFERROR(VLOOKUP(H107,'DATABASE-DRIFT_LATENT_HP_ERROR'!$A$143:$B$160,2,FALSE()),"")</f>
        <v>Work at Height</v>
      </c>
      <c r="J107" s="1" t="s">
        <v>59</v>
      </c>
      <c r="K107" s="1" t="s">
        <v>60</v>
      </c>
      <c r="L107" s="2" t="s">
        <v>358</v>
      </c>
      <c r="N107" s="1">
        <v>1</v>
      </c>
      <c r="P107" s="3" t="s">
        <v>359</v>
      </c>
      <c r="Q107" s="1" t="s">
        <v>40</v>
      </c>
      <c r="R107" s="1" t="s">
        <v>63</v>
      </c>
      <c r="S107" s="16">
        <v>46209</v>
      </c>
      <c r="T107" s="1">
        <f t="shared" si="10"/>
        <v>2026</v>
      </c>
      <c r="U107" s="1" t="str">
        <f t="shared" si="11"/>
        <v>TW III</v>
      </c>
      <c r="V107" s="1">
        <v>12</v>
      </c>
      <c r="W107" s="1" t="s">
        <v>322</v>
      </c>
      <c r="X107" s="3" t="s">
        <v>351</v>
      </c>
      <c r="Y107" s="3" t="s">
        <v>352</v>
      </c>
      <c r="Z107" s="3" t="s">
        <v>353</v>
      </c>
      <c r="AA107" s="1" t="s">
        <v>45</v>
      </c>
      <c r="AB107" s="3" t="s">
        <v>326</v>
      </c>
      <c r="AC107" s="3" t="s">
        <v>176</v>
      </c>
      <c r="AD107" s="4" t="s">
        <v>327</v>
      </c>
      <c r="AE107" s="1" t="s">
        <v>328</v>
      </c>
    </row>
    <row r="108" spans="1:32" ht="14.25" customHeight="1" x14ac:dyDescent="0.45">
      <c r="A108" s="1" t="s">
        <v>348</v>
      </c>
      <c r="B108" s="1">
        <v>1</v>
      </c>
      <c r="C108" s="1" t="s">
        <v>33</v>
      </c>
      <c r="F108" s="1" t="str">
        <f t="shared" si="8"/>
        <v>Baseline</v>
      </c>
      <c r="G108" s="1" t="str">
        <f t="shared" si="9"/>
        <v>Y</v>
      </c>
      <c r="H108" s="1" t="s">
        <v>34</v>
      </c>
      <c r="I108" s="1" t="str">
        <f>IFERROR(VLOOKUP(H108,'DATABASE-DRIFT_LATENT_HP_ERROR'!$A$143:$B$160,2,FALSE()),"")</f>
        <v>Work at Height</v>
      </c>
      <c r="J108" s="1" t="s">
        <v>64</v>
      </c>
      <c r="K108" s="1" t="s">
        <v>65</v>
      </c>
      <c r="L108" s="2" t="s">
        <v>360</v>
      </c>
      <c r="M108" s="1">
        <v>1</v>
      </c>
      <c r="Q108" s="1" t="s">
        <v>40</v>
      </c>
      <c r="R108" s="1" t="s">
        <v>68</v>
      </c>
      <c r="S108" s="16">
        <v>46209</v>
      </c>
      <c r="T108" s="1">
        <f t="shared" si="10"/>
        <v>2026</v>
      </c>
      <c r="U108" s="1" t="str">
        <f t="shared" si="11"/>
        <v>TW III</v>
      </c>
      <c r="V108" s="1">
        <v>12</v>
      </c>
      <c r="W108" s="1" t="s">
        <v>322</v>
      </c>
      <c r="X108" s="3" t="s">
        <v>351</v>
      </c>
      <c r="Y108" s="3" t="s">
        <v>352</v>
      </c>
      <c r="Z108" s="3" t="s">
        <v>353</v>
      </c>
      <c r="AA108" s="1" t="s">
        <v>45</v>
      </c>
      <c r="AB108" s="3" t="s">
        <v>326</v>
      </c>
      <c r="AC108" s="3" t="s">
        <v>176</v>
      </c>
      <c r="AD108" s="4" t="s">
        <v>327</v>
      </c>
      <c r="AE108" s="1" t="s">
        <v>328</v>
      </c>
    </row>
    <row r="109" spans="1:32" ht="14.25" customHeight="1" x14ac:dyDescent="0.45">
      <c r="A109" s="1" t="s">
        <v>348</v>
      </c>
      <c r="B109" s="1">
        <v>1</v>
      </c>
      <c r="C109" s="1" t="s">
        <v>33</v>
      </c>
      <c r="F109" s="1" t="str">
        <f t="shared" si="8"/>
        <v>Baseline</v>
      </c>
      <c r="G109" s="1" t="str">
        <f t="shared" si="9"/>
        <v>Y</v>
      </c>
      <c r="H109" s="1" t="s">
        <v>34</v>
      </c>
      <c r="I109" s="1" t="str">
        <f>IFERROR(VLOOKUP(H109,'DATABASE-DRIFT_LATENT_HP_ERROR'!$A$143:$B$160,2,FALSE()),"")</f>
        <v>Work at Height</v>
      </c>
      <c r="J109" s="1" t="s">
        <v>69</v>
      </c>
      <c r="K109" s="1" t="s">
        <v>70</v>
      </c>
      <c r="L109" s="2" t="s">
        <v>361</v>
      </c>
      <c r="M109" s="1">
        <v>1</v>
      </c>
      <c r="Q109" s="1" t="s">
        <v>73</v>
      </c>
      <c r="R109" s="1" t="s">
        <v>74</v>
      </c>
      <c r="S109" s="16">
        <v>46209</v>
      </c>
      <c r="T109" s="1">
        <f t="shared" si="10"/>
        <v>2026</v>
      </c>
      <c r="U109" s="1" t="str">
        <f t="shared" si="11"/>
        <v>TW III</v>
      </c>
      <c r="V109" s="1">
        <v>12</v>
      </c>
      <c r="W109" s="1" t="s">
        <v>322</v>
      </c>
      <c r="X109" s="3" t="s">
        <v>351</v>
      </c>
      <c r="Y109" s="3" t="s">
        <v>352</v>
      </c>
      <c r="Z109" s="3" t="s">
        <v>353</v>
      </c>
      <c r="AA109" s="1" t="s">
        <v>45</v>
      </c>
      <c r="AB109" s="3" t="s">
        <v>326</v>
      </c>
      <c r="AC109" s="3" t="s">
        <v>176</v>
      </c>
      <c r="AD109" s="4" t="s">
        <v>327</v>
      </c>
      <c r="AE109" s="1" t="s">
        <v>328</v>
      </c>
    </row>
    <row r="110" spans="1:32" ht="14.25" customHeight="1" x14ac:dyDescent="0.45">
      <c r="A110" s="1" t="s">
        <v>348</v>
      </c>
      <c r="B110" s="1">
        <v>1</v>
      </c>
      <c r="C110" s="1" t="s">
        <v>33</v>
      </c>
      <c r="F110" s="1" t="str">
        <f t="shared" si="8"/>
        <v>Baseline</v>
      </c>
      <c r="G110" s="1" t="str">
        <f t="shared" si="9"/>
        <v>Y</v>
      </c>
      <c r="H110" s="1" t="s">
        <v>34</v>
      </c>
      <c r="I110" s="1" t="str">
        <f>IFERROR(VLOOKUP(H110,'DATABASE-DRIFT_LATENT_HP_ERROR'!$A$143:$B$160,2,FALSE()),"")</f>
        <v>Work at Height</v>
      </c>
      <c r="J110" s="1" t="s">
        <v>75</v>
      </c>
      <c r="K110" s="1" t="s">
        <v>76</v>
      </c>
      <c r="L110" s="2" t="s">
        <v>362</v>
      </c>
      <c r="M110" s="1">
        <v>1</v>
      </c>
      <c r="Q110" s="1" t="s">
        <v>79</v>
      </c>
      <c r="R110" s="1" t="s">
        <v>80</v>
      </c>
      <c r="S110" s="16">
        <v>46209</v>
      </c>
      <c r="T110" s="1">
        <f t="shared" si="10"/>
        <v>2026</v>
      </c>
      <c r="U110" s="1" t="str">
        <f t="shared" si="11"/>
        <v>TW III</v>
      </c>
      <c r="V110" s="1">
        <v>12</v>
      </c>
      <c r="W110" s="1" t="s">
        <v>322</v>
      </c>
      <c r="X110" s="3" t="s">
        <v>351</v>
      </c>
      <c r="Y110" s="3" t="s">
        <v>352</v>
      </c>
      <c r="Z110" s="3" t="s">
        <v>353</v>
      </c>
      <c r="AA110" s="1" t="s">
        <v>45</v>
      </c>
      <c r="AB110" s="3" t="s">
        <v>326</v>
      </c>
      <c r="AC110" s="3" t="s">
        <v>176</v>
      </c>
      <c r="AD110" s="4" t="s">
        <v>327</v>
      </c>
      <c r="AE110" s="1" t="s">
        <v>328</v>
      </c>
    </row>
    <row r="111" spans="1:32" ht="14.25" customHeight="1" x14ac:dyDescent="0.45">
      <c r="A111" s="1" t="s">
        <v>348</v>
      </c>
      <c r="B111" s="1">
        <v>1</v>
      </c>
      <c r="C111" s="1" t="s">
        <v>33</v>
      </c>
      <c r="F111" s="1" t="str">
        <f t="shared" si="8"/>
        <v>Baseline</v>
      </c>
      <c r="G111" s="1" t="str">
        <f t="shared" si="9"/>
        <v>Y</v>
      </c>
      <c r="H111" s="1" t="s">
        <v>34</v>
      </c>
      <c r="I111" s="1" t="str">
        <f>IFERROR(VLOOKUP(H111,'DATABASE-DRIFT_LATENT_HP_ERROR'!$A$143:$B$160,2,FALSE()),"")</f>
        <v>Work at Height</v>
      </c>
      <c r="J111" s="1" t="s">
        <v>81</v>
      </c>
      <c r="K111" s="1" t="s">
        <v>82</v>
      </c>
      <c r="L111" s="2" t="s">
        <v>363</v>
      </c>
      <c r="M111" s="1">
        <v>1</v>
      </c>
      <c r="Q111" s="1" t="s">
        <v>40</v>
      </c>
      <c r="R111" s="1" t="s">
        <v>85</v>
      </c>
      <c r="S111" s="16">
        <v>46209</v>
      </c>
      <c r="T111" s="1">
        <f t="shared" si="10"/>
        <v>2026</v>
      </c>
      <c r="U111" s="1" t="str">
        <f t="shared" si="11"/>
        <v>TW III</v>
      </c>
      <c r="V111" s="1">
        <v>12</v>
      </c>
      <c r="W111" s="1" t="s">
        <v>322</v>
      </c>
      <c r="X111" s="3" t="s">
        <v>351</v>
      </c>
      <c r="Y111" s="3" t="s">
        <v>352</v>
      </c>
      <c r="Z111" s="3" t="s">
        <v>353</v>
      </c>
      <c r="AA111" s="1" t="s">
        <v>45</v>
      </c>
      <c r="AB111" s="3" t="s">
        <v>326</v>
      </c>
      <c r="AC111" s="3" t="s">
        <v>176</v>
      </c>
      <c r="AD111" s="4" t="s">
        <v>327</v>
      </c>
      <c r="AE111" s="1" t="s">
        <v>328</v>
      </c>
    </row>
    <row r="112" spans="1:32" ht="14.25" customHeight="1" x14ac:dyDescent="0.45">
      <c r="A112" s="1" t="s">
        <v>348</v>
      </c>
      <c r="B112" s="1">
        <v>1</v>
      </c>
      <c r="C112" s="1" t="s">
        <v>33</v>
      </c>
      <c r="F112" s="1" t="str">
        <f t="shared" si="8"/>
        <v>Baseline</v>
      </c>
      <c r="G112" s="1" t="str">
        <f t="shared" si="9"/>
        <v>Y</v>
      </c>
      <c r="H112" s="1" t="s">
        <v>34</v>
      </c>
      <c r="I112" s="1" t="str">
        <f>IFERROR(VLOOKUP(H112,'DATABASE-DRIFT_LATENT_HP_ERROR'!$A$143:$B$160,2,FALSE()),"")</f>
        <v>Work at Height</v>
      </c>
      <c r="J112" s="1" t="s">
        <v>86</v>
      </c>
      <c r="K112" s="1" t="s">
        <v>87</v>
      </c>
      <c r="L112" s="2" t="s">
        <v>364</v>
      </c>
      <c r="N112" s="1">
        <v>1</v>
      </c>
      <c r="P112" s="3" t="s">
        <v>365</v>
      </c>
      <c r="Q112" s="1" t="s">
        <v>57</v>
      </c>
      <c r="R112" s="1" t="s">
        <v>90</v>
      </c>
      <c r="S112" s="16">
        <v>46209</v>
      </c>
      <c r="T112" s="1">
        <f t="shared" si="10"/>
        <v>2026</v>
      </c>
      <c r="U112" s="1" t="str">
        <f t="shared" si="11"/>
        <v>TW III</v>
      </c>
      <c r="V112" s="1">
        <v>12</v>
      </c>
      <c r="W112" s="1" t="s">
        <v>322</v>
      </c>
      <c r="X112" s="3" t="s">
        <v>351</v>
      </c>
      <c r="Y112" s="3" t="s">
        <v>352</v>
      </c>
      <c r="Z112" s="3" t="s">
        <v>353</v>
      </c>
      <c r="AA112" s="1" t="s">
        <v>45</v>
      </c>
      <c r="AB112" s="3" t="s">
        <v>326</v>
      </c>
      <c r="AC112" s="3" t="s">
        <v>176</v>
      </c>
      <c r="AD112" s="4" t="s">
        <v>327</v>
      </c>
      <c r="AE112" s="1" t="s">
        <v>328</v>
      </c>
    </row>
    <row r="113" spans="1:32" ht="14.25" customHeight="1" x14ac:dyDescent="0.45">
      <c r="A113" s="1" t="s">
        <v>366</v>
      </c>
      <c r="B113" s="1">
        <v>1</v>
      </c>
      <c r="C113" s="1" t="s">
        <v>33</v>
      </c>
      <c r="F113" s="1" t="str">
        <f t="shared" si="8"/>
        <v>Baseline</v>
      </c>
      <c r="G113" s="1" t="str">
        <f t="shared" si="9"/>
        <v>Y</v>
      </c>
      <c r="H113" s="1" t="s">
        <v>34</v>
      </c>
      <c r="I113" s="1" t="str">
        <f>IFERROR(VLOOKUP(H113,'DATABASE-DRIFT_LATENT_HP_ERROR'!$A$143:$B$160,2,FALSE()),"")</f>
        <v>Work at Height</v>
      </c>
      <c r="J113" s="1" t="s">
        <v>35</v>
      </c>
      <c r="K113" s="1" t="s">
        <v>36</v>
      </c>
      <c r="L113" s="2" t="s">
        <v>349</v>
      </c>
      <c r="N113" s="1">
        <v>1</v>
      </c>
      <c r="P113" s="3" t="s">
        <v>367</v>
      </c>
      <c r="Q113" s="1" t="s">
        <v>39</v>
      </c>
      <c r="R113" s="1" t="s">
        <v>40</v>
      </c>
      <c r="S113" s="16">
        <v>46209</v>
      </c>
      <c r="T113" s="1">
        <f t="shared" si="10"/>
        <v>2026</v>
      </c>
      <c r="U113" s="1" t="str">
        <f t="shared" si="11"/>
        <v>TW III</v>
      </c>
      <c r="V113" s="1">
        <v>12</v>
      </c>
      <c r="W113" s="1" t="s">
        <v>322</v>
      </c>
      <c r="X113" s="3" t="s">
        <v>323</v>
      </c>
      <c r="Y113" s="3" t="s">
        <v>368</v>
      </c>
      <c r="Z113" s="3" t="s">
        <v>325</v>
      </c>
      <c r="AA113" s="1" t="s">
        <v>45</v>
      </c>
      <c r="AB113" s="3" t="s">
        <v>326</v>
      </c>
      <c r="AC113" s="3" t="s">
        <v>176</v>
      </c>
      <c r="AD113" s="4" t="s">
        <v>327</v>
      </c>
      <c r="AE113" s="1" t="s">
        <v>328</v>
      </c>
      <c r="AF113" s="1" t="s">
        <v>329</v>
      </c>
    </row>
    <row r="114" spans="1:32" ht="14.25" customHeight="1" x14ac:dyDescent="0.45">
      <c r="A114" s="1" t="s">
        <v>366</v>
      </c>
      <c r="B114" s="1">
        <v>1</v>
      </c>
      <c r="C114" s="1" t="s">
        <v>33</v>
      </c>
      <c r="F114" s="1" t="str">
        <f t="shared" si="8"/>
        <v>Baseline</v>
      </c>
      <c r="G114" s="1" t="str">
        <f t="shared" si="9"/>
        <v>Y</v>
      </c>
      <c r="H114" s="1" t="s">
        <v>34</v>
      </c>
      <c r="I114" s="1" t="str">
        <f>IFERROR(VLOOKUP(H114,'DATABASE-DRIFT_LATENT_HP_ERROR'!$A$143:$B$160,2,FALSE()),"")</f>
        <v>Work at Height</v>
      </c>
      <c r="J114" s="1" t="s">
        <v>48</v>
      </c>
      <c r="K114" s="1" t="s">
        <v>49</v>
      </c>
      <c r="L114" s="2" t="s">
        <v>354</v>
      </c>
      <c r="N114" s="1">
        <v>1</v>
      </c>
      <c r="P114" s="3" t="s">
        <v>330</v>
      </c>
      <c r="Q114" s="1" t="s">
        <v>39</v>
      </c>
      <c r="R114" s="1" t="s">
        <v>52</v>
      </c>
      <c r="S114" s="16">
        <v>46209</v>
      </c>
      <c r="T114" s="1">
        <f t="shared" si="10"/>
        <v>2026</v>
      </c>
      <c r="U114" s="1" t="str">
        <f t="shared" si="11"/>
        <v>TW III</v>
      </c>
      <c r="V114" s="1">
        <v>12</v>
      </c>
      <c r="W114" s="1" t="s">
        <v>322</v>
      </c>
      <c r="X114" s="3" t="s">
        <v>323</v>
      </c>
      <c r="Y114" s="3" t="s">
        <v>368</v>
      </c>
      <c r="Z114" s="3" t="s">
        <v>325</v>
      </c>
      <c r="AA114" s="1" t="s">
        <v>45</v>
      </c>
      <c r="AB114" s="3" t="s">
        <v>326</v>
      </c>
      <c r="AC114" s="3" t="s">
        <v>176</v>
      </c>
      <c r="AD114" s="4" t="s">
        <v>327</v>
      </c>
      <c r="AE114" s="1" t="s">
        <v>328</v>
      </c>
      <c r="AF114" s="1" t="s">
        <v>329</v>
      </c>
    </row>
    <row r="115" spans="1:32" ht="14.25" customHeight="1" x14ac:dyDescent="0.45">
      <c r="A115" s="1" t="s">
        <v>366</v>
      </c>
      <c r="B115" s="1">
        <v>1</v>
      </c>
      <c r="C115" s="1" t="s">
        <v>33</v>
      </c>
      <c r="F115" s="1" t="str">
        <f t="shared" si="8"/>
        <v>Baseline</v>
      </c>
      <c r="G115" s="1" t="str">
        <f t="shared" si="9"/>
        <v>Y</v>
      </c>
      <c r="H115" s="1" t="s">
        <v>34</v>
      </c>
      <c r="I115" s="1" t="str">
        <f>IFERROR(VLOOKUP(H115,'DATABASE-DRIFT_LATENT_HP_ERROR'!$A$143:$B$160,2,FALSE()),"")</f>
        <v>Work at Height</v>
      </c>
      <c r="J115" s="1" t="s">
        <v>53</v>
      </c>
      <c r="K115" s="1" t="s">
        <v>54</v>
      </c>
      <c r="L115" s="2" t="s">
        <v>356</v>
      </c>
      <c r="M115" s="1">
        <v>1</v>
      </c>
      <c r="Q115" s="1" t="s">
        <v>57</v>
      </c>
      <c r="R115" s="1" t="s">
        <v>58</v>
      </c>
      <c r="S115" s="16">
        <v>46209</v>
      </c>
      <c r="T115" s="1">
        <f t="shared" ref="T115:T146" si="12">IF(S115="","",YEAR(S115))</f>
        <v>2026</v>
      </c>
      <c r="U115" s="1" t="str">
        <f t="shared" ref="U115:U146" si="13">IF(S115="","","TW "&amp;CHOOSE(ROUNDUP(MONTH(S115)/3,0),"I","II","III","IV"))</f>
        <v>TW III</v>
      </c>
      <c r="V115" s="1">
        <v>12</v>
      </c>
      <c r="W115" s="1" t="s">
        <v>322</v>
      </c>
      <c r="X115" s="3" t="s">
        <v>323</v>
      </c>
      <c r="Y115" s="3" t="s">
        <v>368</v>
      </c>
      <c r="Z115" s="3" t="s">
        <v>325</v>
      </c>
      <c r="AA115" s="1" t="s">
        <v>45</v>
      </c>
      <c r="AB115" s="3" t="s">
        <v>326</v>
      </c>
      <c r="AC115" s="3" t="s">
        <v>176</v>
      </c>
      <c r="AD115" s="4" t="s">
        <v>327</v>
      </c>
      <c r="AE115" s="1" t="s">
        <v>328</v>
      </c>
      <c r="AF115" s="1" t="s">
        <v>329</v>
      </c>
    </row>
    <row r="116" spans="1:32" ht="14.25" customHeight="1" x14ac:dyDescent="0.45">
      <c r="A116" s="1" t="s">
        <v>366</v>
      </c>
      <c r="B116" s="1">
        <v>1</v>
      </c>
      <c r="C116" s="1" t="s">
        <v>33</v>
      </c>
      <c r="F116" s="1" t="str">
        <f t="shared" si="8"/>
        <v>Baseline</v>
      </c>
      <c r="G116" s="1" t="str">
        <f t="shared" si="9"/>
        <v>Y</v>
      </c>
      <c r="H116" s="1" t="s">
        <v>34</v>
      </c>
      <c r="I116" s="1" t="str">
        <f>IFERROR(VLOOKUP(H116,'DATABASE-DRIFT_LATENT_HP_ERROR'!$A$143:$B$160,2,FALSE()),"")</f>
        <v>Work at Height</v>
      </c>
      <c r="J116" s="1" t="s">
        <v>59</v>
      </c>
      <c r="K116" s="1" t="s">
        <v>60</v>
      </c>
      <c r="L116" s="2" t="s">
        <v>358</v>
      </c>
      <c r="N116" s="1">
        <v>1</v>
      </c>
      <c r="P116" s="3" t="s">
        <v>331</v>
      </c>
      <c r="Q116" s="1" t="s">
        <v>40</v>
      </c>
      <c r="R116" s="1" t="s">
        <v>63</v>
      </c>
      <c r="S116" s="16">
        <v>46209</v>
      </c>
      <c r="T116" s="1">
        <f t="shared" si="12"/>
        <v>2026</v>
      </c>
      <c r="U116" s="1" t="str">
        <f t="shared" si="13"/>
        <v>TW III</v>
      </c>
      <c r="V116" s="1">
        <v>12</v>
      </c>
      <c r="W116" s="1" t="s">
        <v>322</v>
      </c>
      <c r="X116" s="3" t="s">
        <v>323</v>
      </c>
      <c r="Y116" s="3" t="s">
        <v>368</v>
      </c>
      <c r="Z116" s="3" t="s">
        <v>325</v>
      </c>
      <c r="AA116" s="1" t="s">
        <v>45</v>
      </c>
      <c r="AB116" s="3" t="s">
        <v>326</v>
      </c>
      <c r="AC116" s="3" t="s">
        <v>176</v>
      </c>
      <c r="AD116" s="4" t="s">
        <v>327</v>
      </c>
      <c r="AE116" s="1" t="s">
        <v>328</v>
      </c>
      <c r="AF116" s="1" t="s">
        <v>329</v>
      </c>
    </row>
    <row r="117" spans="1:32" ht="14.25" customHeight="1" x14ac:dyDescent="0.45">
      <c r="A117" s="1" t="s">
        <v>366</v>
      </c>
      <c r="B117" s="1">
        <v>1</v>
      </c>
      <c r="C117" s="1" t="s">
        <v>33</v>
      </c>
      <c r="F117" s="1" t="str">
        <f t="shared" si="8"/>
        <v>Baseline</v>
      </c>
      <c r="G117" s="1" t="str">
        <f t="shared" si="9"/>
        <v>Y</v>
      </c>
      <c r="H117" s="1" t="s">
        <v>34</v>
      </c>
      <c r="I117" s="1" t="str">
        <f>IFERROR(VLOOKUP(H117,'DATABASE-DRIFT_LATENT_HP_ERROR'!$A$143:$B$160,2,FALSE()),"")</f>
        <v>Work at Height</v>
      </c>
      <c r="J117" s="1" t="s">
        <v>64</v>
      </c>
      <c r="K117" s="1" t="s">
        <v>65</v>
      </c>
      <c r="L117" s="2" t="s">
        <v>360</v>
      </c>
      <c r="M117" s="1">
        <v>1</v>
      </c>
      <c r="Q117" s="1" t="s">
        <v>40</v>
      </c>
      <c r="R117" s="1" t="s">
        <v>68</v>
      </c>
      <c r="S117" s="16">
        <v>46209</v>
      </c>
      <c r="T117" s="1">
        <f t="shared" si="12"/>
        <v>2026</v>
      </c>
      <c r="U117" s="1" t="str">
        <f t="shared" si="13"/>
        <v>TW III</v>
      </c>
      <c r="V117" s="1">
        <v>12</v>
      </c>
      <c r="W117" s="1" t="s">
        <v>322</v>
      </c>
      <c r="X117" s="3" t="s">
        <v>323</v>
      </c>
      <c r="Y117" s="3" t="s">
        <v>368</v>
      </c>
      <c r="Z117" s="3" t="s">
        <v>325</v>
      </c>
      <c r="AA117" s="1" t="s">
        <v>45</v>
      </c>
      <c r="AB117" s="3" t="s">
        <v>326</v>
      </c>
      <c r="AC117" s="3" t="s">
        <v>176</v>
      </c>
      <c r="AD117" s="4" t="s">
        <v>327</v>
      </c>
      <c r="AE117" s="1" t="s">
        <v>328</v>
      </c>
      <c r="AF117" s="1" t="s">
        <v>329</v>
      </c>
    </row>
    <row r="118" spans="1:32" ht="14.25" customHeight="1" x14ac:dyDescent="0.45">
      <c r="A118" s="1" t="s">
        <v>366</v>
      </c>
      <c r="B118" s="1">
        <v>1</v>
      </c>
      <c r="C118" s="1" t="s">
        <v>33</v>
      </c>
      <c r="F118" s="1" t="str">
        <f t="shared" si="8"/>
        <v>Baseline</v>
      </c>
      <c r="G118" s="1" t="str">
        <f t="shared" si="9"/>
        <v>Y</v>
      </c>
      <c r="H118" s="1" t="s">
        <v>34</v>
      </c>
      <c r="I118" s="1" t="str">
        <f>IFERROR(VLOOKUP(H118,'DATABASE-DRIFT_LATENT_HP_ERROR'!$A$143:$B$160,2,FALSE()),"")</f>
        <v>Work at Height</v>
      </c>
      <c r="J118" s="1" t="s">
        <v>69</v>
      </c>
      <c r="K118" s="1" t="s">
        <v>70</v>
      </c>
      <c r="L118" s="2" t="s">
        <v>361</v>
      </c>
      <c r="M118" s="1">
        <v>1</v>
      </c>
      <c r="Q118" s="1" t="s">
        <v>73</v>
      </c>
      <c r="R118" s="1" t="s">
        <v>74</v>
      </c>
      <c r="S118" s="16">
        <v>46209</v>
      </c>
      <c r="T118" s="1">
        <f t="shared" si="12"/>
        <v>2026</v>
      </c>
      <c r="U118" s="1" t="str">
        <f t="shared" si="13"/>
        <v>TW III</v>
      </c>
      <c r="V118" s="1">
        <v>12</v>
      </c>
      <c r="W118" s="1" t="s">
        <v>322</v>
      </c>
      <c r="X118" s="3" t="s">
        <v>323</v>
      </c>
      <c r="Y118" s="3" t="s">
        <v>368</v>
      </c>
      <c r="Z118" s="3" t="s">
        <v>325</v>
      </c>
      <c r="AA118" s="1" t="s">
        <v>45</v>
      </c>
      <c r="AB118" s="3" t="s">
        <v>326</v>
      </c>
      <c r="AC118" s="3" t="s">
        <v>176</v>
      </c>
      <c r="AD118" s="4" t="s">
        <v>327</v>
      </c>
      <c r="AE118" s="1" t="s">
        <v>328</v>
      </c>
      <c r="AF118" s="1" t="s">
        <v>329</v>
      </c>
    </row>
    <row r="119" spans="1:32" ht="14.25" customHeight="1" x14ac:dyDescent="0.45">
      <c r="A119" s="1" t="s">
        <v>366</v>
      </c>
      <c r="B119" s="1">
        <v>1</v>
      </c>
      <c r="C119" s="1" t="s">
        <v>33</v>
      </c>
      <c r="F119" s="1" t="str">
        <f t="shared" si="8"/>
        <v>Baseline</v>
      </c>
      <c r="G119" s="1" t="str">
        <f t="shared" si="9"/>
        <v>Y</v>
      </c>
      <c r="H119" s="1" t="s">
        <v>34</v>
      </c>
      <c r="I119" s="1" t="str">
        <f>IFERROR(VLOOKUP(H119,'DATABASE-DRIFT_LATENT_HP_ERROR'!$A$143:$B$160,2,FALSE()),"")</f>
        <v>Work at Height</v>
      </c>
      <c r="J119" s="1" t="s">
        <v>75</v>
      </c>
      <c r="K119" s="1" t="s">
        <v>76</v>
      </c>
      <c r="L119" s="2" t="s">
        <v>362</v>
      </c>
      <c r="M119" s="1">
        <v>1</v>
      </c>
      <c r="Q119" s="1" t="s">
        <v>79</v>
      </c>
      <c r="R119" s="1" t="s">
        <v>80</v>
      </c>
      <c r="S119" s="16">
        <v>46209</v>
      </c>
      <c r="T119" s="1">
        <f t="shared" si="12"/>
        <v>2026</v>
      </c>
      <c r="U119" s="1" t="str">
        <f t="shared" si="13"/>
        <v>TW III</v>
      </c>
      <c r="V119" s="1">
        <v>12</v>
      </c>
      <c r="W119" s="1" t="s">
        <v>322</v>
      </c>
      <c r="X119" s="3" t="s">
        <v>323</v>
      </c>
      <c r="Y119" s="3" t="s">
        <v>368</v>
      </c>
      <c r="Z119" s="3" t="s">
        <v>325</v>
      </c>
      <c r="AA119" s="1" t="s">
        <v>45</v>
      </c>
      <c r="AB119" s="3" t="s">
        <v>326</v>
      </c>
      <c r="AC119" s="3" t="s">
        <v>176</v>
      </c>
      <c r="AD119" s="4" t="s">
        <v>327</v>
      </c>
      <c r="AE119" s="1" t="s">
        <v>328</v>
      </c>
      <c r="AF119" s="1" t="s">
        <v>329</v>
      </c>
    </row>
    <row r="120" spans="1:32" ht="14.25" customHeight="1" x14ac:dyDescent="0.45">
      <c r="A120" s="1" t="s">
        <v>366</v>
      </c>
      <c r="B120" s="1">
        <v>1</v>
      </c>
      <c r="C120" s="1" t="s">
        <v>33</v>
      </c>
      <c r="F120" s="1" t="str">
        <f t="shared" si="8"/>
        <v>Baseline</v>
      </c>
      <c r="G120" s="1" t="str">
        <f t="shared" si="9"/>
        <v>Y</v>
      </c>
      <c r="H120" s="1" t="s">
        <v>34</v>
      </c>
      <c r="I120" s="1" t="str">
        <f>IFERROR(VLOOKUP(H120,'DATABASE-DRIFT_LATENT_HP_ERROR'!$A$143:$B$160,2,FALSE()),"")</f>
        <v>Work at Height</v>
      </c>
      <c r="J120" s="1" t="s">
        <v>81</v>
      </c>
      <c r="K120" s="1" t="s">
        <v>82</v>
      </c>
      <c r="L120" s="2" t="s">
        <v>363</v>
      </c>
      <c r="M120" s="1">
        <v>1</v>
      </c>
      <c r="Q120" s="1" t="s">
        <v>40</v>
      </c>
      <c r="R120" s="1" t="s">
        <v>85</v>
      </c>
      <c r="S120" s="16">
        <v>46209</v>
      </c>
      <c r="T120" s="1">
        <f t="shared" si="12"/>
        <v>2026</v>
      </c>
      <c r="U120" s="1" t="str">
        <f t="shared" si="13"/>
        <v>TW III</v>
      </c>
      <c r="V120" s="1">
        <v>12</v>
      </c>
      <c r="W120" s="1" t="s">
        <v>322</v>
      </c>
      <c r="X120" s="3" t="s">
        <v>323</v>
      </c>
      <c r="Y120" s="3" t="s">
        <v>368</v>
      </c>
      <c r="Z120" s="3" t="s">
        <v>325</v>
      </c>
      <c r="AA120" s="1" t="s">
        <v>45</v>
      </c>
      <c r="AB120" s="3" t="s">
        <v>326</v>
      </c>
      <c r="AC120" s="3" t="s">
        <v>176</v>
      </c>
      <c r="AD120" s="4" t="s">
        <v>327</v>
      </c>
      <c r="AE120" s="1" t="s">
        <v>328</v>
      </c>
      <c r="AF120" s="1" t="s">
        <v>329</v>
      </c>
    </row>
    <row r="121" spans="1:32" ht="14.25" customHeight="1" x14ac:dyDescent="0.45">
      <c r="A121" s="1" t="s">
        <v>366</v>
      </c>
      <c r="B121" s="1">
        <v>1</v>
      </c>
      <c r="C121" s="1" t="s">
        <v>33</v>
      </c>
      <c r="F121" s="1" t="str">
        <f t="shared" si="8"/>
        <v>Baseline</v>
      </c>
      <c r="G121" s="1" t="str">
        <f t="shared" si="9"/>
        <v>Y</v>
      </c>
      <c r="H121" s="1" t="s">
        <v>34</v>
      </c>
      <c r="I121" s="1" t="str">
        <f>IFERROR(VLOOKUP(H121,'DATABASE-DRIFT_LATENT_HP_ERROR'!$A$143:$B$160,2,FALSE()),"")</f>
        <v>Work at Height</v>
      </c>
      <c r="J121" s="1" t="s">
        <v>86</v>
      </c>
      <c r="K121" s="1" t="s">
        <v>87</v>
      </c>
      <c r="L121" s="2" t="s">
        <v>364</v>
      </c>
      <c r="N121" s="1">
        <v>1</v>
      </c>
      <c r="P121" s="3" t="s">
        <v>369</v>
      </c>
      <c r="Q121" s="1" t="s">
        <v>57</v>
      </c>
      <c r="R121" s="1" t="s">
        <v>90</v>
      </c>
      <c r="S121" s="16">
        <v>46209</v>
      </c>
      <c r="T121" s="1">
        <f t="shared" si="12"/>
        <v>2026</v>
      </c>
      <c r="U121" s="1" t="str">
        <f t="shared" si="13"/>
        <v>TW III</v>
      </c>
      <c r="V121" s="1">
        <v>12</v>
      </c>
      <c r="W121" s="1" t="s">
        <v>322</v>
      </c>
      <c r="X121" s="3" t="s">
        <v>323</v>
      </c>
      <c r="Y121" s="3" t="s">
        <v>368</v>
      </c>
      <c r="Z121" s="3" t="s">
        <v>325</v>
      </c>
      <c r="AA121" s="1" t="s">
        <v>45</v>
      </c>
      <c r="AB121" s="3" t="s">
        <v>326</v>
      </c>
      <c r="AC121" s="3" t="s">
        <v>176</v>
      </c>
      <c r="AD121" s="4" t="s">
        <v>327</v>
      </c>
      <c r="AE121" s="1" t="s">
        <v>328</v>
      </c>
      <c r="AF121" s="1" t="s">
        <v>329</v>
      </c>
    </row>
    <row r="122" spans="1:32" ht="14.25" customHeight="1" x14ac:dyDescent="0.45">
      <c r="A122" s="1" t="s">
        <v>370</v>
      </c>
      <c r="B122" s="1">
        <v>1</v>
      </c>
      <c r="C122" s="1" t="s">
        <v>33</v>
      </c>
      <c r="F122" s="1" t="str">
        <f t="shared" si="8"/>
        <v>Baseline</v>
      </c>
      <c r="G122" s="1" t="str">
        <f t="shared" si="9"/>
        <v>Y</v>
      </c>
      <c r="H122" s="1" t="s">
        <v>143</v>
      </c>
      <c r="I122" s="1" t="str">
        <f>IFERROR(VLOOKUP(H122,'DATABASE-DRIFT_LATENT_HP_ERROR'!$A$143:$B$160,2,FALSE()),"")</f>
        <v>Ground Disturbance or Excavation</v>
      </c>
      <c r="J122" s="1" t="s">
        <v>35</v>
      </c>
      <c r="K122" s="1" t="s">
        <v>144</v>
      </c>
      <c r="L122" s="2" t="s">
        <v>334</v>
      </c>
      <c r="M122" s="1">
        <v>1</v>
      </c>
      <c r="Q122" s="1" t="s">
        <v>147</v>
      </c>
      <c r="R122" s="1" t="s">
        <v>148</v>
      </c>
      <c r="S122" s="16">
        <v>46210</v>
      </c>
      <c r="T122" s="1">
        <f t="shared" si="12"/>
        <v>2026</v>
      </c>
      <c r="U122" s="1" t="str">
        <f t="shared" si="13"/>
        <v>TW III</v>
      </c>
      <c r="V122" s="1">
        <v>12</v>
      </c>
      <c r="W122" s="1" t="s">
        <v>371</v>
      </c>
      <c r="X122" s="3" t="s">
        <v>372</v>
      </c>
      <c r="Y122" s="3" t="s">
        <v>373</v>
      </c>
      <c r="Z122" s="3" t="s">
        <v>374</v>
      </c>
      <c r="AA122" s="1" t="s">
        <v>326</v>
      </c>
      <c r="AB122" s="3" t="s">
        <v>45</v>
      </c>
      <c r="AC122" s="3" t="s">
        <v>375</v>
      </c>
      <c r="AF122" s="1" t="s">
        <v>376</v>
      </c>
    </row>
    <row r="123" spans="1:32" ht="14.25" customHeight="1" x14ac:dyDescent="0.45">
      <c r="A123" s="1" t="s">
        <v>370</v>
      </c>
      <c r="B123" s="1">
        <v>1</v>
      </c>
      <c r="C123" s="1" t="s">
        <v>33</v>
      </c>
      <c r="F123" s="1" t="str">
        <f t="shared" si="8"/>
        <v>Baseline</v>
      </c>
      <c r="G123" s="1" t="str">
        <f t="shared" si="9"/>
        <v>Y</v>
      </c>
      <c r="H123" s="1" t="s">
        <v>143</v>
      </c>
      <c r="I123" s="1" t="str">
        <f>IFERROR(VLOOKUP(H123,'DATABASE-DRIFT_LATENT_HP_ERROR'!$A$143:$B$160,2,FALSE()),"")</f>
        <v>Ground Disturbance or Excavation</v>
      </c>
      <c r="J123" s="1" t="s">
        <v>48</v>
      </c>
      <c r="K123" s="1" t="s">
        <v>151</v>
      </c>
      <c r="L123" s="2" t="s">
        <v>343</v>
      </c>
      <c r="N123" s="1">
        <v>1</v>
      </c>
      <c r="P123" s="3" t="s">
        <v>377</v>
      </c>
      <c r="Q123" s="1" t="s">
        <v>154</v>
      </c>
      <c r="R123" s="1" t="s">
        <v>155</v>
      </c>
      <c r="S123" s="16">
        <v>46210</v>
      </c>
      <c r="T123" s="1">
        <f t="shared" si="12"/>
        <v>2026</v>
      </c>
      <c r="U123" s="1" t="str">
        <f t="shared" si="13"/>
        <v>TW III</v>
      </c>
      <c r="V123" s="1">
        <v>12</v>
      </c>
      <c r="W123" s="1" t="s">
        <v>371</v>
      </c>
      <c r="X123" s="3" t="s">
        <v>372</v>
      </c>
      <c r="Y123" s="3" t="s">
        <v>373</v>
      </c>
      <c r="Z123" s="3" t="s">
        <v>374</v>
      </c>
      <c r="AA123" s="1" t="s">
        <v>326</v>
      </c>
      <c r="AB123" s="3" t="s">
        <v>45</v>
      </c>
      <c r="AC123" s="3" t="s">
        <v>375</v>
      </c>
      <c r="AF123" s="1" t="s">
        <v>376</v>
      </c>
    </row>
    <row r="124" spans="1:32" ht="14.25" customHeight="1" x14ac:dyDescent="0.45">
      <c r="A124" s="1" t="s">
        <v>370</v>
      </c>
      <c r="B124" s="1">
        <v>1</v>
      </c>
      <c r="C124" s="1" t="s">
        <v>33</v>
      </c>
      <c r="F124" s="1" t="str">
        <f t="shared" si="8"/>
        <v>Baseline</v>
      </c>
      <c r="G124" s="1" t="str">
        <f t="shared" si="9"/>
        <v>Y</v>
      </c>
      <c r="H124" s="1" t="s">
        <v>143</v>
      </c>
      <c r="I124" s="1" t="str">
        <f>IFERROR(VLOOKUP(H124,'DATABASE-DRIFT_LATENT_HP_ERROR'!$A$143:$B$160,2,FALSE()),"")</f>
        <v>Ground Disturbance or Excavation</v>
      </c>
      <c r="J124" s="1" t="s">
        <v>53</v>
      </c>
      <c r="K124" s="1" t="s">
        <v>156</v>
      </c>
      <c r="L124" s="2" t="s">
        <v>345</v>
      </c>
      <c r="M124" s="1">
        <v>1</v>
      </c>
      <c r="Q124" s="1" t="s">
        <v>159</v>
      </c>
      <c r="R124" s="1" t="s">
        <v>111</v>
      </c>
      <c r="S124" s="16">
        <v>46210</v>
      </c>
      <c r="T124" s="1">
        <f t="shared" si="12"/>
        <v>2026</v>
      </c>
      <c r="U124" s="1" t="str">
        <f t="shared" si="13"/>
        <v>TW III</v>
      </c>
      <c r="V124" s="1">
        <v>12</v>
      </c>
      <c r="W124" s="1" t="s">
        <v>371</v>
      </c>
      <c r="X124" s="3" t="s">
        <v>372</v>
      </c>
      <c r="Y124" s="3" t="s">
        <v>373</v>
      </c>
      <c r="Z124" s="3" t="s">
        <v>374</v>
      </c>
      <c r="AA124" s="1" t="s">
        <v>326</v>
      </c>
      <c r="AB124" s="3" t="s">
        <v>45</v>
      </c>
      <c r="AC124" s="3" t="s">
        <v>375</v>
      </c>
      <c r="AF124" s="1" t="s">
        <v>376</v>
      </c>
    </row>
    <row r="125" spans="1:32" ht="14.25" customHeight="1" x14ac:dyDescent="0.45">
      <c r="A125" s="1" t="s">
        <v>370</v>
      </c>
      <c r="B125" s="1">
        <v>1</v>
      </c>
      <c r="C125" s="1" t="s">
        <v>33</v>
      </c>
      <c r="F125" s="1" t="str">
        <f t="shared" si="8"/>
        <v>Baseline</v>
      </c>
      <c r="G125" s="1" t="str">
        <f t="shared" si="9"/>
        <v>Y</v>
      </c>
      <c r="H125" s="1" t="s">
        <v>143</v>
      </c>
      <c r="I125" s="1" t="str">
        <f>IFERROR(VLOOKUP(H125,'DATABASE-DRIFT_LATENT_HP_ERROR'!$A$143:$B$160,2,FALSE()),"")</f>
        <v>Ground Disturbance or Excavation</v>
      </c>
      <c r="J125" s="1" t="s">
        <v>59</v>
      </c>
      <c r="K125" s="1" t="s">
        <v>160</v>
      </c>
      <c r="L125" s="2" t="s">
        <v>346</v>
      </c>
      <c r="M125" s="1">
        <v>1</v>
      </c>
      <c r="Q125" s="1" t="s">
        <v>163</v>
      </c>
      <c r="R125" s="1" t="s">
        <v>164</v>
      </c>
      <c r="S125" s="16">
        <v>46210</v>
      </c>
      <c r="T125" s="1">
        <f t="shared" si="12"/>
        <v>2026</v>
      </c>
      <c r="U125" s="1" t="str">
        <f t="shared" si="13"/>
        <v>TW III</v>
      </c>
      <c r="V125" s="1">
        <v>12</v>
      </c>
      <c r="W125" s="1" t="s">
        <v>371</v>
      </c>
      <c r="X125" s="3" t="s">
        <v>372</v>
      </c>
      <c r="Y125" s="3" t="s">
        <v>373</v>
      </c>
      <c r="Z125" s="3" t="s">
        <v>374</v>
      </c>
      <c r="AA125" s="1" t="s">
        <v>326</v>
      </c>
      <c r="AB125" s="3" t="s">
        <v>45</v>
      </c>
      <c r="AC125" s="3" t="s">
        <v>375</v>
      </c>
      <c r="AF125" s="1" t="s">
        <v>376</v>
      </c>
    </row>
    <row r="126" spans="1:32" ht="14.25" customHeight="1" x14ac:dyDescent="0.45">
      <c r="A126" s="1" t="s">
        <v>370</v>
      </c>
      <c r="B126" s="1">
        <v>1</v>
      </c>
      <c r="C126" s="1" t="s">
        <v>33</v>
      </c>
      <c r="F126" s="1" t="str">
        <f t="shared" si="8"/>
        <v>Baseline</v>
      </c>
      <c r="G126" s="1" t="str">
        <f t="shared" si="9"/>
        <v>Y</v>
      </c>
      <c r="H126" s="1" t="s">
        <v>143</v>
      </c>
      <c r="I126" s="1" t="str">
        <f>IFERROR(VLOOKUP(H126,'DATABASE-DRIFT_LATENT_HP_ERROR'!$A$143:$B$160,2,FALSE()),"")</f>
        <v>Ground Disturbance or Excavation</v>
      </c>
      <c r="J126" s="1" t="s">
        <v>64</v>
      </c>
      <c r="K126" s="1" t="s">
        <v>165</v>
      </c>
      <c r="L126" s="2" t="s">
        <v>347</v>
      </c>
      <c r="M126" s="1">
        <v>1</v>
      </c>
      <c r="Q126" s="1" t="s">
        <v>168</v>
      </c>
      <c r="R126" s="1" t="s">
        <v>169</v>
      </c>
      <c r="S126" s="16">
        <v>46210</v>
      </c>
      <c r="T126" s="1">
        <f t="shared" si="12"/>
        <v>2026</v>
      </c>
      <c r="U126" s="1" t="str">
        <f t="shared" si="13"/>
        <v>TW III</v>
      </c>
      <c r="V126" s="1">
        <v>12</v>
      </c>
      <c r="W126" s="1" t="s">
        <v>371</v>
      </c>
      <c r="X126" s="3" t="s">
        <v>372</v>
      </c>
      <c r="Y126" s="3" t="s">
        <v>373</v>
      </c>
      <c r="Z126" s="3" t="s">
        <v>374</v>
      </c>
      <c r="AA126" s="1" t="s">
        <v>326</v>
      </c>
      <c r="AB126" s="3" t="s">
        <v>45</v>
      </c>
      <c r="AC126" s="3" t="s">
        <v>375</v>
      </c>
      <c r="AF126" s="1" t="s">
        <v>376</v>
      </c>
    </row>
    <row r="127" spans="1:32" ht="28.5" customHeight="1" x14ac:dyDescent="0.45">
      <c r="A127" s="2" t="s">
        <v>378</v>
      </c>
      <c r="B127" s="1">
        <v>1</v>
      </c>
      <c r="C127" s="1" t="s">
        <v>33</v>
      </c>
      <c r="F127" s="1" t="str">
        <f t="shared" si="8"/>
        <v>Baseline</v>
      </c>
      <c r="G127" s="1" t="str">
        <f t="shared" si="9"/>
        <v>Y</v>
      </c>
      <c r="H127" s="2" t="s">
        <v>207</v>
      </c>
      <c r="I127" s="2" t="str">
        <f>IFERROR(VLOOKUP(H127,'DATABASE-DRIFT_LATENT_HP_ERROR'!$A$143:$B$160,2,FALSE()),"")</f>
        <v>Confined Space Entry</v>
      </c>
      <c r="J127" s="2" t="s">
        <v>35</v>
      </c>
      <c r="K127" s="2" t="s">
        <v>208</v>
      </c>
      <c r="L127" s="2" t="s">
        <v>379</v>
      </c>
      <c r="M127" s="2"/>
      <c r="N127" s="2">
        <v>1</v>
      </c>
      <c r="O127" s="2"/>
      <c r="P127" s="18" t="s">
        <v>380</v>
      </c>
      <c r="Q127" s="2" t="s">
        <v>211</v>
      </c>
      <c r="R127" s="2" t="s">
        <v>212</v>
      </c>
      <c r="S127" s="17">
        <v>46212</v>
      </c>
      <c r="T127" s="1">
        <f t="shared" si="12"/>
        <v>2026</v>
      </c>
      <c r="U127" s="1" t="str">
        <f t="shared" si="13"/>
        <v>TW III</v>
      </c>
      <c r="V127" s="1">
        <v>12</v>
      </c>
      <c r="W127" s="2" t="s">
        <v>322</v>
      </c>
      <c r="X127" s="18" t="s">
        <v>381</v>
      </c>
      <c r="Y127" s="18" t="s">
        <v>382</v>
      </c>
      <c r="Z127" s="18" t="s">
        <v>383</v>
      </c>
      <c r="AA127" s="2" t="s">
        <v>45</v>
      </c>
      <c r="AB127" s="18" t="s">
        <v>326</v>
      </c>
      <c r="AC127" s="18" t="s">
        <v>384</v>
      </c>
      <c r="AE127" s="1" t="s">
        <v>385</v>
      </c>
    </row>
    <row r="128" spans="1:32" ht="28.5" customHeight="1" x14ac:dyDescent="0.45">
      <c r="A128" s="2" t="s">
        <v>378</v>
      </c>
      <c r="B128" s="1">
        <v>1</v>
      </c>
      <c r="C128" s="1" t="s">
        <v>33</v>
      </c>
      <c r="F128" s="1" t="str">
        <f t="shared" si="8"/>
        <v>Baseline</v>
      </c>
      <c r="G128" s="1" t="str">
        <f t="shared" si="9"/>
        <v>Y</v>
      </c>
      <c r="H128" s="2" t="s">
        <v>207</v>
      </c>
      <c r="I128" s="2" t="str">
        <f>IFERROR(VLOOKUP(H128,'DATABASE-DRIFT_LATENT_HP_ERROR'!$A$143:$B$160,2,FALSE()),"")</f>
        <v>Confined Space Entry</v>
      </c>
      <c r="J128" s="2" t="s">
        <v>48</v>
      </c>
      <c r="K128" s="2" t="s">
        <v>220</v>
      </c>
      <c r="L128" s="2" t="s">
        <v>386</v>
      </c>
      <c r="M128" s="2">
        <v>1</v>
      </c>
      <c r="N128" s="2"/>
      <c r="O128" s="2"/>
      <c r="P128" s="18"/>
      <c r="Q128" s="2" t="s">
        <v>223</v>
      </c>
      <c r="R128" s="2" t="s">
        <v>224</v>
      </c>
      <c r="S128" s="17">
        <v>46212</v>
      </c>
      <c r="T128" s="1">
        <f t="shared" si="12"/>
        <v>2026</v>
      </c>
      <c r="U128" s="1" t="str">
        <f t="shared" si="13"/>
        <v>TW III</v>
      </c>
      <c r="V128" s="1">
        <v>12</v>
      </c>
      <c r="W128" s="2" t="s">
        <v>322</v>
      </c>
      <c r="X128" s="18" t="s">
        <v>381</v>
      </c>
      <c r="Y128" s="18" t="s">
        <v>382</v>
      </c>
      <c r="Z128" s="18" t="s">
        <v>383</v>
      </c>
      <c r="AA128" s="2" t="s">
        <v>45</v>
      </c>
      <c r="AB128" s="18" t="s">
        <v>326</v>
      </c>
      <c r="AC128" s="18" t="s">
        <v>384</v>
      </c>
      <c r="AE128" s="1" t="s">
        <v>385</v>
      </c>
    </row>
    <row r="129" spans="1:31" ht="28.5" customHeight="1" x14ac:dyDescent="0.45">
      <c r="A129" s="2" t="s">
        <v>378</v>
      </c>
      <c r="B129" s="1">
        <v>1</v>
      </c>
      <c r="C129" s="1" t="s">
        <v>33</v>
      </c>
      <c r="F129" s="1" t="str">
        <f t="shared" si="8"/>
        <v>Baseline</v>
      </c>
      <c r="G129" s="1" t="str">
        <f t="shared" si="9"/>
        <v>Y</v>
      </c>
      <c r="H129" s="2" t="s">
        <v>207</v>
      </c>
      <c r="I129" s="2" t="str">
        <f>IFERROR(VLOOKUP(H129,'DATABASE-DRIFT_LATENT_HP_ERROR'!$A$143:$B$160,2,FALSE()),"")</f>
        <v>Confined Space Entry</v>
      </c>
      <c r="J129" s="2" t="s">
        <v>53</v>
      </c>
      <c r="K129" s="2" t="s">
        <v>225</v>
      </c>
      <c r="L129" s="2" t="s">
        <v>387</v>
      </c>
      <c r="M129" s="2"/>
      <c r="N129" s="2"/>
      <c r="O129" s="2">
        <v>1</v>
      </c>
      <c r="P129" s="18"/>
      <c r="Q129" s="2" t="s">
        <v>228</v>
      </c>
      <c r="R129" s="2" t="s">
        <v>229</v>
      </c>
      <c r="S129" s="17">
        <v>46212</v>
      </c>
      <c r="T129" s="1">
        <f t="shared" si="12"/>
        <v>2026</v>
      </c>
      <c r="U129" s="1" t="str">
        <f t="shared" si="13"/>
        <v>TW III</v>
      </c>
      <c r="V129" s="1">
        <v>12</v>
      </c>
      <c r="W129" s="2" t="s">
        <v>322</v>
      </c>
      <c r="X129" s="18" t="s">
        <v>381</v>
      </c>
      <c r="Y129" s="18" t="s">
        <v>382</v>
      </c>
      <c r="Z129" s="18" t="s">
        <v>383</v>
      </c>
      <c r="AA129" s="2" t="s">
        <v>45</v>
      </c>
      <c r="AB129" s="18" t="s">
        <v>326</v>
      </c>
      <c r="AC129" s="18" t="s">
        <v>384</v>
      </c>
      <c r="AE129" s="1" t="s">
        <v>385</v>
      </c>
    </row>
    <row r="130" spans="1:31" ht="28.5" customHeight="1" x14ac:dyDescent="0.45">
      <c r="A130" s="2" t="s">
        <v>378</v>
      </c>
      <c r="B130" s="1">
        <v>1</v>
      </c>
      <c r="C130" s="1" t="s">
        <v>33</v>
      </c>
      <c r="F130" s="1" t="str">
        <f t="shared" ref="F130:F193" si="14">IF(A130="","",IF(B130=1,"Baseline",IF(C130="Y","Reverification","Follow-up")))</f>
        <v>Baseline</v>
      </c>
      <c r="G130" s="1" t="str">
        <f t="shared" ref="G130:G193" si="15">IF(A130="","",IF(COUNTIFS($V$2:$V$300,V130,$H$2:$H$300,H130,$B$2:$B$300,"&gt;"&amp;B130)=0,"Y","N"))</f>
        <v>Y</v>
      </c>
      <c r="H130" s="2" t="s">
        <v>207</v>
      </c>
      <c r="I130" s="2" t="str">
        <f>IFERROR(VLOOKUP(H130,'DATABASE-DRIFT_LATENT_HP_ERROR'!$A$143:$B$160,2,FALSE()),"")</f>
        <v>Confined Space Entry</v>
      </c>
      <c r="J130" s="2" t="s">
        <v>59</v>
      </c>
      <c r="K130" s="2" t="s">
        <v>230</v>
      </c>
      <c r="L130" s="2" t="s">
        <v>388</v>
      </c>
      <c r="M130" s="2">
        <v>1</v>
      </c>
      <c r="N130" s="2"/>
      <c r="O130" s="2"/>
      <c r="P130" s="18"/>
      <c r="Q130" s="2" t="s">
        <v>233</v>
      </c>
      <c r="R130" s="2" t="s">
        <v>234</v>
      </c>
      <c r="S130" s="17">
        <v>46212</v>
      </c>
      <c r="T130" s="1">
        <f t="shared" si="12"/>
        <v>2026</v>
      </c>
      <c r="U130" s="1" t="str">
        <f t="shared" si="13"/>
        <v>TW III</v>
      </c>
      <c r="V130" s="1">
        <v>12</v>
      </c>
      <c r="W130" s="2" t="s">
        <v>322</v>
      </c>
      <c r="X130" s="18" t="s">
        <v>381</v>
      </c>
      <c r="Y130" s="18" t="s">
        <v>382</v>
      </c>
      <c r="Z130" s="18" t="s">
        <v>383</v>
      </c>
      <c r="AA130" s="2" t="s">
        <v>45</v>
      </c>
      <c r="AB130" s="18" t="s">
        <v>326</v>
      </c>
      <c r="AC130" s="18" t="s">
        <v>384</v>
      </c>
      <c r="AE130" s="1" t="s">
        <v>385</v>
      </c>
    </row>
    <row r="131" spans="1:31" ht="28.5" customHeight="1" x14ac:dyDescent="0.45">
      <c r="A131" s="2" t="s">
        <v>378</v>
      </c>
      <c r="B131" s="1">
        <v>1</v>
      </c>
      <c r="C131" s="1" t="s">
        <v>33</v>
      </c>
      <c r="F131" s="1" t="str">
        <f t="shared" si="14"/>
        <v>Baseline</v>
      </c>
      <c r="G131" s="1" t="str">
        <f t="shared" si="15"/>
        <v>Y</v>
      </c>
      <c r="H131" s="2" t="s">
        <v>207</v>
      </c>
      <c r="I131" s="2" t="str">
        <f>IFERROR(VLOOKUP(H131,'DATABASE-DRIFT_LATENT_HP_ERROR'!$A$143:$B$160,2,FALSE()),"")</f>
        <v>Confined Space Entry</v>
      </c>
      <c r="J131" s="2" t="s">
        <v>64</v>
      </c>
      <c r="K131" s="2" t="s">
        <v>235</v>
      </c>
      <c r="L131" s="2" t="s">
        <v>389</v>
      </c>
      <c r="M131" s="2">
        <v>1</v>
      </c>
      <c r="N131" s="2"/>
      <c r="O131" s="2"/>
      <c r="P131" s="18"/>
      <c r="Q131" s="2" t="s">
        <v>238</v>
      </c>
      <c r="R131" s="2" t="s">
        <v>103</v>
      </c>
      <c r="S131" s="17">
        <v>46212</v>
      </c>
      <c r="T131" s="1">
        <f t="shared" si="12"/>
        <v>2026</v>
      </c>
      <c r="U131" s="1" t="str">
        <f t="shared" si="13"/>
        <v>TW III</v>
      </c>
      <c r="V131" s="1">
        <v>12</v>
      </c>
      <c r="W131" s="2" t="s">
        <v>322</v>
      </c>
      <c r="X131" s="18" t="s">
        <v>381</v>
      </c>
      <c r="Y131" s="18" t="s">
        <v>382</v>
      </c>
      <c r="Z131" s="18" t="s">
        <v>383</v>
      </c>
      <c r="AA131" s="2" t="s">
        <v>45</v>
      </c>
      <c r="AB131" s="18" t="s">
        <v>326</v>
      </c>
      <c r="AC131" s="18" t="s">
        <v>384</v>
      </c>
      <c r="AE131" s="1" t="s">
        <v>385</v>
      </c>
    </row>
    <row r="132" spans="1:31" ht="28.5" customHeight="1" x14ac:dyDescent="0.45">
      <c r="A132" s="2" t="s">
        <v>378</v>
      </c>
      <c r="B132" s="1">
        <v>1</v>
      </c>
      <c r="C132" s="1" t="s">
        <v>33</v>
      </c>
      <c r="F132" s="1" t="str">
        <f t="shared" si="14"/>
        <v>Baseline</v>
      </c>
      <c r="G132" s="1" t="str">
        <f t="shared" si="15"/>
        <v>Y</v>
      </c>
      <c r="H132" s="2" t="s">
        <v>207</v>
      </c>
      <c r="I132" s="2" t="str">
        <f>IFERROR(VLOOKUP(H132,'DATABASE-DRIFT_LATENT_HP_ERROR'!$A$143:$B$160,2,FALSE()),"")</f>
        <v>Confined Space Entry</v>
      </c>
      <c r="J132" s="2" t="s">
        <v>69</v>
      </c>
      <c r="K132" s="2" t="s">
        <v>244</v>
      </c>
      <c r="L132" s="2" t="s">
        <v>390</v>
      </c>
      <c r="M132" s="2"/>
      <c r="N132" s="2">
        <v>1</v>
      </c>
      <c r="O132" s="2"/>
      <c r="P132" s="18" t="s">
        <v>391</v>
      </c>
      <c r="Q132" s="2" t="s">
        <v>262</v>
      </c>
      <c r="R132" s="2" t="s">
        <v>90</v>
      </c>
      <c r="S132" s="17">
        <v>46212</v>
      </c>
      <c r="T132" s="1">
        <f t="shared" si="12"/>
        <v>2026</v>
      </c>
      <c r="U132" s="1" t="str">
        <f t="shared" si="13"/>
        <v>TW III</v>
      </c>
      <c r="V132" s="1">
        <v>12</v>
      </c>
      <c r="W132" s="2" t="s">
        <v>322</v>
      </c>
      <c r="X132" s="18" t="s">
        <v>381</v>
      </c>
      <c r="Y132" s="18" t="s">
        <v>382</v>
      </c>
      <c r="Z132" s="18" t="s">
        <v>383</v>
      </c>
      <c r="AA132" s="2" t="s">
        <v>45</v>
      </c>
      <c r="AB132" s="18" t="s">
        <v>326</v>
      </c>
      <c r="AC132" s="18" t="s">
        <v>384</v>
      </c>
      <c r="AE132" s="1" t="s">
        <v>385</v>
      </c>
    </row>
    <row r="133" spans="1:31" ht="28.5" customHeight="1" x14ac:dyDescent="0.45">
      <c r="A133" s="2" t="s">
        <v>378</v>
      </c>
      <c r="B133" s="1">
        <v>1</v>
      </c>
      <c r="C133" s="1" t="s">
        <v>33</v>
      </c>
      <c r="F133" s="1" t="str">
        <f t="shared" si="14"/>
        <v>Baseline</v>
      </c>
      <c r="G133" s="1" t="str">
        <f t="shared" si="15"/>
        <v>Y</v>
      </c>
      <c r="H133" s="2" t="s">
        <v>207</v>
      </c>
      <c r="I133" s="2" t="str">
        <f>IFERROR(VLOOKUP(H133,'DATABASE-DRIFT_LATENT_HP_ERROR'!$A$143:$B$160,2,FALSE()),"")</f>
        <v>Confined Space Entry</v>
      </c>
      <c r="J133" s="2" t="s">
        <v>75</v>
      </c>
      <c r="K133" s="2" t="s">
        <v>239</v>
      </c>
      <c r="L133" s="2" t="s">
        <v>392</v>
      </c>
      <c r="M133" s="2"/>
      <c r="N133" s="2">
        <v>1</v>
      </c>
      <c r="O133" s="2"/>
      <c r="P133" s="18" t="s">
        <v>393</v>
      </c>
      <c r="Q133" s="2" t="s">
        <v>242</v>
      </c>
      <c r="R133" s="2" t="s">
        <v>243</v>
      </c>
      <c r="S133" s="17">
        <v>46212</v>
      </c>
      <c r="T133" s="1">
        <f t="shared" si="12"/>
        <v>2026</v>
      </c>
      <c r="U133" s="1" t="str">
        <f t="shared" si="13"/>
        <v>TW III</v>
      </c>
      <c r="V133" s="1">
        <v>12</v>
      </c>
      <c r="W133" s="2" t="s">
        <v>322</v>
      </c>
      <c r="X133" s="18" t="s">
        <v>381</v>
      </c>
      <c r="Y133" s="18" t="s">
        <v>382</v>
      </c>
      <c r="Z133" s="18" t="s">
        <v>383</v>
      </c>
      <c r="AA133" s="2" t="s">
        <v>45</v>
      </c>
      <c r="AB133" s="18" t="s">
        <v>326</v>
      </c>
      <c r="AC133" s="18" t="s">
        <v>384</v>
      </c>
      <c r="AE133" s="1" t="s">
        <v>385</v>
      </c>
    </row>
    <row r="134" spans="1:31" ht="14.25" customHeight="1" x14ac:dyDescent="0.45">
      <c r="A134" s="1" t="s">
        <v>394</v>
      </c>
      <c r="B134" s="1">
        <v>1</v>
      </c>
      <c r="C134" s="1" t="s">
        <v>33</v>
      </c>
      <c r="F134" s="1" t="str">
        <f t="shared" si="14"/>
        <v>Baseline</v>
      </c>
      <c r="G134" s="1" t="str">
        <f t="shared" si="15"/>
        <v>Y</v>
      </c>
      <c r="H134" s="1" t="s">
        <v>92</v>
      </c>
      <c r="I134" s="1" t="str">
        <f>IFERROR(VLOOKUP(H134,'DATABASE-DRIFT_LATENT_HP_ERROR'!$A$143:$B$160,2,FALSE()),"")</f>
        <v>Powered System / Isolation of Hazardous Energy</v>
      </c>
      <c r="J134" s="1" t="s">
        <v>35</v>
      </c>
      <c r="K134" s="1" t="s">
        <v>93</v>
      </c>
      <c r="L134" s="2" t="s">
        <v>395</v>
      </c>
      <c r="O134" s="1">
        <v>1</v>
      </c>
      <c r="Q134" s="1" t="s">
        <v>96</v>
      </c>
      <c r="R134" s="1" t="s">
        <v>97</v>
      </c>
      <c r="S134" s="16">
        <v>46212</v>
      </c>
      <c r="T134" s="1">
        <f t="shared" si="12"/>
        <v>2026</v>
      </c>
      <c r="U134" s="1" t="str">
        <f t="shared" si="13"/>
        <v>TW III</v>
      </c>
      <c r="V134" s="1">
        <v>12</v>
      </c>
      <c r="W134" s="1" t="s">
        <v>322</v>
      </c>
      <c r="X134" s="3" t="s">
        <v>381</v>
      </c>
      <c r="Y134" s="3" t="s">
        <v>382</v>
      </c>
      <c r="Z134" s="3" t="s">
        <v>383</v>
      </c>
      <c r="AA134" s="1" t="s">
        <v>45</v>
      </c>
      <c r="AB134" s="3" t="s">
        <v>326</v>
      </c>
      <c r="AC134" s="3" t="s">
        <v>384</v>
      </c>
      <c r="AE134" s="1" t="s">
        <v>385</v>
      </c>
    </row>
    <row r="135" spans="1:31" ht="14.25" customHeight="1" x14ac:dyDescent="0.45">
      <c r="A135" s="1" t="s">
        <v>394</v>
      </c>
      <c r="B135" s="1">
        <v>1</v>
      </c>
      <c r="C135" s="1" t="s">
        <v>33</v>
      </c>
      <c r="F135" s="1" t="str">
        <f t="shared" si="14"/>
        <v>Baseline</v>
      </c>
      <c r="G135" s="1" t="str">
        <f t="shared" si="15"/>
        <v>Y</v>
      </c>
      <c r="H135" s="1" t="s">
        <v>92</v>
      </c>
      <c r="I135" s="1" t="str">
        <f>IFERROR(VLOOKUP(H135,'DATABASE-DRIFT_LATENT_HP_ERROR'!$A$143:$B$160,2,FALSE()),"")</f>
        <v>Powered System / Isolation of Hazardous Energy</v>
      </c>
      <c r="J135" s="1" t="s">
        <v>48</v>
      </c>
      <c r="K135" s="1" t="s">
        <v>100</v>
      </c>
      <c r="L135" s="2" t="s">
        <v>396</v>
      </c>
      <c r="M135" s="1">
        <v>1</v>
      </c>
      <c r="Q135" s="1" t="s">
        <v>96</v>
      </c>
      <c r="R135" s="1" t="s">
        <v>103</v>
      </c>
      <c r="S135" s="16">
        <v>46212</v>
      </c>
      <c r="T135" s="1">
        <f t="shared" si="12"/>
        <v>2026</v>
      </c>
      <c r="U135" s="1" t="str">
        <f t="shared" si="13"/>
        <v>TW III</v>
      </c>
      <c r="V135" s="1">
        <v>12</v>
      </c>
      <c r="W135" s="1" t="s">
        <v>322</v>
      </c>
      <c r="X135" s="3" t="s">
        <v>381</v>
      </c>
      <c r="Y135" s="3" t="s">
        <v>382</v>
      </c>
      <c r="Z135" s="3" t="s">
        <v>383</v>
      </c>
      <c r="AA135" s="1" t="s">
        <v>45</v>
      </c>
      <c r="AB135" s="3" t="s">
        <v>326</v>
      </c>
      <c r="AC135" s="3" t="s">
        <v>384</v>
      </c>
      <c r="AE135" s="1" t="s">
        <v>385</v>
      </c>
    </row>
    <row r="136" spans="1:31" ht="14.25" customHeight="1" x14ac:dyDescent="0.45">
      <c r="A136" s="1" t="s">
        <v>394</v>
      </c>
      <c r="B136" s="1">
        <v>1</v>
      </c>
      <c r="C136" s="1" t="s">
        <v>33</v>
      </c>
      <c r="F136" s="1" t="str">
        <f t="shared" si="14"/>
        <v>Baseline</v>
      </c>
      <c r="G136" s="1" t="str">
        <f t="shared" si="15"/>
        <v>Y</v>
      </c>
      <c r="H136" s="1" t="s">
        <v>92</v>
      </c>
      <c r="I136" s="1" t="str">
        <f>IFERROR(VLOOKUP(H136,'DATABASE-DRIFT_LATENT_HP_ERROR'!$A$143:$B$160,2,FALSE()),"")</f>
        <v>Powered System / Isolation of Hazardous Energy</v>
      </c>
      <c r="J136" s="1" t="s">
        <v>53</v>
      </c>
      <c r="K136" s="1" t="s">
        <v>104</v>
      </c>
      <c r="L136" s="2" t="s">
        <v>397</v>
      </c>
      <c r="N136" s="1">
        <v>1</v>
      </c>
      <c r="P136" s="3" t="s">
        <v>398</v>
      </c>
      <c r="Q136" s="1" t="s">
        <v>57</v>
      </c>
      <c r="R136" s="1" t="s">
        <v>107</v>
      </c>
      <c r="S136" s="16">
        <v>46212</v>
      </c>
      <c r="T136" s="1">
        <f t="shared" si="12"/>
        <v>2026</v>
      </c>
      <c r="U136" s="1" t="str">
        <f t="shared" si="13"/>
        <v>TW III</v>
      </c>
      <c r="V136" s="1">
        <v>12</v>
      </c>
      <c r="W136" s="1" t="s">
        <v>322</v>
      </c>
      <c r="X136" s="3" t="s">
        <v>381</v>
      </c>
      <c r="Y136" s="3" t="s">
        <v>382</v>
      </c>
      <c r="Z136" s="3" t="s">
        <v>383</v>
      </c>
      <c r="AA136" s="1" t="s">
        <v>45</v>
      </c>
      <c r="AB136" s="3" t="s">
        <v>326</v>
      </c>
      <c r="AC136" s="3" t="s">
        <v>384</v>
      </c>
      <c r="AE136" s="1" t="s">
        <v>385</v>
      </c>
    </row>
    <row r="137" spans="1:31" ht="14.25" customHeight="1" x14ac:dyDescent="0.45">
      <c r="A137" s="1" t="s">
        <v>394</v>
      </c>
      <c r="B137" s="1">
        <v>1</v>
      </c>
      <c r="C137" s="1" t="s">
        <v>33</v>
      </c>
      <c r="F137" s="1" t="str">
        <f t="shared" si="14"/>
        <v>Baseline</v>
      </c>
      <c r="G137" s="1" t="str">
        <f t="shared" si="15"/>
        <v>Y</v>
      </c>
      <c r="H137" s="1" t="s">
        <v>92</v>
      </c>
      <c r="I137" s="1" t="str">
        <f>IFERROR(VLOOKUP(H137,'DATABASE-DRIFT_LATENT_HP_ERROR'!$A$143:$B$160,2,FALSE()),"")</f>
        <v>Powered System / Isolation of Hazardous Energy</v>
      </c>
      <c r="J137" s="1" t="s">
        <v>59</v>
      </c>
      <c r="K137" s="1" t="s">
        <v>108</v>
      </c>
      <c r="L137" s="2" t="s">
        <v>399</v>
      </c>
      <c r="M137" s="1">
        <v>1</v>
      </c>
      <c r="Q137" s="1" t="s">
        <v>57</v>
      </c>
      <c r="R137" s="1" t="s">
        <v>111</v>
      </c>
      <c r="S137" s="16">
        <v>46212</v>
      </c>
      <c r="T137" s="1">
        <f t="shared" si="12"/>
        <v>2026</v>
      </c>
      <c r="U137" s="1" t="str">
        <f t="shared" si="13"/>
        <v>TW III</v>
      </c>
      <c r="V137" s="1">
        <v>12</v>
      </c>
      <c r="W137" s="1" t="s">
        <v>322</v>
      </c>
      <c r="X137" s="3" t="s">
        <v>381</v>
      </c>
      <c r="Y137" s="3" t="s">
        <v>382</v>
      </c>
      <c r="Z137" s="3" t="s">
        <v>383</v>
      </c>
      <c r="AA137" s="1" t="s">
        <v>45</v>
      </c>
      <c r="AB137" s="3" t="s">
        <v>326</v>
      </c>
      <c r="AC137" s="3" t="s">
        <v>384</v>
      </c>
      <c r="AE137" s="1" t="s">
        <v>385</v>
      </c>
    </row>
    <row r="138" spans="1:31" ht="14.25" customHeight="1" x14ac:dyDescent="0.45">
      <c r="A138" s="1" t="s">
        <v>394</v>
      </c>
      <c r="B138" s="1">
        <v>1</v>
      </c>
      <c r="C138" s="1" t="s">
        <v>33</v>
      </c>
      <c r="F138" s="1" t="str">
        <f t="shared" si="14"/>
        <v>Baseline</v>
      </c>
      <c r="G138" s="1" t="str">
        <f t="shared" si="15"/>
        <v>Y</v>
      </c>
      <c r="H138" s="1" t="s">
        <v>92</v>
      </c>
      <c r="I138" s="1" t="str">
        <f>IFERROR(VLOOKUP(H138,'DATABASE-DRIFT_LATENT_HP_ERROR'!$A$143:$B$160,2,FALSE()),"")</f>
        <v>Powered System / Isolation of Hazardous Energy</v>
      </c>
      <c r="J138" s="1" t="s">
        <v>64</v>
      </c>
      <c r="K138" s="1" t="s">
        <v>112</v>
      </c>
      <c r="L138" s="2" t="s">
        <v>115</v>
      </c>
      <c r="M138" s="1">
        <v>1</v>
      </c>
      <c r="Q138" s="1" t="s">
        <v>96</v>
      </c>
      <c r="R138" s="1" t="s">
        <v>115</v>
      </c>
      <c r="S138" s="16">
        <v>46212</v>
      </c>
      <c r="T138" s="1">
        <f t="shared" si="12"/>
        <v>2026</v>
      </c>
      <c r="U138" s="1" t="str">
        <f t="shared" si="13"/>
        <v>TW III</v>
      </c>
      <c r="V138" s="1">
        <v>12</v>
      </c>
      <c r="W138" s="1" t="s">
        <v>322</v>
      </c>
      <c r="X138" s="3" t="s">
        <v>381</v>
      </c>
      <c r="Y138" s="3" t="s">
        <v>382</v>
      </c>
      <c r="Z138" s="3" t="s">
        <v>383</v>
      </c>
      <c r="AA138" s="1" t="s">
        <v>45</v>
      </c>
      <c r="AB138" s="3" t="s">
        <v>326</v>
      </c>
      <c r="AC138" s="3" t="s">
        <v>384</v>
      </c>
      <c r="AE138" s="1" t="s">
        <v>385</v>
      </c>
    </row>
    <row r="139" spans="1:31" ht="14.25" customHeight="1" x14ac:dyDescent="0.45">
      <c r="A139" s="1" t="s">
        <v>394</v>
      </c>
      <c r="B139" s="1">
        <v>1</v>
      </c>
      <c r="C139" s="1" t="s">
        <v>33</v>
      </c>
      <c r="F139" s="1" t="str">
        <f t="shared" si="14"/>
        <v>Baseline</v>
      </c>
      <c r="G139" s="1" t="str">
        <f t="shared" si="15"/>
        <v>Y</v>
      </c>
      <c r="H139" s="1" t="s">
        <v>92</v>
      </c>
      <c r="I139" s="1" t="str">
        <f>IFERROR(VLOOKUP(H139,'DATABASE-DRIFT_LATENT_HP_ERROR'!$A$143:$B$160,2,FALSE()),"")</f>
        <v>Powered System / Isolation of Hazardous Energy</v>
      </c>
      <c r="J139" s="1" t="s">
        <v>69</v>
      </c>
      <c r="K139" s="1" t="s">
        <v>116</v>
      </c>
      <c r="L139" s="2" t="s">
        <v>119</v>
      </c>
      <c r="M139" s="1">
        <v>1</v>
      </c>
      <c r="Q139" s="1" t="s">
        <v>96</v>
      </c>
      <c r="R139" s="1" t="s">
        <v>119</v>
      </c>
      <c r="S139" s="16">
        <v>46212</v>
      </c>
      <c r="T139" s="1">
        <f t="shared" si="12"/>
        <v>2026</v>
      </c>
      <c r="U139" s="1" t="str">
        <f t="shared" si="13"/>
        <v>TW III</v>
      </c>
      <c r="V139" s="1">
        <v>12</v>
      </c>
      <c r="W139" s="1" t="s">
        <v>322</v>
      </c>
      <c r="X139" s="3" t="s">
        <v>381</v>
      </c>
      <c r="Y139" s="3" t="s">
        <v>382</v>
      </c>
      <c r="Z139" s="3" t="s">
        <v>383</v>
      </c>
      <c r="AA139" s="1" t="s">
        <v>45</v>
      </c>
      <c r="AB139" s="3" t="s">
        <v>326</v>
      </c>
      <c r="AC139" s="3" t="s">
        <v>384</v>
      </c>
      <c r="AE139" s="1" t="s">
        <v>385</v>
      </c>
    </row>
    <row r="140" spans="1:31" ht="14.25" customHeight="1" x14ac:dyDescent="0.45">
      <c r="A140" s="1" t="s">
        <v>394</v>
      </c>
      <c r="B140" s="1">
        <v>1</v>
      </c>
      <c r="C140" s="1" t="s">
        <v>33</v>
      </c>
      <c r="F140" s="1" t="str">
        <f t="shared" si="14"/>
        <v>Baseline</v>
      </c>
      <c r="G140" s="1" t="str">
        <f t="shared" si="15"/>
        <v>Y</v>
      </c>
      <c r="H140" s="1" t="s">
        <v>92</v>
      </c>
      <c r="I140" s="1" t="str">
        <f>IFERROR(VLOOKUP(H140,'DATABASE-DRIFT_LATENT_HP_ERROR'!$A$143:$B$160,2,FALSE()),"")</f>
        <v>Powered System / Isolation of Hazardous Energy</v>
      </c>
      <c r="J140" s="1" t="s">
        <v>75</v>
      </c>
      <c r="K140" s="1" t="s">
        <v>120</v>
      </c>
      <c r="L140" s="2" t="s">
        <v>400</v>
      </c>
      <c r="M140" s="1">
        <v>1</v>
      </c>
      <c r="Q140" s="1" t="s">
        <v>96</v>
      </c>
      <c r="R140" s="1" t="s">
        <v>123</v>
      </c>
      <c r="S140" s="16">
        <v>46212</v>
      </c>
      <c r="T140" s="1">
        <f t="shared" si="12"/>
        <v>2026</v>
      </c>
      <c r="U140" s="1" t="str">
        <f t="shared" si="13"/>
        <v>TW III</v>
      </c>
      <c r="V140" s="1">
        <v>12</v>
      </c>
      <c r="W140" s="1" t="s">
        <v>322</v>
      </c>
      <c r="X140" s="3" t="s">
        <v>381</v>
      </c>
      <c r="Y140" s="3" t="s">
        <v>382</v>
      </c>
      <c r="Z140" s="3" t="s">
        <v>383</v>
      </c>
      <c r="AA140" s="1" t="s">
        <v>45</v>
      </c>
      <c r="AB140" s="3" t="s">
        <v>326</v>
      </c>
      <c r="AC140" s="3" t="s">
        <v>384</v>
      </c>
      <c r="AE140" s="1" t="s">
        <v>385</v>
      </c>
    </row>
    <row r="141" spans="1:31" ht="14.25" customHeight="1" x14ac:dyDescent="0.45">
      <c r="A141" s="1" t="s">
        <v>394</v>
      </c>
      <c r="B141" s="1">
        <v>1</v>
      </c>
      <c r="C141" s="1" t="s">
        <v>33</v>
      </c>
      <c r="F141" s="1" t="str">
        <f t="shared" si="14"/>
        <v>Baseline</v>
      </c>
      <c r="G141" s="1" t="str">
        <f t="shared" si="15"/>
        <v>Y</v>
      </c>
      <c r="H141" s="1" t="s">
        <v>92</v>
      </c>
      <c r="I141" s="1" t="str">
        <f>IFERROR(VLOOKUP(H141,'DATABASE-DRIFT_LATENT_HP_ERROR'!$A$143:$B$160,2,FALSE()),"")</f>
        <v>Powered System / Isolation of Hazardous Energy</v>
      </c>
      <c r="J141" s="1" t="s">
        <v>81</v>
      </c>
      <c r="K141" s="1" t="s">
        <v>124</v>
      </c>
      <c r="L141" s="2" t="s">
        <v>401</v>
      </c>
      <c r="O141" s="1">
        <v>1</v>
      </c>
      <c r="Q141" s="1" t="s">
        <v>96</v>
      </c>
      <c r="R141" s="1" t="s">
        <v>127</v>
      </c>
      <c r="S141" s="16">
        <v>46212</v>
      </c>
      <c r="T141" s="1">
        <f t="shared" si="12"/>
        <v>2026</v>
      </c>
      <c r="U141" s="1" t="str">
        <f t="shared" si="13"/>
        <v>TW III</v>
      </c>
      <c r="V141" s="1">
        <v>12</v>
      </c>
      <c r="W141" s="1" t="s">
        <v>322</v>
      </c>
      <c r="X141" s="3" t="s">
        <v>381</v>
      </c>
      <c r="Y141" s="3" t="s">
        <v>382</v>
      </c>
      <c r="Z141" s="3" t="s">
        <v>383</v>
      </c>
      <c r="AA141" s="1" t="s">
        <v>45</v>
      </c>
      <c r="AB141" s="3" t="s">
        <v>326</v>
      </c>
      <c r="AC141" s="3" t="s">
        <v>384</v>
      </c>
      <c r="AE141" s="1" t="s">
        <v>385</v>
      </c>
    </row>
    <row r="142" spans="1:31" ht="14.25" customHeight="1" x14ac:dyDescent="0.45">
      <c r="A142" s="1" t="s">
        <v>394</v>
      </c>
      <c r="B142" s="1">
        <v>1</v>
      </c>
      <c r="C142" s="1" t="s">
        <v>33</v>
      </c>
      <c r="F142" s="1" t="str">
        <f t="shared" si="14"/>
        <v>Baseline</v>
      </c>
      <c r="G142" s="1" t="str">
        <f t="shared" si="15"/>
        <v>Y</v>
      </c>
      <c r="H142" s="1" t="s">
        <v>92</v>
      </c>
      <c r="I142" s="1" t="str">
        <f>IFERROR(VLOOKUP(H142,'DATABASE-DRIFT_LATENT_HP_ERROR'!$A$143:$B$160,2,FALSE()),"")</f>
        <v>Powered System / Isolation of Hazardous Energy</v>
      </c>
      <c r="J142" s="1" t="s">
        <v>86</v>
      </c>
      <c r="K142" s="1" t="s">
        <v>128</v>
      </c>
      <c r="L142" s="2" t="s">
        <v>305</v>
      </c>
      <c r="M142" s="1">
        <v>1</v>
      </c>
      <c r="Q142" s="1" t="s">
        <v>57</v>
      </c>
      <c r="R142" s="1" t="s">
        <v>131</v>
      </c>
      <c r="S142" s="16">
        <v>46212</v>
      </c>
      <c r="T142" s="1">
        <f t="shared" si="12"/>
        <v>2026</v>
      </c>
      <c r="U142" s="1" t="str">
        <f t="shared" si="13"/>
        <v>TW III</v>
      </c>
      <c r="V142" s="1">
        <v>12</v>
      </c>
      <c r="W142" s="1" t="s">
        <v>322</v>
      </c>
      <c r="X142" s="3" t="s">
        <v>381</v>
      </c>
      <c r="Y142" s="3" t="s">
        <v>382</v>
      </c>
      <c r="Z142" s="3" t="s">
        <v>383</v>
      </c>
      <c r="AA142" s="1" t="s">
        <v>45</v>
      </c>
      <c r="AB142" s="3" t="s">
        <v>326</v>
      </c>
      <c r="AC142" s="3" t="s">
        <v>384</v>
      </c>
      <c r="AE142" s="1" t="s">
        <v>385</v>
      </c>
    </row>
    <row r="143" spans="1:31" ht="14.25" customHeight="1" x14ac:dyDescent="0.45">
      <c r="A143" s="1" t="s">
        <v>402</v>
      </c>
      <c r="B143" s="1">
        <v>1</v>
      </c>
      <c r="C143" s="1" t="s">
        <v>33</v>
      </c>
      <c r="F143" s="1" t="str">
        <f t="shared" si="14"/>
        <v>Baseline</v>
      </c>
      <c r="G143" s="1" t="str">
        <f t="shared" si="15"/>
        <v>Y</v>
      </c>
      <c r="H143" s="1" t="s">
        <v>34</v>
      </c>
      <c r="I143" s="1" t="str">
        <f>IFERROR(VLOOKUP(H143,'DATABASE-DRIFT_LATENT_HP_ERROR'!$A$143:$B$160,2,FALSE()),"")</f>
        <v>Work at Height</v>
      </c>
      <c r="J143" s="1" t="s">
        <v>35</v>
      </c>
      <c r="K143" s="1" t="s">
        <v>36</v>
      </c>
      <c r="L143" s="2" t="s">
        <v>349</v>
      </c>
      <c r="N143" s="1">
        <v>1</v>
      </c>
      <c r="P143" s="3" t="s">
        <v>403</v>
      </c>
      <c r="Q143" s="1" t="s">
        <v>39</v>
      </c>
      <c r="R143" s="1" t="s">
        <v>40</v>
      </c>
      <c r="S143" s="16">
        <v>46212</v>
      </c>
      <c r="T143" s="1">
        <f t="shared" si="12"/>
        <v>2026</v>
      </c>
      <c r="U143" s="1" t="str">
        <f t="shared" si="13"/>
        <v>TW III</v>
      </c>
      <c r="V143" s="1">
        <v>12</v>
      </c>
      <c r="W143" s="1" t="s">
        <v>322</v>
      </c>
      <c r="X143" s="3" t="s">
        <v>381</v>
      </c>
      <c r="Y143" s="3" t="s">
        <v>382</v>
      </c>
      <c r="Z143" s="3" t="s">
        <v>383</v>
      </c>
      <c r="AA143" s="1" t="s">
        <v>45</v>
      </c>
      <c r="AB143" s="3" t="s">
        <v>326</v>
      </c>
      <c r="AC143" s="3" t="s">
        <v>384</v>
      </c>
      <c r="AE143" s="1" t="s">
        <v>385</v>
      </c>
    </row>
    <row r="144" spans="1:31" ht="14.25" customHeight="1" x14ac:dyDescent="0.45">
      <c r="A144" s="1" t="s">
        <v>402</v>
      </c>
      <c r="B144" s="1">
        <v>1</v>
      </c>
      <c r="C144" s="1" t="s">
        <v>33</v>
      </c>
      <c r="F144" s="1" t="str">
        <f t="shared" si="14"/>
        <v>Baseline</v>
      </c>
      <c r="G144" s="1" t="str">
        <f t="shared" si="15"/>
        <v>Y</v>
      </c>
      <c r="H144" s="1" t="s">
        <v>34</v>
      </c>
      <c r="I144" s="1" t="str">
        <f>IFERROR(VLOOKUP(H144,'DATABASE-DRIFT_LATENT_HP_ERROR'!$A$143:$B$160,2,FALSE()),"")</f>
        <v>Work at Height</v>
      </c>
      <c r="J144" s="1" t="s">
        <v>48</v>
      </c>
      <c r="K144" s="1" t="s">
        <v>49</v>
      </c>
      <c r="L144" s="2" t="s">
        <v>354</v>
      </c>
      <c r="N144" s="1">
        <v>1</v>
      </c>
      <c r="P144" s="3" t="s">
        <v>404</v>
      </c>
      <c r="Q144" s="1" t="s">
        <v>39</v>
      </c>
      <c r="R144" s="1" t="s">
        <v>52</v>
      </c>
      <c r="S144" s="16">
        <v>46212</v>
      </c>
      <c r="T144" s="1">
        <f t="shared" si="12"/>
        <v>2026</v>
      </c>
      <c r="U144" s="1" t="str">
        <f t="shared" si="13"/>
        <v>TW III</v>
      </c>
      <c r="V144" s="1">
        <v>12</v>
      </c>
      <c r="W144" s="1" t="s">
        <v>322</v>
      </c>
      <c r="X144" s="3" t="s">
        <v>381</v>
      </c>
      <c r="Y144" s="3" t="s">
        <v>382</v>
      </c>
      <c r="Z144" s="3" t="s">
        <v>383</v>
      </c>
      <c r="AA144" s="1" t="s">
        <v>45</v>
      </c>
      <c r="AB144" s="3" t="s">
        <v>326</v>
      </c>
      <c r="AC144" s="3" t="s">
        <v>384</v>
      </c>
      <c r="AE144" s="1" t="s">
        <v>385</v>
      </c>
    </row>
    <row r="145" spans="1:31" ht="14.25" customHeight="1" x14ac:dyDescent="0.45">
      <c r="A145" s="1" t="s">
        <v>402</v>
      </c>
      <c r="B145" s="1">
        <v>1</v>
      </c>
      <c r="C145" s="1" t="s">
        <v>33</v>
      </c>
      <c r="F145" s="1" t="str">
        <f t="shared" si="14"/>
        <v>Baseline</v>
      </c>
      <c r="G145" s="1" t="str">
        <f t="shared" si="15"/>
        <v>Y</v>
      </c>
      <c r="H145" s="1" t="s">
        <v>34</v>
      </c>
      <c r="I145" s="1" t="str">
        <f>IFERROR(VLOOKUP(H145,'DATABASE-DRIFT_LATENT_HP_ERROR'!$A$143:$B$160,2,FALSE()),"")</f>
        <v>Work at Height</v>
      </c>
      <c r="J145" s="1" t="s">
        <v>53</v>
      </c>
      <c r="K145" s="1" t="s">
        <v>54</v>
      </c>
      <c r="L145" s="2" t="s">
        <v>356</v>
      </c>
      <c r="N145" s="1">
        <v>1</v>
      </c>
      <c r="P145" s="3" t="s">
        <v>405</v>
      </c>
      <c r="Q145" s="1" t="s">
        <v>57</v>
      </c>
      <c r="R145" s="1" t="s">
        <v>58</v>
      </c>
      <c r="S145" s="16">
        <v>46212</v>
      </c>
      <c r="T145" s="1">
        <f t="shared" si="12"/>
        <v>2026</v>
      </c>
      <c r="U145" s="1" t="str">
        <f t="shared" si="13"/>
        <v>TW III</v>
      </c>
      <c r="V145" s="1">
        <v>12</v>
      </c>
      <c r="W145" s="1" t="s">
        <v>322</v>
      </c>
      <c r="X145" s="3" t="s">
        <v>381</v>
      </c>
      <c r="Y145" s="3" t="s">
        <v>382</v>
      </c>
      <c r="Z145" s="3" t="s">
        <v>383</v>
      </c>
      <c r="AA145" s="1" t="s">
        <v>45</v>
      </c>
      <c r="AB145" s="3" t="s">
        <v>326</v>
      </c>
      <c r="AC145" s="3" t="s">
        <v>384</v>
      </c>
      <c r="AE145" s="1" t="s">
        <v>385</v>
      </c>
    </row>
    <row r="146" spans="1:31" ht="14.25" customHeight="1" x14ac:dyDescent="0.45">
      <c r="A146" s="1" t="s">
        <v>402</v>
      </c>
      <c r="B146" s="1">
        <v>1</v>
      </c>
      <c r="C146" s="1" t="s">
        <v>33</v>
      </c>
      <c r="F146" s="1" t="str">
        <f t="shared" si="14"/>
        <v>Baseline</v>
      </c>
      <c r="G146" s="1" t="str">
        <f t="shared" si="15"/>
        <v>Y</v>
      </c>
      <c r="H146" s="1" t="s">
        <v>34</v>
      </c>
      <c r="I146" s="1" t="str">
        <f>IFERROR(VLOOKUP(H146,'DATABASE-DRIFT_LATENT_HP_ERROR'!$A$143:$B$160,2,FALSE()),"")</f>
        <v>Work at Height</v>
      </c>
      <c r="J146" s="1" t="s">
        <v>59</v>
      </c>
      <c r="K146" s="1" t="s">
        <v>60</v>
      </c>
      <c r="L146" s="2" t="s">
        <v>358</v>
      </c>
      <c r="N146" s="1">
        <v>1</v>
      </c>
      <c r="P146" s="3" t="s">
        <v>406</v>
      </c>
      <c r="Q146" s="1" t="s">
        <v>40</v>
      </c>
      <c r="R146" s="1" t="s">
        <v>63</v>
      </c>
      <c r="S146" s="16">
        <v>46212</v>
      </c>
      <c r="T146" s="1">
        <f t="shared" si="12"/>
        <v>2026</v>
      </c>
      <c r="U146" s="1" t="str">
        <f t="shared" si="13"/>
        <v>TW III</v>
      </c>
      <c r="V146" s="1">
        <v>12</v>
      </c>
      <c r="W146" s="1" t="s">
        <v>322</v>
      </c>
      <c r="X146" s="3" t="s">
        <v>381</v>
      </c>
      <c r="Y146" s="3" t="s">
        <v>382</v>
      </c>
      <c r="Z146" s="3" t="s">
        <v>383</v>
      </c>
      <c r="AA146" s="1" t="s">
        <v>45</v>
      </c>
      <c r="AB146" s="3" t="s">
        <v>326</v>
      </c>
      <c r="AC146" s="3" t="s">
        <v>384</v>
      </c>
      <c r="AE146" s="1" t="s">
        <v>385</v>
      </c>
    </row>
    <row r="147" spans="1:31" ht="14.25" customHeight="1" x14ac:dyDescent="0.45">
      <c r="A147" s="1" t="s">
        <v>402</v>
      </c>
      <c r="B147" s="1">
        <v>1</v>
      </c>
      <c r="C147" s="1" t="s">
        <v>33</v>
      </c>
      <c r="F147" s="1" t="str">
        <f t="shared" si="14"/>
        <v>Baseline</v>
      </c>
      <c r="G147" s="1" t="str">
        <f t="shared" si="15"/>
        <v>Y</v>
      </c>
      <c r="H147" s="1" t="s">
        <v>34</v>
      </c>
      <c r="I147" s="1" t="str">
        <f>IFERROR(VLOOKUP(H147,'DATABASE-DRIFT_LATENT_HP_ERROR'!$A$143:$B$160,2,FALSE()),"")</f>
        <v>Work at Height</v>
      </c>
      <c r="J147" s="1" t="s">
        <v>64</v>
      </c>
      <c r="K147" s="1" t="s">
        <v>65</v>
      </c>
      <c r="L147" s="2" t="s">
        <v>360</v>
      </c>
      <c r="M147" s="1">
        <v>1</v>
      </c>
      <c r="Q147" s="1" t="s">
        <v>40</v>
      </c>
      <c r="R147" s="1" t="s">
        <v>68</v>
      </c>
      <c r="S147" s="16">
        <v>46212</v>
      </c>
      <c r="T147" s="1">
        <f t="shared" ref="T147:T175" si="16">IF(S147="","",YEAR(S147))</f>
        <v>2026</v>
      </c>
      <c r="U147" s="1" t="str">
        <f t="shared" ref="U147:U175" si="17">IF(S147="","","TW "&amp;CHOOSE(ROUNDUP(MONTH(S147)/3,0),"I","II","III","IV"))</f>
        <v>TW III</v>
      </c>
      <c r="V147" s="1">
        <v>12</v>
      </c>
      <c r="W147" s="1" t="s">
        <v>322</v>
      </c>
      <c r="X147" s="3" t="s">
        <v>381</v>
      </c>
      <c r="Y147" s="3" t="s">
        <v>382</v>
      </c>
      <c r="Z147" s="3" t="s">
        <v>383</v>
      </c>
      <c r="AA147" s="1" t="s">
        <v>45</v>
      </c>
      <c r="AB147" s="3" t="s">
        <v>326</v>
      </c>
      <c r="AC147" s="3" t="s">
        <v>384</v>
      </c>
      <c r="AE147" s="1" t="s">
        <v>385</v>
      </c>
    </row>
    <row r="148" spans="1:31" ht="14.25" customHeight="1" x14ac:dyDescent="0.45">
      <c r="A148" s="1" t="s">
        <v>402</v>
      </c>
      <c r="B148" s="1">
        <v>1</v>
      </c>
      <c r="C148" s="1" t="s">
        <v>33</v>
      </c>
      <c r="F148" s="1" t="str">
        <f t="shared" si="14"/>
        <v>Baseline</v>
      </c>
      <c r="G148" s="1" t="str">
        <f t="shared" si="15"/>
        <v>Y</v>
      </c>
      <c r="H148" s="1" t="s">
        <v>34</v>
      </c>
      <c r="I148" s="1" t="str">
        <f>IFERROR(VLOOKUP(H148,'DATABASE-DRIFT_LATENT_HP_ERROR'!$A$143:$B$160,2,FALSE()),"")</f>
        <v>Work at Height</v>
      </c>
      <c r="J148" s="1" t="s">
        <v>69</v>
      </c>
      <c r="K148" s="1" t="s">
        <v>70</v>
      </c>
      <c r="L148" s="2" t="s">
        <v>361</v>
      </c>
      <c r="N148" s="1">
        <v>1</v>
      </c>
      <c r="P148" s="3" t="s">
        <v>407</v>
      </c>
      <c r="Q148" s="1" t="s">
        <v>73</v>
      </c>
      <c r="R148" s="1" t="s">
        <v>74</v>
      </c>
      <c r="S148" s="16">
        <v>46212</v>
      </c>
      <c r="T148" s="1">
        <f t="shared" si="16"/>
        <v>2026</v>
      </c>
      <c r="U148" s="1" t="str">
        <f t="shared" si="17"/>
        <v>TW III</v>
      </c>
      <c r="V148" s="1">
        <v>12</v>
      </c>
      <c r="W148" s="1" t="s">
        <v>322</v>
      </c>
      <c r="X148" s="3" t="s">
        <v>381</v>
      </c>
      <c r="Y148" s="3" t="s">
        <v>382</v>
      </c>
      <c r="Z148" s="3" t="s">
        <v>383</v>
      </c>
      <c r="AA148" s="1" t="s">
        <v>45</v>
      </c>
      <c r="AB148" s="3" t="s">
        <v>326</v>
      </c>
      <c r="AC148" s="3" t="s">
        <v>384</v>
      </c>
      <c r="AE148" s="1" t="s">
        <v>385</v>
      </c>
    </row>
    <row r="149" spans="1:31" ht="14.25" customHeight="1" x14ac:dyDescent="0.45">
      <c r="A149" s="1" t="s">
        <v>402</v>
      </c>
      <c r="B149" s="1">
        <v>1</v>
      </c>
      <c r="C149" s="1" t="s">
        <v>33</v>
      </c>
      <c r="F149" s="1" t="str">
        <f t="shared" si="14"/>
        <v>Baseline</v>
      </c>
      <c r="G149" s="1" t="str">
        <f t="shared" si="15"/>
        <v>Y</v>
      </c>
      <c r="H149" s="1" t="s">
        <v>34</v>
      </c>
      <c r="I149" s="1" t="str">
        <f>IFERROR(VLOOKUP(H149,'DATABASE-DRIFT_LATENT_HP_ERROR'!$A$143:$B$160,2,FALSE()),"")</f>
        <v>Work at Height</v>
      </c>
      <c r="J149" s="1" t="s">
        <v>75</v>
      </c>
      <c r="K149" s="1" t="s">
        <v>76</v>
      </c>
      <c r="L149" s="2" t="s">
        <v>362</v>
      </c>
      <c r="M149" s="1">
        <v>1</v>
      </c>
      <c r="Q149" s="1" t="s">
        <v>79</v>
      </c>
      <c r="R149" s="1" t="s">
        <v>80</v>
      </c>
      <c r="S149" s="16">
        <v>46212</v>
      </c>
      <c r="T149" s="1">
        <f t="shared" si="16"/>
        <v>2026</v>
      </c>
      <c r="U149" s="1" t="str">
        <f t="shared" si="17"/>
        <v>TW III</v>
      </c>
      <c r="V149" s="1">
        <v>12</v>
      </c>
      <c r="W149" s="1" t="s">
        <v>322</v>
      </c>
      <c r="X149" s="3" t="s">
        <v>381</v>
      </c>
      <c r="Y149" s="3" t="s">
        <v>382</v>
      </c>
      <c r="Z149" s="3" t="s">
        <v>383</v>
      </c>
      <c r="AA149" s="1" t="s">
        <v>45</v>
      </c>
      <c r="AB149" s="3" t="s">
        <v>326</v>
      </c>
      <c r="AC149" s="3" t="s">
        <v>384</v>
      </c>
      <c r="AE149" s="1" t="s">
        <v>385</v>
      </c>
    </row>
    <row r="150" spans="1:31" ht="14.25" customHeight="1" x14ac:dyDescent="0.45">
      <c r="A150" s="1" t="s">
        <v>402</v>
      </c>
      <c r="B150" s="1">
        <v>1</v>
      </c>
      <c r="C150" s="1" t="s">
        <v>33</v>
      </c>
      <c r="F150" s="1" t="str">
        <f t="shared" si="14"/>
        <v>Baseline</v>
      </c>
      <c r="G150" s="1" t="str">
        <f t="shared" si="15"/>
        <v>Y</v>
      </c>
      <c r="H150" s="1" t="s">
        <v>34</v>
      </c>
      <c r="I150" s="1" t="str">
        <f>IFERROR(VLOOKUP(H150,'DATABASE-DRIFT_LATENT_HP_ERROR'!$A$143:$B$160,2,FALSE()),"")</f>
        <v>Work at Height</v>
      </c>
      <c r="J150" s="1" t="s">
        <v>81</v>
      </c>
      <c r="K150" s="1" t="s">
        <v>82</v>
      </c>
      <c r="L150" s="2" t="s">
        <v>363</v>
      </c>
      <c r="M150" s="1">
        <v>1</v>
      </c>
      <c r="Q150" s="1" t="s">
        <v>40</v>
      </c>
      <c r="R150" s="1" t="s">
        <v>85</v>
      </c>
      <c r="S150" s="16">
        <v>46212</v>
      </c>
      <c r="T150" s="1">
        <f t="shared" si="16"/>
        <v>2026</v>
      </c>
      <c r="U150" s="1" t="str">
        <f t="shared" si="17"/>
        <v>TW III</v>
      </c>
      <c r="V150" s="1">
        <v>12</v>
      </c>
      <c r="W150" s="1" t="s">
        <v>322</v>
      </c>
      <c r="X150" s="3" t="s">
        <v>381</v>
      </c>
      <c r="Y150" s="3" t="s">
        <v>382</v>
      </c>
      <c r="Z150" s="3" t="s">
        <v>383</v>
      </c>
      <c r="AA150" s="1" t="s">
        <v>45</v>
      </c>
      <c r="AB150" s="3" t="s">
        <v>326</v>
      </c>
      <c r="AC150" s="3" t="s">
        <v>384</v>
      </c>
      <c r="AE150" s="1" t="s">
        <v>385</v>
      </c>
    </row>
    <row r="151" spans="1:31" ht="14.25" customHeight="1" x14ac:dyDescent="0.45">
      <c r="A151" s="1" t="s">
        <v>402</v>
      </c>
      <c r="B151" s="1">
        <v>1</v>
      </c>
      <c r="C151" s="1" t="s">
        <v>33</v>
      </c>
      <c r="F151" s="1" t="str">
        <f t="shared" si="14"/>
        <v>Baseline</v>
      </c>
      <c r="G151" s="1" t="str">
        <f t="shared" si="15"/>
        <v>Y</v>
      </c>
      <c r="H151" s="1" t="s">
        <v>34</v>
      </c>
      <c r="I151" s="1" t="str">
        <f>IFERROR(VLOOKUP(H151,'DATABASE-DRIFT_LATENT_HP_ERROR'!$A$143:$B$160,2,FALSE()),"")</f>
        <v>Work at Height</v>
      </c>
      <c r="J151" s="1" t="s">
        <v>86</v>
      </c>
      <c r="K151" s="1" t="s">
        <v>87</v>
      </c>
      <c r="L151" s="2" t="s">
        <v>364</v>
      </c>
      <c r="N151" s="1">
        <v>1</v>
      </c>
      <c r="P151" s="3" t="s">
        <v>408</v>
      </c>
      <c r="Q151" s="1" t="s">
        <v>57</v>
      </c>
      <c r="R151" s="1" t="s">
        <v>90</v>
      </c>
      <c r="S151" s="16">
        <v>46212</v>
      </c>
      <c r="T151" s="1">
        <f t="shared" si="16"/>
        <v>2026</v>
      </c>
      <c r="U151" s="1" t="str">
        <f t="shared" si="17"/>
        <v>TW III</v>
      </c>
      <c r="V151" s="1">
        <v>12</v>
      </c>
      <c r="W151" s="1" t="s">
        <v>322</v>
      </c>
      <c r="X151" s="3" t="s">
        <v>381</v>
      </c>
      <c r="Y151" s="3" t="s">
        <v>382</v>
      </c>
      <c r="Z151" s="3" t="s">
        <v>383</v>
      </c>
      <c r="AA151" s="1" t="s">
        <v>45</v>
      </c>
      <c r="AB151" s="3" t="s">
        <v>326</v>
      </c>
      <c r="AC151" s="3" t="s">
        <v>384</v>
      </c>
      <c r="AE151" s="1" t="s">
        <v>385</v>
      </c>
    </row>
    <row r="152" spans="1:31" ht="14.25" customHeight="1" x14ac:dyDescent="0.45">
      <c r="A152" s="1" t="s">
        <v>409</v>
      </c>
      <c r="B152" s="1">
        <v>1</v>
      </c>
      <c r="C152" s="1" t="s">
        <v>33</v>
      </c>
      <c r="F152" s="1" t="str">
        <f t="shared" si="14"/>
        <v>Baseline</v>
      </c>
      <c r="G152" s="1" t="str">
        <f t="shared" si="15"/>
        <v>Y</v>
      </c>
      <c r="H152" s="1" t="s">
        <v>410</v>
      </c>
      <c r="I152" s="1" t="str">
        <f>IFERROR(VLOOKUP(H152,'DATABASE-DRIFT_LATENT_HP_ERROR'!$A$143:$B$160,2,FALSE()),"")</f>
        <v>Line of Fire</v>
      </c>
      <c r="J152" s="1" t="s">
        <v>35</v>
      </c>
      <c r="K152" s="1" t="s">
        <v>411</v>
      </c>
      <c r="L152" s="2" t="s">
        <v>412</v>
      </c>
      <c r="M152" s="1">
        <v>1</v>
      </c>
      <c r="Q152" s="1" t="s">
        <v>154</v>
      </c>
      <c r="R152" s="1" t="s">
        <v>412</v>
      </c>
      <c r="S152" s="16">
        <v>46209</v>
      </c>
      <c r="T152" s="1">
        <f t="shared" si="16"/>
        <v>2026</v>
      </c>
      <c r="U152" s="1" t="str">
        <f t="shared" si="17"/>
        <v>TW III</v>
      </c>
      <c r="V152" s="1">
        <v>12</v>
      </c>
      <c r="W152" s="1" t="s">
        <v>322</v>
      </c>
      <c r="X152" s="3" t="s">
        <v>351</v>
      </c>
      <c r="Y152" s="3" t="s">
        <v>352</v>
      </c>
      <c r="Z152" s="3" t="s">
        <v>413</v>
      </c>
      <c r="AA152" s="1" t="s">
        <v>45</v>
      </c>
      <c r="AB152" s="3" t="s">
        <v>326</v>
      </c>
      <c r="AC152" s="3" t="s">
        <v>176</v>
      </c>
      <c r="AD152" s="4" t="s">
        <v>327</v>
      </c>
      <c r="AE152" s="1" t="s">
        <v>328</v>
      </c>
    </row>
    <row r="153" spans="1:31" ht="14.25" customHeight="1" x14ac:dyDescent="0.45">
      <c r="A153" s="1" t="s">
        <v>409</v>
      </c>
      <c r="B153" s="1">
        <v>1</v>
      </c>
      <c r="C153" s="1" t="s">
        <v>33</v>
      </c>
      <c r="F153" s="1" t="str">
        <f t="shared" si="14"/>
        <v>Baseline</v>
      </c>
      <c r="G153" s="1" t="str">
        <f t="shared" si="15"/>
        <v>Y</v>
      </c>
      <c r="H153" s="1" t="s">
        <v>410</v>
      </c>
      <c r="I153" s="1" t="str">
        <f>IFERROR(VLOOKUP(H153,'DATABASE-DRIFT_LATENT_HP_ERROR'!$A$143:$B$160,2,FALSE()),"")</f>
        <v>Line of Fire</v>
      </c>
      <c r="J153" s="1" t="s">
        <v>48</v>
      </c>
      <c r="K153" s="1" t="s">
        <v>414</v>
      </c>
      <c r="L153" s="2" t="s">
        <v>415</v>
      </c>
      <c r="N153" s="1">
        <v>1</v>
      </c>
      <c r="P153" s="3" t="s">
        <v>416</v>
      </c>
      <c r="Q153" s="1" t="s">
        <v>154</v>
      </c>
      <c r="R153" s="1" t="s">
        <v>415</v>
      </c>
      <c r="S153" s="16">
        <v>46209</v>
      </c>
      <c r="T153" s="1">
        <f t="shared" si="16"/>
        <v>2026</v>
      </c>
      <c r="U153" s="1" t="str">
        <f t="shared" si="17"/>
        <v>TW III</v>
      </c>
      <c r="V153" s="1">
        <v>12</v>
      </c>
      <c r="W153" s="1" t="s">
        <v>322</v>
      </c>
      <c r="X153" s="3" t="s">
        <v>351</v>
      </c>
      <c r="Y153" s="3" t="s">
        <v>352</v>
      </c>
      <c r="Z153" s="3" t="s">
        <v>413</v>
      </c>
      <c r="AA153" s="1" t="s">
        <v>45</v>
      </c>
      <c r="AB153" s="3" t="s">
        <v>326</v>
      </c>
      <c r="AC153" s="3" t="s">
        <v>176</v>
      </c>
      <c r="AD153" s="4" t="s">
        <v>327</v>
      </c>
      <c r="AE153" s="1" t="s">
        <v>328</v>
      </c>
    </row>
    <row r="154" spans="1:31" ht="14.25" customHeight="1" x14ac:dyDescent="0.45">
      <c r="A154" s="1" t="s">
        <v>409</v>
      </c>
      <c r="B154" s="1">
        <v>1</v>
      </c>
      <c r="C154" s="1" t="s">
        <v>33</v>
      </c>
      <c r="F154" s="1" t="str">
        <f t="shared" si="14"/>
        <v>Baseline</v>
      </c>
      <c r="G154" s="1" t="str">
        <f t="shared" si="15"/>
        <v>Y</v>
      </c>
      <c r="H154" s="1" t="s">
        <v>410</v>
      </c>
      <c r="I154" s="1" t="str">
        <f>IFERROR(VLOOKUP(H154,'DATABASE-DRIFT_LATENT_HP_ERROR'!$A$143:$B$160,2,FALSE()),"")</f>
        <v>Line of Fire</v>
      </c>
      <c r="J154" s="1" t="s">
        <v>53</v>
      </c>
      <c r="K154" s="1" t="s">
        <v>417</v>
      </c>
      <c r="L154" s="2" t="s">
        <v>418</v>
      </c>
      <c r="N154" s="1">
        <v>1</v>
      </c>
      <c r="P154" s="3" t="s">
        <v>419</v>
      </c>
      <c r="Q154" s="1" t="s">
        <v>154</v>
      </c>
      <c r="R154" s="1" t="s">
        <v>418</v>
      </c>
      <c r="S154" s="16">
        <v>46209</v>
      </c>
      <c r="T154" s="1">
        <f t="shared" si="16"/>
        <v>2026</v>
      </c>
      <c r="U154" s="1" t="str">
        <f t="shared" si="17"/>
        <v>TW III</v>
      </c>
      <c r="V154" s="1">
        <v>12</v>
      </c>
      <c r="W154" s="1" t="s">
        <v>322</v>
      </c>
      <c r="X154" s="3" t="s">
        <v>351</v>
      </c>
      <c r="Y154" s="3" t="s">
        <v>352</v>
      </c>
      <c r="Z154" s="3" t="s">
        <v>413</v>
      </c>
      <c r="AA154" s="1" t="s">
        <v>45</v>
      </c>
      <c r="AB154" s="3" t="s">
        <v>326</v>
      </c>
      <c r="AC154" s="3" t="s">
        <v>176</v>
      </c>
      <c r="AD154" s="4" t="s">
        <v>327</v>
      </c>
      <c r="AE154" s="1" t="s">
        <v>328</v>
      </c>
    </row>
    <row r="155" spans="1:31" ht="14.25" customHeight="1" x14ac:dyDescent="0.45">
      <c r="A155" s="1" t="s">
        <v>409</v>
      </c>
      <c r="B155" s="1">
        <v>1</v>
      </c>
      <c r="C155" s="1" t="s">
        <v>33</v>
      </c>
      <c r="F155" s="1" t="str">
        <f t="shared" si="14"/>
        <v>Baseline</v>
      </c>
      <c r="G155" s="1" t="str">
        <f t="shared" si="15"/>
        <v>Y</v>
      </c>
      <c r="H155" s="1" t="s">
        <v>410</v>
      </c>
      <c r="I155" s="1" t="str">
        <f>IFERROR(VLOOKUP(H155,'DATABASE-DRIFT_LATENT_HP_ERROR'!$A$143:$B$160,2,FALSE()),"")</f>
        <v>Line of Fire</v>
      </c>
      <c r="J155" s="1" t="s">
        <v>59</v>
      </c>
      <c r="K155" s="1" t="s">
        <v>420</v>
      </c>
      <c r="L155" s="2" t="s">
        <v>421</v>
      </c>
      <c r="O155" s="1">
        <v>1</v>
      </c>
      <c r="Q155" s="1" t="s">
        <v>154</v>
      </c>
      <c r="R155" s="1" t="s">
        <v>421</v>
      </c>
      <c r="S155" s="16">
        <v>46209</v>
      </c>
      <c r="T155" s="1">
        <f t="shared" si="16"/>
        <v>2026</v>
      </c>
      <c r="U155" s="1" t="str">
        <f t="shared" si="17"/>
        <v>TW III</v>
      </c>
      <c r="V155" s="1">
        <v>12</v>
      </c>
      <c r="W155" s="1" t="s">
        <v>322</v>
      </c>
      <c r="X155" s="3" t="s">
        <v>351</v>
      </c>
      <c r="Y155" s="3" t="s">
        <v>352</v>
      </c>
      <c r="Z155" s="3" t="s">
        <v>413</v>
      </c>
      <c r="AA155" s="1" t="s">
        <v>45</v>
      </c>
      <c r="AB155" s="3" t="s">
        <v>326</v>
      </c>
      <c r="AC155" s="3" t="s">
        <v>176</v>
      </c>
      <c r="AD155" s="4" t="s">
        <v>327</v>
      </c>
      <c r="AE155" s="1" t="s">
        <v>328</v>
      </c>
    </row>
    <row r="156" spans="1:31" ht="14.25" customHeight="1" x14ac:dyDescent="0.45">
      <c r="A156" s="1" t="s">
        <v>422</v>
      </c>
      <c r="B156" s="1">
        <v>1</v>
      </c>
      <c r="C156" s="1" t="s">
        <v>33</v>
      </c>
      <c r="F156" s="1" t="str">
        <f t="shared" si="14"/>
        <v>Baseline</v>
      </c>
      <c r="G156" s="1" t="str">
        <f t="shared" si="15"/>
        <v>Y</v>
      </c>
      <c r="H156" s="1" t="s">
        <v>423</v>
      </c>
      <c r="I156" s="1" t="str">
        <f>IFERROR(VLOOKUP(H156,'DATABASE-DRIFT_LATENT_HP_ERROR'!$A$143:$B$160,2,FALSE()),"")</f>
        <v>Tools &amp; Equipment</v>
      </c>
      <c r="J156" s="1" t="s">
        <v>35</v>
      </c>
      <c r="K156" s="1" t="s">
        <v>424</v>
      </c>
      <c r="L156" s="2" t="s">
        <v>425</v>
      </c>
      <c r="M156" s="1">
        <v>1</v>
      </c>
      <c r="Q156" s="1" t="s">
        <v>426</v>
      </c>
      <c r="R156" s="1" t="s">
        <v>425</v>
      </c>
      <c r="S156" s="16">
        <v>46209</v>
      </c>
      <c r="T156" s="1">
        <f t="shared" si="16"/>
        <v>2026</v>
      </c>
      <c r="U156" s="1" t="str">
        <f t="shared" si="17"/>
        <v>TW III</v>
      </c>
      <c r="V156" s="1">
        <v>12</v>
      </c>
      <c r="W156" s="1" t="s">
        <v>427</v>
      </c>
      <c r="X156" s="3" t="s">
        <v>428</v>
      </c>
      <c r="Y156" s="3" t="s">
        <v>429</v>
      </c>
      <c r="AA156" s="1" t="s">
        <v>45</v>
      </c>
      <c r="AB156" s="3" t="s">
        <v>326</v>
      </c>
      <c r="AC156" s="3" t="s">
        <v>430</v>
      </c>
    </row>
    <row r="157" spans="1:31" ht="14.25" customHeight="1" x14ac:dyDescent="0.45">
      <c r="A157" s="1" t="s">
        <v>422</v>
      </c>
      <c r="B157" s="1">
        <v>1</v>
      </c>
      <c r="C157" s="1" t="s">
        <v>33</v>
      </c>
      <c r="F157" s="1" t="str">
        <f t="shared" si="14"/>
        <v>Baseline</v>
      </c>
      <c r="G157" s="1" t="str">
        <f t="shared" si="15"/>
        <v>Y</v>
      </c>
      <c r="H157" s="1" t="s">
        <v>423</v>
      </c>
      <c r="I157" s="1" t="str">
        <f>IFERROR(VLOOKUP(H157,'DATABASE-DRIFT_LATENT_HP_ERROR'!$A$143:$B$160,2,FALSE()),"")</f>
        <v>Tools &amp; Equipment</v>
      </c>
      <c r="J157" s="1" t="s">
        <v>48</v>
      </c>
      <c r="K157" s="1" t="s">
        <v>431</v>
      </c>
      <c r="L157" s="2" t="s">
        <v>432</v>
      </c>
      <c r="M157" s="1">
        <v>1</v>
      </c>
      <c r="Q157" s="1" t="s">
        <v>426</v>
      </c>
      <c r="R157" s="1" t="s">
        <v>432</v>
      </c>
      <c r="S157" s="16">
        <v>46209</v>
      </c>
      <c r="T157" s="1">
        <f t="shared" si="16"/>
        <v>2026</v>
      </c>
      <c r="U157" s="1" t="str">
        <f t="shared" si="17"/>
        <v>TW III</v>
      </c>
      <c r="V157" s="1">
        <v>12</v>
      </c>
      <c r="W157" s="1" t="s">
        <v>427</v>
      </c>
      <c r="X157" s="3" t="s">
        <v>428</v>
      </c>
      <c r="Y157" s="3" t="s">
        <v>429</v>
      </c>
      <c r="AA157" s="1" t="s">
        <v>45</v>
      </c>
      <c r="AB157" s="3" t="s">
        <v>326</v>
      </c>
      <c r="AC157" s="3" t="s">
        <v>430</v>
      </c>
    </row>
    <row r="158" spans="1:31" ht="14.25" customHeight="1" x14ac:dyDescent="0.45">
      <c r="A158" s="1" t="s">
        <v>422</v>
      </c>
      <c r="B158" s="1">
        <v>1</v>
      </c>
      <c r="C158" s="1" t="s">
        <v>33</v>
      </c>
      <c r="F158" s="1" t="str">
        <f t="shared" si="14"/>
        <v>Baseline</v>
      </c>
      <c r="G158" s="1" t="str">
        <f t="shared" si="15"/>
        <v>Y</v>
      </c>
      <c r="H158" s="1" t="s">
        <v>423</v>
      </c>
      <c r="I158" s="1" t="str">
        <f>IFERROR(VLOOKUP(H158,'DATABASE-DRIFT_LATENT_HP_ERROR'!$A$143:$B$160,2,FALSE()),"")</f>
        <v>Tools &amp; Equipment</v>
      </c>
      <c r="J158" s="1" t="s">
        <v>53</v>
      </c>
      <c r="K158" s="1" t="s">
        <v>433</v>
      </c>
      <c r="L158" s="2" t="s">
        <v>434</v>
      </c>
      <c r="M158" s="1">
        <v>1</v>
      </c>
      <c r="Q158" s="1" t="s">
        <v>426</v>
      </c>
      <c r="R158" s="1" t="s">
        <v>434</v>
      </c>
      <c r="S158" s="16">
        <v>46209</v>
      </c>
      <c r="T158" s="1">
        <f t="shared" si="16"/>
        <v>2026</v>
      </c>
      <c r="U158" s="1" t="str">
        <f t="shared" si="17"/>
        <v>TW III</v>
      </c>
      <c r="V158" s="1">
        <v>12</v>
      </c>
      <c r="W158" s="1" t="s">
        <v>427</v>
      </c>
      <c r="X158" s="3" t="s">
        <v>428</v>
      </c>
      <c r="Y158" s="3" t="s">
        <v>429</v>
      </c>
      <c r="AA158" s="1" t="s">
        <v>45</v>
      </c>
      <c r="AB158" s="3" t="s">
        <v>326</v>
      </c>
      <c r="AC158" s="3" t="s">
        <v>430</v>
      </c>
    </row>
    <row r="159" spans="1:31" ht="14.25" customHeight="1" x14ac:dyDescent="0.45">
      <c r="A159" s="1" t="s">
        <v>422</v>
      </c>
      <c r="B159" s="1">
        <v>1</v>
      </c>
      <c r="C159" s="1" t="s">
        <v>33</v>
      </c>
      <c r="F159" s="1" t="str">
        <f t="shared" si="14"/>
        <v>Baseline</v>
      </c>
      <c r="G159" s="1" t="str">
        <f t="shared" si="15"/>
        <v>Y</v>
      </c>
      <c r="H159" s="1" t="s">
        <v>423</v>
      </c>
      <c r="I159" s="1" t="str">
        <f>IFERROR(VLOOKUP(H159,'DATABASE-DRIFT_LATENT_HP_ERROR'!$A$143:$B$160,2,FALSE()),"")</f>
        <v>Tools &amp; Equipment</v>
      </c>
      <c r="J159" s="1" t="s">
        <v>59</v>
      </c>
      <c r="K159" s="1" t="s">
        <v>435</v>
      </c>
      <c r="L159" s="2" t="s">
        <v>436</v>
      </c>
      <c r="M159" s="1">
        <v>1</v>
      </c>
      <c r="Q159" s="1" t="s">
        <v>426</v>
      </c>
      <c r="R159" s="1" t="s">
        <v>436</v>
      </c>
      <c r="S159" s="16">
        <v>46209</v>
      </c>
      <c r="T159" s="1">
        <f t="shared" si="16"/>
        <v>2026</v>
      </c>
      <c r="U159" s="1" t="str">
        <f t="shared" si="17"/>
        <v>TW III</v>
      </c>
      <c r="V159" s="1">
        <v>12</v>
      </c>
      <c r="W159" s="1" t="s">
        <v>427</v>
      </c>
      <c r="X159" s="3" t="s">
        <v>428</v>
      </c>
      <c r="Y159" s="3" t="s">
        <v>429</v>
      </c>
      <c r="AA159" s="1" t="s">
        <v>45</v>
      </c>
      <c r="AB159" s="3" t="s">
        <v>326</v>
      </c>
      <c r="AC159" s="3" t="s">
        <v>430</v>
      </c>
    </row>
    <row r="160" spans="1:31" ht="21" customHeight="1" x14ac:dyDescent="0.45">
      <c r="A160" s="2" t="s">
        <v>437</v>
      </c>
      <c r="B160" s="1">
        <v>1</v>
      </c>
      <c r="C160" s="1" t="s">
        <v>33</v>
      </c>
      <c r="F160" s="1" t="str">
        <f t="shared" si="14"/>
        <v>Baseline</v>
      </c>
      <c r="G160" s="1" t="str">
        <f t="shared" si="15"/>
        <v>Y</v>
      </c>
      <c r="H160" s="2" t="s">
        <v>292</v>
      </c>
      <c r="I160" s="2" t="str">
        <f>IFERROR(VLOOKUP(H160,'DATABASE-DRIFT_LATENT_HP_ERROR'!$A$143:$B$160,2,FALSE()),"")</f>
        <v>Hot Work</v>
      </c>
      <c r="J160" s="2" t="s">
        <v>35</v>
      </c>
      <c r="K160" s="2" t="s">
        <v>293</v>
      </c>
      <c r="L160" s="2" t="s">
        <v>294</v>
      </c>
      <c r="M160" s="2">
        <v>1</v>
      </c>
      <c r="N160" s="2"/>
      <c r="O160" s="2"/>
      <c r="P160" s="18"/>
      <c r="Q160" s="2" t="s">
        <v>296</v>
      </c>
      <c r="R160" s="2" t="s">
        <v>297</v>
      </c>
      <c r="S160" s="16">
        <v>46209</v>
      </c>
      <c r="T160" s="1">
        <f t="shared" si="16"/>
        <v>2026</v>
      </c>
      <c r="U160" s="1" t="str">
        <f t="shared" si="17"/>
        <v>TW III</v>
      </c>
      <c r="V160" s="1">
        <v>12</v>
      </c>
      <c r="W160" s="2" t="s">
        <v>427</v>
      </c>
      <c r="X160" s="18" t="s">
        <v>438</v>
      </c>
      <c r="Y160" s="18" t="s">
        <v>439</v>
      </c>
      <c r="Z160" s="18" t="s">
        <v>440</v>
      </c>
      <c r="AA160" s="1" t="s">
        <v>45</v>
      </c>
      <c r="AB160" s="3" t="s">
        <v>326</v>
      </c>
      <c r="AC160" s="3" t="s">
        <v>430</v>
      </c>
    </row>
    <row r="161" spans="1:31" ht="21" customHeight="1" x14ac:dyDescent="0.45">
      <c r="A161" s="2" t="s">
        <v>437</v>
      </c>
      <c r="B161" s="1">
        <v>1</v>
      </c>
      <c r="C161" s="1" t="s">
        <v>33</v>
      </c>
      <c r="F161" s="1" t="str">
        <f t="shared" si="14"/>
        <v>Baseline</v>
      </c>
      <c r="G161" s="1" t="str">
        <f t="shared" si="15"/>
        <v>Y</v>
      </c>
      <c r="H161" s="2" t="s">
        <v>292</v>
      </c>
      <c r="I161" s="2" t="str">
        <f>IFERROR(VLOOKUP(H161,'DATABASE-DRIFT_LATENT_HP_ERROR'!$A$143:$B$160,2,FALSE()),"")</f>
        <v>Hot Work</v>
      </c>
      <c r="J161" s="2" t="s">
        <v>48</v>
      </c>
      <c r="K161" s="2" t="s">
        <v>300</v>
      </c>
      <c r="L161" s="2" t="s">
        <v>301</v>
      </c>
      <c r="M161" s="2">
        <v>1</v>
      </c>
      <c r="N161" s="2"/>
      <c r="O161" s="2"/>
      <c r="P161" s="18"/>
      <c r="Q161" s="2" t="s">
        <v>302</v>
      </c>
      <c r="R161" s="2" t="s">
        <v>303</v>
      </c>
      <c r="S161" s="16">
        <v>46209</v>
      </c>
      <c r="T161" s="1">
        <f t="shared" si="16"/>
        <v>2026</v>
      </c>
      <c r="U161" s="1" t="str">
        <f t="shared" si="17"/>
        <v>TW III</v>
      </c>
      <c r="V161" s="1">
        <v>12</v>
      </c>
      <c r="W161" s="2" t="s">
        <v>427</v>
      </c>
      <c r="X161" s="18" t="s">
        <v>438</v>
      </c>
      <c r="Y161" s="18" t="s">
        <v>439</v>
      </c>
      <c r="Z161" s="18" t="s">
        <v>440</v>
      </c>
      <c r="AA161" s="1" t="s">
        <v>45</v>
      </c>
      <c r="AB161" s="3" t="s">
        <v>326</v>
      </c>
      <c r="AC161" s="3" t="s">
        <v>430</v>
      </c>
    </row>
    <row r="162" spans="1:31" ht="21" customHeight="1" x14ac:dyDescent="0.45">
      <c r="A162" s="2" t="s">
        <v>437</v>
      </c>
      <c r="B162" s="1">
        <v>1</v>
      </c>
      <c r="C162" s="1" t="s">
        <v>33</v>
      </c>
      <c r="F162" s="1" t="str">
        <f t="shared" si="14"/>
        <v>Baseline</v>
      </c>
      <c r="G162" s="1" t="str">
        <f t="shared" si="15"/>
        <v>Y</v>
      </c>
      <c r="H162" s="2" t="s">
        <v>292</v>
      </c>
      <c r="I162" s="2" t="str">
        <f>IFERROR(VLOOKUP(H162,'DATABASE-DRIFT_LATENT_HP_ERROR'!$A$143:$B$160,2,FALSE()),"")</f>
        <v>Hot Work</v>
      </c>
      <c r="J162" s="2" t="s">
        <v>53</v>
      </c>
      <c r="K162" s="2" t="s">
        <v>304</v>
      </c>
      <c r="L162" s="2" t="s">
        <v>305</v>
      </c>
      <c r="M162" s="2">
        <v>1</v>
      </c>
      <c r="N162" s="2"/>
      <c r="O162" s="2"/>
      <c r="P162" s="18"/>
      <c r="Q162" s="2" t="s">
        <v>302</v>
      </c>
      <c r="R162" s="2" t="s">
        <v>307</v>
      </c>
      <c r="S162" s="16">
        <v>46209</v>
      </c>
      <c r="T162" s="1">
        <f t="shared" si="16"/>
        <v>2026</v>
      </c>
      <c r="U162" s="1" t="str">
        <f t="shared" si="17"/>
        <v>TW III</v>
      </c>
      <c r="V162" s="1">
        <v>12</v>
      </c>
      <c r="W162" s="2" t="s">
        <v>427</v>
      </c>
      <c r="X162" s="18" t="s">
        <v>438</v>
      </c>
      <c r="Y162" s="18" t="s">
        <v>439</v>
      </c>
      <c r="Z162" s="18" t="s">
        <v>440</v>
      </c>
      <c r="AA162" s="1" t="s">
        <v>45</v>
      </c>
      <c r="AB162" s="3" t="s">
        <v>326</v>
      </c>
      <c r="AC162" s="3" t="s">
        <v>430</v>
      </c>
    </row>
    <row r="163" spans="1:31" ht="21" customHeight="1" x14ac:dyDescent="0.45">
      <c r="A163" s="2" t="s">
        <v>437</v>
      </c>
      <c r="B163" s="1">
        <v>1</v>
      </c>
      <c r="C163" s="1" t="s">
        <v>33</v>
      </c>
      <c r="F163" s="1" t="str">
        <f t="shared" si="14"/>
        <v>Baseline</v>
      </c>
      <c r="G163" s="1" t="str">
        <f t="shared" si="15"/>
        <v>Y</v>
      </c>
      <c r="H163" s="2" t="s">
        <v>292</v>
      </c>
      <c r="I163" s="2" t="str">
        <f>IFERROR(VLOOKUP(H163,'DATABASE-DRIFT_LATENT_HP_ERROR'!$A$143:$B$160,2,FALSE()),"")</f>
        <v>Hot Work</v>
      </c>
      <c r="J163" s="2" t="s">
        <v>59</v>
      </c>
      <c r="K163" s="2" t="s">
        <v>308</v>
      </c>
      <c r="L163" s="2" t="s">
        <v>309</v>
      </c>
      <c r="M163" s="2"/>
      <c r="N163" s="2"/>
      <c r="O163" s="2">
        <v>1</v>
      </c>
      <c r="P163" s="18" t="s">
        <v>441</v>
      </c>
      <c r="Q163" s="2" t="s">
        <v>296</v>
      </c>
      <c r="R163" s="2" t="s">
        <v>309</v>
      </c>
      <c r="S163" s="16">
        <v>46209</v>
      </c>
      <c r="T163" s="1">
        <f t="shared" si="16"/>
        <v>2026</v>
      </c>
      <c r="U163" s="1" t="str">
        <f t="shared" si="17"/>
        <v>TW III</v>
      </c>
      <c r="V163" s="1">
        <v>12</v>
      </c>
      <c r="W163" s="2" t="s">
        <v>427</v>
      </c>
      <c r="X163" s="18" t="s">
        <v>438</v>
      </c>
      <c r="Y163" s="18" t="s">
        <v>439</v>
      </c>
      <c r="Z163" s="18" t="s">
        <v>440</v>
      </c>
      <c r="AA163" s="1" t="s">
        <v>45</v>
      </c>
      <c r="AB163" s="3" t="s">
        <v>326</v>
      </c>
      <c r="AC163" s="3" t="s">
        <v>430</v>
      </c>
    </row>
    <row r="164" spans="1:31" ht="21" customHeight="1" x14ac:dyDescent="0.45">
      <c r="A164" s="2" t="s">
        <v>437</v>
      </c>
      <c r="B164" s="1">
        <v>1</v>
      </c>
      <c r="C164" s="1" t="s">
        <v>33</v>
      </c>
      <c r="F164" s="1" t="str">
        <f t="shared" si="14"/>
        <v>Baseline</v>
      </c>
      <c r="G164" s="1" t="str">
        <f t="shared" si="15"/>
        <v>Y</v>
      </c>
      <c r="H164" s="2" t="s">
        <v>292</v>
      </c>
      <c r="I164" s="2" t="str">
        <f>IFERROR(VLOOKUP(H164,'DATABASE-DRIFT_LATENT_HP_ERROR'!$A$143:$B$160,2,FALSE()),"")</f>
        <v>Hot Work</v>
      </c>
      <c r="J164" s="2" t="s">
        <v>64</v>
      </c>
      <c r="K164" s="2" t="s">
        <v>311</v>
      </c>
      <c r="L164" s="2" t="s">
        <v>312</v>
      </c>
      <c r="M164" s="2"/>
      <c r="N164" s="2"/>
      <c r="O164" s="2">
        <v>1</v>
      </c>
      <c r="P164" s="18"/>
      <c r="Q164" s="2" t="s">
        <v>302</v>
      </c>
      <c r="R164" s="2" t="s">
        <v>313</v>
      </c>
      <c r="S164" s="16">
        <v>46209</v>
      </c>
      <c r="T164" s="1">
        <f t="shared" si="16"/>
        <v>2026</v>
      </c>
      <c r="U164" s="1" t="str">
        <f t="shared" si="17"/>
        <v>TW III</v>
      </c>
      <c r="V164" s="1">
        <v>12</v>
      </c>
      <c r="W164" s="2" t="s">
        <v>427</v>
      </c>
      <c r="X164" s="18" t="s">
        <v>438</v>
      </c>
      <c r="Y164" s="18" t="s">
        <v>439</v>
      </c>
      <c r="Z164" s="18" t="s">
        <v>440</v>
      </c>
      <c r="AA164" s="1" t="s">
        <v>45</v>
      </c>
      <c r="AB164" s="3" t="s">
        <v>326</v>
      </c>
      <c r="AC164" s="3" t="s">
        <v>430</v>
      </c>
    </row>
    <row r="165" spans="1:31" ht="21" customHeight="1" x14ac:dyDescent="0.45">
      <c r="A165" s="2" t="s">
        <v>437</v>
      </c>
      <c r="B165" s="1">
        <v>1</v>
      </c>
      <c r="C165" s="1" t="s">
        <v>33</v>
      </c>
      <c r="F165" s="1" t="str">
        <f t="shared" si="14"/>
        <v>Baseline</v>
      </c>
      <c r="G165" s="1" t="str">
        <f t="shared" si="15"/>
        <v>Y</v>
      </c>
      <c r="H165" s="2" t="s">
        <v>292</v>
      </c>
      <c r="I165" s="2" t="str">
        <f>IFERROR(VLOOKUP(H165,'DATABASE-DRIFT_LATENT_HP_ERROR'!$A$143:$B$160,2,FALSE()),"")</f>
        <v>Hot Work</v>
      </c>
      <c r="J165" s="2" t="s">
        <v>69</v>
      </c>
      <c r="K165" s="2" t="s">
        <v>314</v>
      </c>
      <c r="L165" s="2" t="s">
        <v>315</v>
      </c>
      <c r="M165" s="2"/>
      <c r="N165" s="2">
        <v>1</v>
      </c>
      <c r="O165" s="2"/>
      <c r="P165" s="18" t="s">
        <v>442</v>
      </c>
      <c r="Q165" s="2" t="s">
        <v>302</v>
      </c>
      <c r="R165" s="2" t="s">
        <v>317</v>
      </c>
      <c r="S165" s="16">
        <v>46209</v>
      </c>
      <c r="T165" s="1">
        <f t="shared" si="16"/>
        <v>2026</v>
      </c>
      <c r="U165" s="1" t="str">
        <f t="shared" si="17"/>
        <v>TW III</v>
      </c>
      <c r="V165" s="1">
        <v>12</v>
      </c>
      <c r="W165" s="2" t="s">
        <v>427</v>
      </c>
      <c r="X165" s="18" t="s">
        <v>438</v>
      </c>
      <c r="Y165" s="18" t="s">
        <v>439</v>
      </c>
      <c r="Z165" s="18" t="s">
        <v>440</v>
      </c>
      <c r="AA165" s="1" t="s">
        <v>45</v>
      </c>
      <c r="AB165" s="3" t="s">
        <v>326</v>
      </c>
      <c r="AC165" s="3" t="s">
        <v>430</v>
      </c>
    </row>
    <row r="166" spans="1:31" ht="21" customHeight="1" x14ac:dyDescent="0.45">
      <c r="A166" s="2" t="s">
        <v>437</v>
      </c>
      <c r="B166" s="1">
        <v>1</v>
      </c>
      <c r="C166" s="1" t="s">
        <v>33</v>
      </c>
      <c r="F166" s="1" t="str">
        <f t="shared" si="14"/>
        <v>Baseline</v>
      </c>
      <c r="G166" s="1" t="str">
        <f t="shared" si="15"/>
        <v>Y</v>
      </c>
      <c r="H166" s="2" t="s">
        <v>292</v>
      </c>
      <c r="I166" s="2" t="str">
        <f>IFERROR(VLOOKUP(H166,'DATABASE-DRIFT_LATENT_HP_ERROR'!$A$143:$B$160,2,FALSE()),"")</f>
        <v>Hot Work</v>
      </c>
      <c r="J166" s="2" t="s">
        <v>75</v>
      </c>
      <c r="K166" s="2" t="s">
        <v>318</v>
      </c>
      <c r="L166" s="2" t="s">
        <v>319</v>
      </c>
      <c r="M166" s="2"/>
      <c r="N166" s="2"/>
      <c r="O166" s="2">
        <v>1</v>
      </c>
      <c r="P166" s="18"/>
      <c r="Q166" s="2" t="s">
        <v>296</v>
      </c>
      <c r="R166" s="2" t="s">
        <v>320</v>
      </c>
      <c r="S166" s="16">
        <v>46209</v>
      </c>
      <c r="T166" s="1">
        <f t="shared" si="16"/>
        <v>2026</v>
      </c>
      <c r="U166" s="1" t="str">
        <f t="shared" si="17"/>
        <v>TW III</v>
      </c>
      <c r="V166" s="1">
        <v>12</v>
      </c>
      <c r="W166" s="2" t="s">
        <v>427</v>
      </c>
      <c r="X166" s="18" t="s">
        <v>438</v>
      </c>
      <c r="Y166" s="18" t="s">
        <v>439</v>
      </c>
      <c r="Z166" s="18" t="s">
        <v>440</v>
      </c>
      <c r="AA166" s="1" t="s">
        <v>45</v>
      </c>
      <c r="AB166" s="3" t="s">
        <v>326</v>
      </c>
      <c r="AC166" s="3" t="s">
        <v>430</v>
      </c>
    </row>
    <row r="167" spans="1:31" ht="14.25" customHeight="1" x14ac:dyDescent="0.45">
      <c r="A167" s="1" t="s">
        <v>443</v>
      </c>
      <c r="B167" s="1">
        <v>1</v>
      </c>
      <c r="C167" s="1" t="s">
        <v>33</v>
      </c>
      <c r="F167" s="1" t="str">
        <f t="shared" si="14"/>
        <v>Baseline</v>
      </c>
      <c r="G167" s="1" t="str">
        <f t="shared" si="15"/>
        <v>Y</v>
      </c>
      <c r="H167" s="1" t="s">
        <v>92</v>
      </c>
      <c r="I167" s="1" t="str">
        <f>IFERROR(VLOOKUP(H167,'DATABASE-DRIFT_LATENT_HP_ERROR'!$A$143:$B$160,2,FALSE()),"")</f>
        <v>Powered System / Isolation of Hazardous Energy</v>
      </c>
      <c r="J167" s="1" t="s">
        <v>35</v>
      </c>
      <c r="K167" s="1" t="s">
        <v>93</v>
      </c>
      <c r="L167" s="2" t="s">
        <v>395</v>
      </c>
      <c r="N167" s="1">
        <v>1</v>
      </c>
      <c r="P167" s="3" t="s">
        <v>444</v>
      </c>
      <c r="Q167" s="1" t="s">
        <v>96</v>
      </c>
      <c r="R167" s="1" t="s">
        <v>97</v>
      </c>
      <c r="S167" s="16">
        <v>46212</v>
      </c>
      <c r="T167" s="1">
        <f t="shared" si="16"/>
        <v>2026</v>
      </c>
      <c r="U167" s="1" t="str">
        <f t="shared" si="17"/>
        <v>TW III</v>
      </c>
      <c r="V167" s="1">
        <v>12</v>
      </c>
      <c r="W167" s="1" t="s">
        <v>322</v>
      </c>
      <c r="X167" s="3" t="s">
        <v>445</v>
      </c>
      <c r="Y167" s="3" t="s">
        <v>446</v>
      </c>
      <c r="Z167" s="3" t="s">
        <v>447</v>
      </c>
      <c r="AA167" s="1" t="s">
        <v>45</v>
      </c>
      <c r="AB167" s="3" t="s">
        <v>326</v>
      </c>
      <c r="AC167" s="3" t="s">
        <v>384</v>
      </c>
      <c r="AE167" s="1" t="s">
        <v>385</v>
      </c>
    </row>
    <row r="168" spans="1:31" ht="14.25" customHeight="1" x14ac:dyDescent="0.45">
      <c r="A168" s="1" t="s">
        <v>443</v>
      </c>
      <c r="B168" s="1">
        <v>1</v>
      </c>
      <c r="C168" s="1" t="s">
        <v>33</v>
      </c>
      <c r="F168" s="1" t="str">
        <f t="shared" si="14"/>
        <v>Baseline</v>
      </c>
      <c r="G168" s="1" t="str">
        <f t="shared" si="15"/>
        <v>Y</v>
      </c>
      <c r="H168" s="1" t="s">
        <v>92</v>
      </c>
      <c r="I168" s="1" t="str">
        <f>IFERROR(VLOOKUP(H168,'DATABASE-DRIFT_LATENT_HP_ERROR'!$A$143:$B$160,2,FALSE()),"")</f>
        <v>Powered System / Isolation of Hazardous Energy</v>
      </c>
      <c r="J168" s="1" t="s">
        <v>48</v>
      </c>
      <c r="K168" s="1" t="s">
        <v>100</v>
      </c>
      <c r="L168" s="2" t="s">
        <v>396</v>
      </c>
      <c r="M168" s="1">
        <v>1</v>
      </c>
      <c r="Q168" s="1" t="s">
        <v>96</v>
      </c>
      <c r="R168" s="1" t="s">
        <v>103</v>
      </c>
      <c r="S168" s="16">
        <v>46212</v>
      </c>
      <c r="T168" s="1">
        <f t="shared" si="16"/>
        <v>2026</v>
      </c>
      <c r="U168" s="1" t="str">
        <f t="shared" si="17"/>
        <v>TW III</v>
      </c>
      <c r="V168" s="1">
        <v>12</v>
      </c>
      <c r="W168" s="1" t="s">
        <v>322</v>
      </c>
      <c r="X168" s="3" t="s">
        <v>445</v>
      </c>
      <c r="Y168" s="3" t="s">
        <v>446</v>
      </c>
      <c r="Z168" s="3" t="s">
        <v>447</v>
      </c>
      <c r="AA168" s="1" t="s">
        <v>45</v>
      </c>
      <c r="AB168" s="3" t="s">
        <v>326</v>
      </c>
      <c r="AC168" s="3" t="s">
        <v>384</v>
      </c>
      <c r="AE168" s="1" t="s">
        <v>385</v>
      </c>
    </row>
    <row r="169" spans="1:31" ht="14.25" customHeight="1" x14ac:dyDescent="0.45">
      <c r="A169" s="1" t="s">
        <v>443</v>
      </c>
      <c r="B169" s="1">
        <v>1</v>
      </c>
      <c r="C169" s="1" t="s">
        <v>33</v>
      </c>
      <c r="F169" s="1" t="str">
        <f t="shared" si="14"/>
        <v>Baseline</v>
      </c>
      <c r="G169" s="1" t="str">
        <f t="shared" si="15"/>
        <v>Y</v>
      </c>
      <c r="H169" s="1" t="s">
        <v>92</v>
      </c>
      <c r="I169" s="1" t="str">
        <f>IFERROR(VLOOKUP(H169,'DATABASE-DRIFT_LATENT_HP_ERROR'!$A$143:$B$160,2,FALSE()),"")</f>
        <v>Powered System / Isolation of Hazardous Energy</v>
      </c>
      <c r="J169" s="1" t="s">
        <v>53</v>
      </c>
      <c r="K169" s="1" t="s">
        <v>104</v>
      </c>
      <c r="L169" s="2" t="s">
        <v>397</v>
      </c>
      <c r="N169" s="1">
        <v>1</v>
      </c>
      <c r="P169" s="3" t="s">
        <v>448</v>
      </c>
      <c r="Q169" s="1" t="s">
        <v>57</v>
      </c>
      <c r="R169" s="1" t="s">
        <v>107</v>
      </c>
      <c r="S169" s="16">
        <v>46212</v>
      </c>
      <c r="T169" s="1">
        <f t="shared" si="16"/>
        <v>2026</v>
      </c>
      <c r="U169" s="1" t="str">
        <f t="shared" si="17"/>
        <v>TW III</v>
      </c>
      <c r="V169" s="1">
        <v>12</v>
      </c>
      <c r="W169" s="1" t="s">
        <v>322</v>
      </c>
      <c r="X169" s="3" t="s">
        <v>445</v>
      </c>
      <c r="Y169" s="3" t="s">
        <v>446</v>
      </c>
      <c r="Z169" s="3" t="s">
        <v>447</v>
      </c>
      <c r="AA169" s="1" t="s">
        <v>45</v>
      </c>
      <c r="AB169" s="3" t="s">
        <v>326</v>
      </c>
      <c r="AC169" s="3" t="s">
        <v>384</v>
      </c>
      <c r="AE169" s="1" t="s">
        <v>385</v>
      </c>
    </row>
    <row r="170" spans="1:31" ht="14.25" customHeight="1" x14ac:dyDescent="0.45">
      <c r="A170" s="1" t="s">
        <v>443</v>
      </c>
      <c r="B170" s="1">
        <v>1</v>
      </c>
      <c r="C170" s="1" t="s">
        <v>33</v>
      </c>
      <c r="F170" s="1" t="str">
        <f t="shared" si="14"/>
        <v>Baseline</v>
      </c>
      <c r="G170" s="1" t="str">
        <f t="shared" si="15"/>
        <v>Y</v>
      </c>
      <c r="H170" s="1" t="s">
        <v>92</v>
      </c>
      <c r="I170" s="1" t="str">
        <f>IFERROR(VLOOKUP(H170,'DATABASE-DRIFT_LATENT_HP_ERROR'!$A$143:$B$160,2,FALSE()),"")</f>
        <v>Powered System / Isolation of Hazardous Energy</v>
      </c>
      <c r="J170" s="1" t="s">
        <v>59</v>
      </c>
      <c r="K170" s="1" t="s">
        <v>108</v>
      </c>
      <c r="L170" s="2" t="s">
        <v>399</v>
      </c>
      <c r="M170" s="1">
        <v>1</v>
      </c>
      <c r="Q170" s="1" t="s">
        <v>57</v>
      </c>
      <c r="R170" s="1" t="s">
        <v>111</v>
      </c>
      <c r="S170" s="16">
        <v>46212</v>
      </c>
      <c r="T170" s="1">
        <f t="shared" si="16"/>
        <v>2026</v>
      </c>
      <c r="U170" s="1" t="str">
        <f t="shared" si="17"/>
        <v>TW III</v>
      </c>
      <c r="V170" s="1">
        <v>12</v>
      </c>
      <c r="W170" s="1" t="s">
        <v>322</v>
      </c>
      <c r="X170" s="3" t="s">
        <v>445</v>
      </c>
      <c r="Y170" s="3" t="s">
        <v>446</v>
      </c>
      <c r="Z170" s="3" t="s">
        <v>447</v>
      </c>
      <c r="AA170" s="1" t="s">
        <v>45</v>
      </c>
      <c r="AB170" s="3" t="s">
        <v>326</v>
      </c>
      <c r="AC170" s="3" t="s">
        <v>384</v>
      </c>
      <c r="AE170" s="1" t="s">
        <v>385</v>
      </c>
    </row>
    <row r="171" spans="1:31" ht="14.25" customHeight="1" x14ac:dyDescent="0.45">
      <c r="A171" s="1" t="s">
        <v>443</v>
      </c>
      <c r="B171" s="1">
        <v>1</v>
      </c>
      <c r="C171" s="1" t="s">
        <v>33</v>
      </c>
      <c r="F171" s="1" t="str">
        <f t="shared" si="14"/>
        <v>Baseline</v>
      </c>
      <c r="G171" s="1" t="str">
        <f t="shared" si="15"/>
        <v>Y</v>
      </c>
      <c r="H171" s="1" t="s">
        <v>92</v>
      </c>
      <c r="I171" s="1" t="str">
        <f>IFERROR(VLOOKUP(H171,'DATABASE-DRIFT_LATENT_HP_ERROR'!$A$143:$B$160,2,FALSE()),"")</f>
        <v>Powered System / Isolation of Hazardous Energy</v>
      </c>
      <c r="J171" s="1" t="s">
        <v>64</v>
      </c>
      <c r="K171" s="1" t="s">
        <v>112</v>
      </c>
      <c r="L171" s="2" t="s">
        <v>115</v>
      </c>
      <c r="M171" s="1">
        <v>1</v>
      </c>
      <c r="Q171" s="1" t="s">
        <v>96</v>
      </c>
      <c r="R171" s="1" t="s">
        <v>115</v>
      </c>
      <c r="S171" s="16">
        <v>46212</v>
      </c>
      <c r="T171" s="1">
        <f t="shared" si="16"/>
        <v>2026</v>
      </c>
      <c r="U171" s="1" t="str">
        <f t="shared" si="17"/>
        <v>TW III</v>
      </c>
      <c r="V171" s="1">
        <v>12</v>
      </c>
      <c r="W171" s="1" t="s">
        <v>322</v>
      </c>
      <c r="X171" s="3" t="s">
        <v>445</v>
      </c>
      <c r="Y171" s="3" t="s">
        <v>446</v>
      </c>
      <c r="Z171" s="3" t="s">
        <v>447</v>
      </c>
      <c r="AA171" s="1" t="s">
        <v>45</v>
      </c>
      <c r="AB171" s="3" t="s">
        <v>326</v>
      </c>
      <c r="AC171" s="3" t="s">
        <v>384</v>
      </c>
      <c r="AE171" s="1" t="s">
        <v>385</v>
      </c>
    </row>
    <row r="172" spans="1:31" ht="14.25" customHeight="1" x14ac:dyDescent="0.45">
      <c r="A172" s="1" t="s">
        <v>443</v>
      </c>
      <c r="B172" s="1">
        <v>1</v>
      </c>
      <c r="C172" s="1" t="s">
        <v>33</v>
      </c>
      <c r="F172" s="1" t="str">
        <f t="shared" si="14"/>
        <v>Baseline</v>
      </c>
      <c r="G172" s="1" t="str">
        <f t="shared" si="15"/>
        <v>Y</v>
      </c>
      <c r="H172" s="1" t="s">
        <v>92</v>
      </c>
      <c r="I172" s="1" t="str">
        <f>IFERROR(VLOOKUP(H172,'DATABASE-DRIFT_LATENT_HP_ERROR'!$A$143:$B$160,2,FALSE()),"")</f>
        <v>Powered System / Isolation of Hazardous Energy</v>
      </c>
      <c r="J172" s="1" t="s">
        <v>69</v>
      </c>
      <c r="K172" s="1" t="s">
        <v>116</v>
      </c>
      <c r="L172" s="2" t="s">
        <v>119</v>
      </c>
      <c r="N172" s="1">
        <v>1</v>
      </c>
      <c r="P172" s="3" t="s">
        <v>449</v>
      </c>
      <c r="Q172" s="1" t="s">
        <v>96</v>
      </c>
      <c r="R172" s="1" t="s">
        <v>119</v>
      </c>
      <c r="S172" s="16">
        <v>46212</v>
      </c>
      <c r="T172" s="1">
        <f t="shared" si="16"/>
        <v>2026</v>
      </c>
      <c r="U172" s="1" t="str">
        <f t="shared" si="17"/>
        <v>TW III</v>
      </c>
      <c r="V172" s="1">
        <v>12</v>
      </c>
      <c r="W172" s="1" t="s">
        <v>322</v>
      </c>
      <c r="X172" s="3" t="s">
        <v>445</v>
      </c>
      <c r="Y172" s="3" t="s">
        <v>446</v>
      </c>
      <c r="Z172" s="3" t="s">
        <v>447</v>
      </c>
      <c r="AA172" s="1" t="s">
        <v>45</v>
      </c>
      <c r="AB172" s="3" t="s">
        <v>326</v>
      </c>
      <c r="AC172" s="3" t="s">
        <v>384</v>
      </c>
      <c r="AE172" s="1" t="s">
        <v>385</v>
      </c>
    </row>
    <row r="173" spans="1:31" ht="14.25" customHeight="1" x14ac:dyDescent="0.45">
      <c r="A173" s="1" t="s">
        <v>443</v>
      </c>
      <c r="B173" s="1">
        <v>1</v>
      </c>
      <c r="C173" s="1" t="s">
        <v>33</v>
      </c>
      <c r="F173" s="1" t="str">
        <f t="shared" si="14"/>
        <v>Baseline</v>
      </c>
      <c r="G173" s="1" t="str">
        <f t="shared" si="15"/>
        <v>Y</v>
      </c>
      <c r="H173" s="1" t="s">
        <v>92</v>
      </c>
      <c r="I173" s="1" t="str">
        <f>IFERROR(VLOOKUP(H173,'DATABASE-DRIFT_LATENT_HP_ERROR'!$A$143:$B$160,2,FALSE()),"")</f>
        <v>Powered System / Isolation of Hazardous Energy</v>
      </c>
      <c r="J173" s="1" t="s">
        <v>75</v>
      </c>
      <c r="K173" s="1" t="s">
        <v>120</v>
      </c>
      <c r="L173" s="2" t="s">
        <v>400</v>
      </c>
      <c r="M173" s="1">
        <v>1</v>
      </c>
      <c r="Q173" s="1" t="s">
        <v>96</v>
      </c>
      <c r="R173" s="1" t="s">
        <v>123</v>
      </c>
      <c r="S173" s="16">
        <v>46212</v>
      </c>
      <c r="T173" s="1">
        <f t="shared" si="16"/>
        <v>2026</v>
      </c>
      <c r="U173" s="1" t="str">
        <f t="shared" si="17"/>
        <v>TW III</v>
      </c>
      <c r="V173" s="1">
        <v>12</v>
      </c>
      <c r="W173" s="1" t="s">
        <v>322</v>
      </c>
      <c r="X173" s="3" t="s">
        <v>445</v>
      </c>
      <c r="Y173" s="3" t="s">
        <v>446</v>
      </c>
      <c r="Z173" s="3" t="s">
        <v>447</v>
      </c>
      <c r="AA173" s="1" t="s">
        <v>45</v>
      </c>
      <c r="AB173" s="3" t="s">
        <v>326</v>
      </c>
      <c r="AC173" s="3" t="s">
        <v>384</v>
      </c>
      <c r="AE173" s="1" t="s">
        <v>385</v>
      </c>
    </row>
    <row r="174" spans="1:31" ht="14.25" customHeight="1" x14ac:dyDescent="0.45">
      <c r="A174" s="1" t="s">
        <v>443</v>
      </c>
      <c r="B174" s="1">
        <v>1</v>
      </c>
      <c r="C174" s="1" t="s">
        <v>33</v>
      </c>
      <c r="F174" s="1" t="str">
        <f t="shared" si="14"/>
        <v>Baseline</v>
      </c>
      <c r="G174" s="1" t="str">
        <f t="shared" si="15"/>
        <v>Y</v>
      </c>
      <c r="H174" s="1" t="s">
        <v>92</v>
      </c>
      <c r="I174" s="1" t="str">
        <f>IFERROR(VLOOKUP(H174,'DATABASE-DRIFT_LATENT_HP_ERROR'!$A$143:$B$160,2,FALSE()),"")</f>
        <v>Powered System / Isolation of Hazardous Energy</v>
      </c>
      <c r="J174" s="1" t="s">
        <v>81</v>
      </c>
      <c r="K174" s="1" t="s">
        <v>124</v>
      </c>
      <c r="L174" s="2" t="s">
        <v>401</v>
      </c>
      <c r="O174" s="1">
        <v>1</v>
      </c>
      <c r="Q174" s="1" t="s">
        <v>96</v>
      </c>
      <c r="R174" s="1" t="s">
        <v>127</v>
      </c>
      <c r="S174" s="16">
        <v>46212</v>
      </c>
      <c r="T174" s="1">
        <f t="shared" si="16"/>
        <v>2026</v>
      </c>
      <c r="U174" s="1" t="str">
        <f t="shared" si="17"/>
        <v>TW III</v>
      </c>
      <c r="V174" s="1">
        <v>12</v>
      </c>
      <c r="W174" s="1" t="s">
        <v>322</v>
      </c>
      <c r="X174" s="3" t="s">
        <v>445</v>
      </c>
      <c r="Y174" s="3" t="s">
        <v>446</v>
      </c>
      <c r="Z174" s="3" t="s">
        <v>447</v>
      </c>
      <c r="AA174" s="1" t="s">
        <v>45</v>
      </c>
      <c r="AB174" s="3" t="s">
        <v>326</v>
      </c>
      <c r="AC174" s="3" t="s">
        <v>384</v>
      </c>
      <c r="AE174" s="1" t="s">
        <v>385</v>
      </c>
    </row>
    <row r="175" spans="1:31" ht="14.25" customHeight="1" x14ac:dyDescent="0.45">
      <c r="A175" s="1" t="s">
        <v>443</v>
      </c>
      <c r="B175" s="1">
        <v>1</v>
      </c>
      <c r="C175" s="1" t="s">
        <v>33</v>
      </c>
      <c r="F175" s="1" t="str">
        <f t="shared" si="14"/>
        <v>Baseline</v>
      </c>
      <c r="G175" s="1" t="str">
        <f t="shared" si="15"/>
        <v>Y</v>
      </c>
      <c r="H175" s="1" t="s">
        <v>92</v>
      </c>
      <c r="I175" s="1" t="str">
        <f>IFERROR(VLOOKUP(H175,'DATABASE-DRIFT_LATENT_HP_ERROR'!$A$143:$B$160,2,FALSE()),"")</f>
        <v>Powered System / Isolation of Hazardous Energy</v>
      </c>
      <c r="J175" s="1" t="s">
        <v>86</v>
      </c>
      <c r="K175" s="1" t="s">
        <v>128</v>
      </c>
      <c r="L175" s="2" t="s">
        <v>305</v>
      </c>
      <c r="M175" s="1">
        <v>1</v>
      </c>
      <c r="Q175" s="1" t="s">
        <v>57</v>
      </c>
      <c r="R175" s="1" t="s">
        <v>131</v>
      </c>
      <c r="S175" s="16">
        <v>46212</v>
      </c>
      <c r="T175" s="1">
        <f t="shared" si="16"/>
        <v>2026</v>
      </c>
      <c r="U175" s="1" t="str">
        <f t="shared" si="17"/>
        <v>TW III</v>
      </c>
      <c r="V175" s="1">
        <v>12</v>
      </c>
      <c r="W175" s="1" t="s">
        <v>322</v>
      </c>
      <c r="X175" s="3" t="s">
        <v>445</v>
      </c>
      <c r="Y175" s="3" t="s">
        <v>446</v>
      </c>
      <c r="Z175" s="3" t="s">
        <v>447</v>
      </c>
      <c r="AA175" s="1" t="s">
        <v>45</v>
      </c>
      <c r="AB175" s="3" t="s">
        <v>326</v>
      </c>
      <c r="AC175" s="3" t="s">
        <v>384</v>
      </c>
      <c r="AE175" s="1" t="s">
        <v>385</v>
      </c>
    </row>
    <row r="176" spans="1:31" ht="14.25" customHeight="1" x14ac:dyDescent="0.45">
      <c r="F176" s="1" t="str">
        <f t="shared" si="14"/>
        <v/>
      </c>
      <c r="G176" s="1" t="str">
        <f t="shared" si="15"/>
        <v/>
      </c>
    </row>
    <row r="177" spans="6:7" ht="14.25" customHeight="1" x14ac:dyDescent="0.45">
      <c r="F177" s="1" t="str">
        <f t="shared" si="14"/>
        <v/>
      </c>
      <c r="G177" s="1" t="str">
        <f t="shared" si="15"/>
        <v/>
      </c>
    </row>
    <row r="178" spans="6:7" ht="14.25" customHeight="1" x14ac:dyDescent="0.45">
      <c r="F178" s="1" t="str">
        <f t="shared" si="14"/>
        <v/>
      </c>
      <c r="G178" s="1" t="str">
        <f t="shared" si="15"/>
        <v/>
      </c>
    </row>
    <row r="179" spans="6:7" ht="14.25" customHeight="1" x14ac:dyDescent="0.45">
      <c r="F179" s="1" t="str">
        <f t="shared" si="14"/>
        <v/>
      </c>
      <c r="G179" s="1" t="str">
        <f t="shared" si="15"/>
        <v/>
      </c>
    </row>
    <row r="180" spans="6:7" ht="14.25" customHeight="1" x14ac:dyDescent="0.45">
      <c r="F180" s="1" t="str">
        <f t="shared" si="14"/>
        <v/>
      </c>
      <c r="G180" s="1" t="str">
        <f t="shared" si="15"/>
        <v/>
      </c>
    </row>
    <row r="181" spans="6:7" ht="14.25" customHeight="1" x14ac:dyDescent="0.45">
      <c r="F181" s="1" t="str">
        <f t="shared" si="14"/>
        <v/>
      </c>
      <c r="G181" s="1" t="str">
        <f t="shared" si="15"/>
        <v/>
      </c>
    </row>
    <row r="182" spans="6:7" ht="14.25" customHeight="1" x14ac:dyDescent="0.45">
      <c r="F182" s="1" t="str">
        <f t="shared" si="14"/>
        <v/>
      </c>
      <c r="G182" s="1" t="str">
        <f t="shared" si="15"/>
        <v/>
      </c>
    </row>
    <row r="183" spans="6:7" ht="14.25" customHeight="1" x14ac:dyDescent="0.45">
      <c r="F183" s="1" t="str">
        <f t="shared" si="14"/>
        <v/>
      </c>
      <c r="G183" s="1" t="str">
        <f t="shared" si="15"/>
        <v/>
      </c>
    </row>
    <row r="184" spans="6:7" ht="14.25" customHeight="1" x14ac:dyDescent="0.45">
      <c r="F184" s="1" t="str">
        <f t="shared" si="14"/>
        <v/>
      </c>
      <c r="G184" s="1" t="str">
        <f t="shared" si="15"/>
        <v/>
      </c>
    </row>
    <row r="185" spans="6:7" ht="14.25" customHeight="1" x14ac:dyDescent="0.45">
      <c r="F185" s="1" t="str">
        <f t="shared" si="14"/>
        <v/>
      </c>
      <c r="G185" s="1" t="str">
        <f t="shared" si="15"/>
        <v/>
      </c>
    </row>
    <row r="186" spans="6:7" ht="14.25" customHeight="1" x14ac:dyDescent="0.45">
      <c r="F186" s="1" t="str">
        <f t="shared" si="14"/>
        <v/>
      </c>
      <c r="G186" s="1" t="str">
        <f t="shared" si="15"/>
        <v/>
      </c>
    </row>
    <row r="187" spans="6:7" ht="14.25" customHeight="1" x14ac:dyDescent="0.45">
      <c r="F187" s="1" t="str">
        <f t="shared" si="14"/>
        <v/>
      </c>
      <c r="G187" s="1" t="str">
        <f t="shared" si="15"/>
        <v/>
      </c>
    </row>
    <row r="188" spans="6:7" ht="14.25" customHeight="1" x14ac:dyDescent="0.45">
      <c r="F188" s="1" t="str">
        <f t="shared" si="14"/>
        <v/>
      </c>
      <c r="G188" s="1" t="str">
        <f t="shared" si="15"/>
        <v/>
      </c>
    </row>
    <row r="189" spans="6:7" ht="14.25" customHeight="1" x14ac:dyDescent="0.45">
      <c r="F189" s="1" t="str">
        <f t="shared" si="14"/>
        <v/>
      </c>
      <c r="G189" s="1" t="str">
        <f t="shared" si="15"/>
        <v/>
      </c>
    </row>
    <row r="190" spans="6:7" ht="14.25" customHeight="1" x14ac:dyDescent="0.45">
      <c r="F190" s="1" t="str">
        <f t="shared" si="14"/>
        <v/>
      </c>
      <c r="G190" s="1" t="str">
        <f t="shared" si="15"/>
        <v/>
      </c>
    </row>
    <row r="191" spans="6:7" ht="14.25" customHeight="1" x14ac:dyDescent="0.45">
      <c r="F191" s="1" t="str">
        <f t="shared" si="14"/>
        <v/>
      </c>
      <c r="G191" s="1" t="str">
        <f t="shared" si="15"/>
        <v/>
      </c>
    </row>
    <row r="192" spans="6:7" ht="14.25" customHeight="1" x14ac:dyDescent="0.45">
      <c r="F192" s="1" t="str">
        <f t="shared" si="14"/>
        <v/>
      </c>
      <c r="G192" s="1" t="str">
        <f t="shared" si="15"/>
        <v/>
      </c>
    </row>
    <row r="193" spans="6:7" ht="14.25" customHeight="1" x14ac:dyDescent="0.45">
      <c r="F193" s="1" t="str">
        <f t="shared" si="14"/>
        <v/>
      </c>
      <c r="G193" s="1" t="str">
        <f t="shared" si="15"/>
        <v/>
      </c>
    </row>
    <row r="194" spans="6:7" ht="14.25" customHeight="1" x14ac:dyDescent="0.45">
      <c r="F194" s="1" t="str">
        <f t="shared" ref="F194:F257" si="18">IF(A194="","",IF(B194=1,"Baseline",IF(C194="Y","Reverification","Follow-up")))</f>
        <v/>
      </c>
      <c r="G194" s="1" t="str">
        <f t="shared" ref="G194:G257" si="19">IF(A194="","",IF(COUNTIFS($V$2:$V$300,V194,$H$2:$H$300,H194,$B$2:$B$300,"&gt;"&amp;B194)=0,"Y","N"))</f>
        <v/>
      </c>
    </row>
    <row r="195" spans="6:7" ht="14.25" customHeight="1" x14ac:dyDescent="0.45">
      <c r="F195" s="1" t="str">
        <f t="shared" si="18"/>
        <v/>
      </c>
      <c r="G195" s="1" t="str">
        <f t="shared" si="19"/>
        <v/>
      </c>
    </row>
    <row r="196" spans="6:7" ht="14.25" customHeight="1" x14ac:dyDescent="0.45">
      <c r="F196" s="1" t="str">
        <f t="shared" si="18"/>
        <v/>
      </c>
      <c r="G196" s="1" t="str">
        <f t="shared" si="19"/>
        <v/>
      </c>
    </row>
    <row r="197" spans="6:7" ht="14.25" customHeight="1" x14ac:dyDescent="0.45">
      <c r="F197" s="1" t="str">
        <f t="shared" si="18"/>
        <v/>
      </c>
      <c r="G197" s="1" t="str">
        <f t="shared" si="19"/>
        <v/>
      </c>
    </row>
    <row r="198" spans="6:7" ht="14.25" customHeight="1" x14ac:dyDescent="0.45">
      <c r="F198" s="1" t="str">
        <f t="shared" si="18"/>
        <v/>
      </c>
      <c r="G198" s="1" t="str">
        <f t="shared" si="19"/>
        <v/>
      </c>
    </row>
    <row r="199" spans="6:7" ht="14.25" customHeight="1" x14ac:dyDescent="0.45">
      <c r="F199" s="1" t="str">
        <f t="shared" si="18"/>
        <v/>
      </c>
      <c r="G199" s="1" t="str">
        <f t="shared" si="19"/>
        <v/>
      </c>
    </row>
    <row r="200" spans="6:7" ht="14.25" customHeight="1" x14ac:dyDescent="0.45">
      <c r="F200" s="1" t="str">
        <f t="shared" si="18"/>
        <v/>
      </c>
      <c r="G200" s="1" t="str">
        <f t="shared" si="19"/>
        <v/>
      </c>
    </row>
    <row r="201" spans="6:7" ht="14.25" customHeight="1" x14ac:dyDescent="0.45">
      <c r="F201" s="1" t="str">
        <f t="shared" si="18"/>
        <v/>
      </c>
      <c r="G201" s="1" t="str">
        <f t="shared" si="19"/>
        <v/>
      </c>
    </row>
    <row r="202" spans="6:7" ht="14.25" customHeight="1" x14ac:dyDescent="0.45">
      <c r="F202" s="1" t="str">
        <f t="shared" si="18"/>
        <v/>
      </c>
      <c r="G202" s="1" t="str">
        <f t="shared" si="19"/>
        <v/>
      </c>
    </row>
    <row r="203" spans="6:7" ht="14.25" customHeight="1" x14ac:dyDescent="0.45">
      <c r="F203" s="1" t="str">
        <f t="shared" si="18"/>
        <v/>
      </c>
      <c r="G203" s="1" t="str">
        <f t="shared" si="19"/>
        <v/>
      </c>
    </row>
    <row r="204" spans="6:7" ht="14.25" customHeight="1" x14ac:dyDescent="0.45">
      <c r="F204" s="1" t="str">
        <f t="shared" si="18"/>
        <v/>
      </c>
      <c r="G204" s="1" t="str">
        <f t="shared" si="19"/>
        <v/>
      </c>
    </row>
    <row r="205" spans="6:7" ht="14.25" customHeight="1" x14ac:dyDescent="0.45">
      <c r="F205" s="1" t="str">
        <f t="shared" si="18"/>
        <v/>
      </c>
      <c r="G205" s="1" t="str">
        <f t="shared" si="19"/>
        <v/>
      </c>
    </row>
    <row r="206" spans="6:7" ht="14.25" customHeight="1" x14ac:dyDescent="0.45">
      <c r="F206" s="1" t="str">
        <f t="shared" si="18"/>
        <v/>
      </c>
      <c r="G206" s="1" t="str">
        <f t="shared" si="19"/>
        <v/>
      </c>
    </row>
    <row r="207" spans="6:7" ht="14.25" customHeight="1" x14ac:dyDescent="0.45">
      <c r="F207" s="1" t="str">
        <f t="shared" si="18"/>
        <v/>
      </c>
      <c r="G207" s="1" t="str">
        <f t="shared" si="19"/>
        <v/>
      </c>
    </row>
    <row r="208" spans="6:7" ht="14.25" customHeight="1" x14ac:dyDescent="0.45">
      <c r="F208" s="1" t="str">
        <f t="shared" si="18"/>
        <v/>
      </c>
      <c r="G208" s="1" t="str">
        <f t="shared" si="19"/>
        <v/>
      </c>
    </row>
    <row r="209" spans="6:7" ht="14.25" customHeight="1" x14ac:dyDescent="0.45">
      <c r="F209" s="1" t="str">
        <f t="shared" si="18"/>
        <v/>
      </c>
      <c r="G209" s="1" t="str">
        <f t="shared" si="19"/>
        <v/>
      </c>
    </row>
    <row r="210" spans="6:7" ht="14.25" customHeight="1" x14ac:dyDescent="0.45">
      <c r="F210" s="1" t="str">
        <f t="shared" si="18"/>
        <v/>
      </c>
      <c r="G210" s="1" t="str">
        <f t="shared" si="19"/>
        <v/>
      </c>
    </row>
    <row r="211" spans="6:7" ht="14.25" customHeight="1" x14ac:dyDescent="0.45">
      <c r="F211" s="1" t="str">
        <f t="shared" si="18"/>
        <v/>
      </c>
      <c r="G211" s="1" t="str">
        <f t="shared" si="19"/>
        <v/>
      </c>
    </row>
    <row r="212" spans="6:7" ht="14.25" customHeight="1" x14ac:dyDescent="0.45">
      <c r="F212" s="1" t="str">
        <f t="shared" si="18"/>
        <v/>
      </c>
      <c r="G212" s="1" t="str">
        <f t="shared" si="19"/>
        <v/>
      </c>
    </row>
    <row r="213" spans="6:7" ht="14.25" customHeight="1" x14ac:dyDescent="0.45">
      <c r="F213" s="1" t="str">
        <f t="shared" si="18"/>
        <v/>
      </c>
      <c r="G213" s="1" t="str">
        <f t="shared" si="19"/>
        <v/>
      </c>
    </row>
    <row r="214" spans="6:7" ht="14.25" customHeight="1" x14ac:dyDescent="0.45">
      <c r="F214" s="1" t="str">
        <f t="shared" si="18"/>
        <v/>
      </c>
      <c r="G214" s="1" t="str">
        <f t="shared" si="19"/>
        <v/>
      </c>
    </row>
    <row r="215" spans="6:7" ht="14.25" customHeight="1" x14ac:dyDescent="0.45">
      <c r="F215" s="1" t="str">
        <f t="shared" si="18"/>
        <v/>
      </c>
      <c r="G215" s="1" t="str">
        <f t="shared" si="19"/>
        <v/>
      </c>
    </row>
    <row r="216" spans="6:7" ht="14.25" customHeight="1" x14ac:dyDescent="0.45">
      <c r="F216" s="1" t="str">
        <f t="shared" si="18"/>
        <v/>
      </c>
      <c r="G216" s="1" t="str">
        <f t="shared" si="19"/>
        <v/>
      </c>
    </row>
    <row r="217" spans="6:7" ht="14.25" customHeight="1" x14ac:dyDescent="0.45">
      <c r="F217" s="1" t="str">
        <f t="shared" si="18"/>
        <v/>
      </c>
      <c r="G217" s="1" t="str">
        <f t="shared" si="19"/>
        <v/>
      </c>
    </row>
    <row r="218" spans="6:7" ht="14.25" customHeight="1" x14ac:dyDescent="0.45">
      <c r="F218" s="1" t="str">
        <f t="shared" si="18"/>
        <v/>
      </c>
      <c r="G218" s="1" t="str">
        <f t="shared" si="19"/>
        <v/>
      </c>
    </row>
    <row r="219" spans="6:7" ht="14.25" customHeight="1" x14ac:dyDescent="0.45">
      <c r="F219" s="1" t="str">
        <f t="shared" si="18"/>
        <v/>
      </c>
      <c r="G219" s="1" t="str">
        <f t="shared" si="19"/>
        <v/>
      </c>
    </row>
    <row r="220" spans="6:7" ht="14.25" customHeight="1" x14ac:dyDescent="0.45">
      <c r="F220" s="1" t="str">
        <f t="shared" si="18"/>
        <v/>
      </c>
      <c r="G220" s="1" t="str">
        <f t="shared" si="19"/>
        <v/>
      </c>
    </row>
    <row r="221" spans="6:7" ht="14.25" customHeight="1" x14ac:dyDescent="0.45">
      <c r="F221" s="1" t="str">
        <f t="shared" si="18"/>
        <v/>
      </c>
      <c r="G221" s="1" t="str">
        <f t="shared" si="19"/>
        <v/>
      </c>
    </row>
    <row r="222" spans="6:7" ht="14.25" customHeight="1" x14ac:dyDescent="0.45">
      <c r="F222" s="1" t="str">
        <f t="shared" si="18"/>
        <v/>
      </c>
      <c r="G222" s="1" t="str">
        <f t="shared" si="19"/>
        <v/>
      </c>
    </row>
    <row r="223" spans="6:7" ht="14.25" customHeight="1" x14ac:dyDescent="0.45">
      <c r="F223" s="1" t="str">
        <f t="shared" si="18"/>
        <v/>
      </c>
      <c r="G223" s="1" t="str">
        <f t="shared" si="19"/>
        <v/>
      </c>
    </row>
    <row r="224" spans="6:7" ht="14.25" customHeight="1" x14ac:dyDescent="0.45">
      <c r="F224" s="1" t="str">
        <f t="shared" si="18"/>
        <v/>
      </c>
      <c r="G224" s="1" t="str">
        <f t="shared" si="19"/>
        <v/>
      </c>
    </row>
    <row r="225" spans="6:7" ht="14.25" customHeight="1" x14ac:dyDescent="0.45">
      <c r="F225" s="1" t="str">
        <f t="shared" si="18"/>
        <v/>
      </c>
      <c r="G225" s="1" t="str">
        <f t="shared" si="19"/>
        <v/>
      </c>
    </row>
    <row r="226" spans="6:7" ht="14.25" customHeight="1" x14ac:dyDescent="0.45">
      <c r="F226" s="1" t="str">
        <f t="shared" si="18"/>
        <v/>
      </c>
      <c r="G226" s="1" t="str">
        <f t="shared" si="19"/>
        <v/>
      </c>
    </row>
    <row r="227" spans="6:7" ht="14.25" customHeight="1" x14ac:dyDescent="0.45">
      <c r="F227" s="1" t="str">
        <f t="shared" si="18"/>
        <v/>
      </c>
      <c r="G227" s="1" t="str">
        <f t="shared" si="19"/>
        <v/>
      </c>
    </row>
    <row r="228" spans="6:7" ht="14.25" customHeight="1" x14ac:dyDescent="0.45">
      <c r="F228" s="1" t="str">
        <f t="shared" si="18"/>
        <v/>
      </c>
      <c r="G228" s="1" t="str">
        <f t="shared" si="19"/>
        <v/>
      </c>
    </row>
    <row r="229" spans="6:7" ht="14.25" customHeight="1" x14ac:dyDescent="0.45">
      <c r="F229" s="1" t="str">
        <f t="shared" si="18"/>
        <v/>
      </c>
      <c r="G229" s="1" t="str">
        <f t="shared" si="19"/>
        <v/>
      </c>
    </row>
    <row r="230" spans="6:7" ht="14.25" customHeight="1" x14ac:dyDescent="0.45">
      <c r="F230" s="1" t="str">
        <f t="shared" si="18"/>
        <v/>
      </c>
      <c r="G230" s="1" t="str">
        <f t="shared" si="19"/>
        <v/>
      </c>
    </row>
    <row r="231" spans="6:7" ht="14.25" customHeight="1" x14ac:dyDescent="0.45">
      <c r="F231" s="1" t="str">
        <f t="shared" si="18"/>
        <v/>
      </c>
      <c r="G231" s="1" t="str">
        <f t="shared" si="19"/>
        <v/>
      </c>
    </row>
    <row r="232" spans="6:7" ht="14.25" customHeight="1" x14ac:dyDescent="0.45">
      <c r="F232" s="1" t="str">
        <f t="shared" si="18"/>
        <v/>
      </c>
      <c r="G232" s="1" t="str">
        <f t="shared" si="19"/>
        <v/>
      </c>
    </row>
    <row r="233" spans="6:7" ht="14.25" customHeight="1" x14ac:dyDescent="0.45">
      <c r="F233" s="1" t="str">
        <f t="shared" si="18"/>
        <v/>
      </c>
      <c r="G233" s="1" t="str">
        <f t="shared" si="19"/>
        <v/>
      </c>
    </row>
    <row r="234" spans="6:7" ht="14.25" customHeight="1" x14ac:dyDescent="0.45">
      <c r="F234" s="1" t="str">
        <f t="shared" si="18"/>
        <v/>
      </c>
      <c r="G234" s="1" t="str">
        <f t="shared" si="19"/>
        <v/>
      </c>
    </row>
    <row r="235" spans="6:7" ht="14.25" customHeight="1" x14ac:dyDescent="0.45">
      <c r="F235" s="1" t="str">
        <f t="shared" si="18"/>
        <v/>
      </c>
      <c r="G235" s="1" t="str">
        <f t="shared" si="19"/>
        <v/>
      </c>
    </row>
    <row r="236" spans="6:7" ht="14.25" customHeight="1" x14ac:dyDescent="0.45">
      <c r="F236" s="1" t="str">
        <f t="shared" si="18"/>
        <v/>
      </c>
      <c r="G236" s="1" t="str">
        <f t="shared" si="19"/>
        <v/>
      </c>
    </row>
    <row r="237" spans="6:7" ht="14.25" customHeight="1" x14ac:dyDescent="0.45">
      <c r="F237" s="1" t="str">
        <f t="shared" si="18"/>
        <v/>
      </c>
      <c r="G237" s="1" t="str">
        <f t="shared" si="19"/>
        <v/>
      </c>
    </row>
    <row r="238" spans="6:7" ht="14.25" customHeight="1" x14ac:dyDescent="0.45">
      <c r="F238" s="1" t="str">
        <f t="shared" si="18"/>
        <v/>
      </c>
      <c r="G238" s="1" t="str">
        <f t="shared" si="19"/>
        <v/>
      </c>
    </row>
    <row r="239" spans="6:7" ht="14.25" customHeight="1" x14ac:dyDescent="0.45">
      <c r="F239" s="1" t="str">
        <f t="shared" si="18"/>
        <v/>
      </c>
      <c r="G239" s="1" t="str">
        <f t="shared" si="19"/>
        <v/>
      </c>
    </row>
    <row r="240" spans="6:7" ht="14.25" customHeight="1" x14ac:dyDescent="0.45">
      <c r="F240" s="1" t="str">
        <f t="shared" si="18"/>
        <v/>
      </c>
      <c r="G240" s="1" t="str">
        <f t="shared" si="19"/>
        <v/>
      </c>
    </row>
    <row r="241" spans="6:7" ht="14.25" customHeight="1" x14ac:dyDescent="0.45">
      <c r="F241" s="1" t="str">
        <f t="shared" si="18"/>
        <v/>
      </c>
      <c r="G241" s="1" t="str">
        <f t="shared" si="19"/>
        <v/>
      </c>
    </row>
    <row r="242" spans="6:7" ht="14.25" customHeight="1" x14ac:dyDescent="0.45">
      <c r="F242" s="1" t="str">
        <f t="shared" si="18"/>
        <v/>
      </c>
      <c r="G242" s="1" t="str">
        <f t="shared" si="19"/>
        <v/>
      </c>
    </row>
    <row r="243" spans="6:7" ht="14.25" customHeight="1" x14ac:dyDescent="0.45">
      <c r="F243" s="1" t="str">
        <f t="shared" si="18"/>
        <v/>
      </c>
      <c r="G243" s="1" t="str">
        <f t="shared" si="19"/>
        <v/>
      </c>
    </row>
    <row r="244" spans="6:7" ht="14.25" customHeight="1" x14ac:dyDescent="0.45">
      <c r="F244" s="1" t="str">
        <f t="shared" si="18"/>
        <v/>
      </c>
      <c r="G244" s="1" t="str">
        <f t="shared" si="19"/>
        <v/>
      </c>
    </row>
    <row r="245" spans="6:7" ht="14.25" customHeight="1" x14ac:dyDescent="0.45">
      <c r="F245" s="1" t="str">
        <f t="shared" si="18"/>
        <v/>
      </c>
      <c r="G245" s="1" t="str">
        <f t="shared" si="19"/>
        <v/>
      </c>
    </row>
    <row r="246" spans="6:7" ht="14.25" customHeight="1" x14ac:dyDescent="0.45">
      <c r="F246" s="1" t="str">
        <f t="shared" si="18"/>
        <v/>
      </c>
      <c r="G246" s="1" t="str">
        <f t="shared" si="19"/>
        <v/>
      </c>
    </row>
    <row r="247" spans="6:7" ht="14.25" customHeight="1" x14ac:dyDescent="0.45">
      <c r="F247" s="1" t="str">
        <f t="shared" si="18"/>
        <v/>
      </c>
      <c r="G247" s="1" t="str">
        <f t="shared" si="19"/>
        <v/>
      </c>
    </row>
    <row r="248" spans="6:7" ht="14.25" customHeight="1" x14ac:dyDescent="0.45">
      <c r="F248" s="1" t="str">
        <f t="shared" si="18"/>
        <v/>
      </c>
      <c r="G248" s="1" t="str">
        <f t="shared" si="19"/>
        <v/>
      </c>
    </row>
    <row r="249" spans="6:7" ht="14.25" customHeight="1" x14ac:dyDescent="0.45">
      <c r="F249" s="1" t="str">
        <f t="shared" si="18"/>
        <v/>
      </c>
      <c r="G249" s="1" t="str">
        <f t="shared" si="19"/>
        <v/>
      </c>
    </row>
    <row r="250" spans="6:7" ht="14.25" customHeight="1" x14ac:dyDescent="0.45">
      <c r="F250" s="1" t="str">
        <f t="shared" si="18"/>
        <v/>
      </c>
      <c r="G250" s="1" t="str">
        <f t="shared" si="19"/>
        <v/>
      </c>
    </row>
    <row r="251" spans="6:7" ht="14.25" customHeight="1" x14ac:dyDescent="0.45">
      <c r="F251" s="1" t="str">
        <f t="shared" si="18"/>
        <v/>
      </c>
      <c r="G251" s="1" t="str">
        <f t="shared" si="19"/>
        <v/>
      </c>
    </row>
    <row r="252" spans="6:7" ht="14.25" customHeight="1" x14ac:dyDescent="0.45">
      <c r="F252" s="1" t="str">
        <f t="shared" si="18"/>
        <v/>
      </c>
      <c r="G252" s="1" t="str">
        <f t="shared" si="19"/>
        <v/>
      </c>
    </row>
    <row r="253" spans="6:7" ht="14.25" customHeight="1" x14ac:dyDescent="0.45">
      <c r="F253" s="1" t="str">
        <f t="shared" si="18"/>
        <v/>
      </c>
      <c r="G253" s="1" t="str">
        <f t="shared" si="19"/>
        <v/>
      </c>
    </row>
    <row r="254" spans="6:7" ht="14.25" customHeight="1" x14ac:dyDescent="0.45">
      <c r="F254" s="1" t="str">
        <f t="shared" si="18"/>
        <v/>
      </c>
      <c r="G254" s="1" t="str">
        <f t="shared" si="19"/>
        <v/>
      </c>
    </row>
    <row r="255" spans="6:7" ht="14.25" customHeight="1" x14ac:dyDescent="0.45">
      <c r="F255" s="1" t="str">
        <f t="shared" si="18"/>
        <v/>
      </c>
      <c r="G255" s="1" t="str">
        <f t="shared" si="19"/>
        <v/>
      </c>
    </row>
    <row r="256" spans="6:7" ht="14.25" customHeight="1" x14ac:dyDescent="0.45">
      <c r="F256" s="1" t="str">
        <f t="shared" si="18"/>
        <v/>
      </c>
      <c r="G256" s="1" t="str">
        <f t="shared" si="19"/>
        <v/>
      </c>
    </row>
    <row r="257" spans="6:7" ht="14.25" customHeight="1" x14ac:dyDescent="0.45">
      <c r="F257" s="1" t="str">
        <f t="shared" si="18"/>
        <v/>
      </c>
      <c r="G257" s="1" t="str">
        <f t="shared" si="19"/>
        <v/>
      </c>
    </row>
    <row r="258" spans="6:7" ht="14.25" customHeight="1" x14ac:dyDescent="0.45">
      <c r="F258" s="1" t="str">
        <f t="shared" ref="F258:F300" si="20">IF(A258="","",IF(B258=1,"Baseline",IF(C258="Y","Reverification","Follow-up")))</f>
        <v/>
      </c>
      <c r="G258" s="1" t="str">
        <f t="shared" ref="G258:G300" si="21">IF(A258="","",IF(COUNTIFS($V$2:$V$300,V258,$H$2:$H$300,H258,$B$2:$B$300,"&gt;"&amp;B258)=0,"Y","N"))</f>
        <v/>
      </c>
    </row>
    <row r="259" spans="6:7" ht="14.25" customHeight="1" x14ac:dyDescent="0.45">
      <c r="F259" s="1" t="str">
        <f t="shared" si="20"/>
        <v/>
      </c>
      <c r="G259" s="1" t="str">
        <f t="shared" si="21"/>
        <v/>
      </c>
    </row>
    <row r="260" spans="6:7" ht="14.25" customHeight="1" x14ac:dyDescent="0.45">
      <c r="F260" s="1" t="str">
        <f t="shared" si="20"/>
        <v/>
      </c>
      <c r="G260" s="1" t="str">
        <f t="shared" si="21"/>
        <v/>
      </c>
    </row>
    <row r="261" spans="6:7" ht="14.25" customHeight="1" x14ac:dyDescent="0.45">
      <c r="F261" s="1" t="str">
        <f t="shared" si="20"/>
        <v/>
      </c>
      <c r="G261" s="1" t="str">
        <f t="shared" si="21"/>
        <v/>
      </c>
    </row>
    <row r="262" spans="6:7" ht="14.25" customHeight="1" x14ac:dyDescent="0.45">
      <c r="F262" s="1" t="str">
        <f t="shared" si="20"/>
        <v/>
      </c>
      <c r="G262" s="1" t="str">
        <f t="shared" si="21"/>
        <v/>
      </c>
    </row>
    <row r="263" spans="6:7" ht="14.25" customHeight="1" x14ac:dyDescent="0.45">
      <c r="F263" s="1" t="str">
        <f t="shared" si="20"/>
        <v/>
      </c>
      <c r="G263" s="1" t="str">
        <f t="shared" si="21"/>
        <v/>
      </c>
    </row>
    <row r="264" spans="6:7" ht="14.25" customHeight="1" x14ac:dyDescent="0.45">
      <c r="F264" s="1" t="str">
        <f t="shared" si="20"/>
        <v/>
      </c>
      <c r="G264" s="1" t="str">
        <f t="shared" si="21"/>
        <v/>
      </c>
    </row>
    <row r="265" spans="6:7" ht="14.25" customHeight="1" x14ac:dyDescent="0.45">
      <c r="F265" s="1" t="str">
        <f t="shared" si="20"/>
        <v/>
      </c>
      <c r="G265" s="1" t="str">
        <f t="shared" si="21"/>
        <v/>
      </c>
    </row>
    <row r="266" spans="6:7" ht="14.25" customHeight="1" x14ac:dyDescent="0.45">
      <c r="F266" s="1" t="str">
        <f t="shared" si="20"/>
        <v/>
      </c>
      <c r="G266" s="1" t="str">
        <f t="shared" si="21"/>
        <v/>
      </c>
    </row>
    <row r="267" spans="6:7" ht="14.25" customHeight="1" x14ac:dyDescent="0.45">
      <c r="F267" s="1" t="str">
        <f t="shared" si="20"/>
        <v/>
      </c>
      <c r="G267" s="1" t="str">
        <f t="shared" si="21"/>
        <v/>
      </c>
    </row>
    <row r="268" spans="6:7" ht="14.25" customHeight="1" x14ac:dyDescent="0.45">
      <c r="F268" s="1" t="str">
        <f t="shared" si="20"/>
        <v/>
      </c>
      <c r="G268" s="1" t="str">
        <f t="shared" si="21"/>
        <v/>
      </c>
    </row>
    <row r="269" spans="6:7" ht="14.25" customHeight="1" x14ac:dyDescent="0.45">
      <c r="F269" s="1" t="str">
        <f t="shared" si="20"/>
        <v/>
      </c>
      <c r="G269" s="1" t="str">
        <f t="shared" si="21"/>
        <v/>
      </c>
    </row>
    <row r="270" spans="6:7" ht="14.25" customHeight="1" x14ac:dyDescent="0.45">
      <c r="F270" s="1" t="str">
        <f t="shared" si="20"/>
        <v/>
      </c>
      <c r="G270" s="1" t="str">
        <f t="shared" si="21"/>
        <v/>
      </c>
    </row>
    <row r="271" spans="6:7" ht="14.25" customHeight="1" x14ac:dyDescent="0.45">
      <c r="F271" s="1" t="str">
        <f t="shared" si="20"/>
        <v/>
      </c>
      <c r="G271" s="1" t="str">
        <f t="shared" si="21"/>
        <v/>
      </c>
    </row>
    <row r="272" spans="6:7" ht="14.25" customHeight="1" x14ac:dyDescent="0.45">
      <c r="F272" s="1" t="str">
        <f t="shared" si="20"/>
        <v/>
      </c>
      <c r="G272" s="1" t="str">
        <f t="shared" si="21"/>
        <v/>
      </c>
    </row>
    <row r="273" spans="6:7" ht="14.25" customHeight="1" x14ac:dyDescent="0.45">
      <c r="F273" s="1" t="str">
        <f t="shared" si="20"/>
        <v/>
      </c>
      <c r="G273" s="1" t="str">
        <f t="shared" si="21"/>
        <v/>
      </c>
    </row>
    <row r="274" spans="6:7" ht="14.25" customHeight="1" x14ac:dyDescent="0.45">
      <c r="F274" s="1" t="str">
        <f t="shared" si="20"/>
        <v/>
      </c>
      <c r="G274" s="1" t="str">
        <f t="shared" si="21"/>
        <v/>
      </c>
    </row>
    <row r="275" spans="6:7" ht="14.25" customHeight="1" x14ac:dyDescent="0.45">
      <c r="F275" s="1" t="str">
        <f t="shared" si="20"/>
        <v/>
      </c>
      <c r="G275" s="1" t="str">
        <f t="shared" si="21"/>
        <v/>
      </c>
    </row>
    <row r="276" spans="6:7" ht="14.25" customHeight="1" x14ac:dyDescent="0.45">
      <c r="F276" s="1" t="str">
        <f t="shared" si="20"/>
        <v/>
      </c>
      <c r="G276" s="1" t="str">
        <f t="shared" si="21"/>
        <v/>
      </c>
    </row>
    <row r="277" spans="6:7" ht="14.25" customHeight="1" x14ac:dyDescent="0.45">
      <c r="F277" s="1" t="str">
        <f t="shared" si="20"/>
        <v/>
      </c>
      <c r="G277" s="1" t="str">
        <f t="shared" si="21"/>
        <v/>
      </c>
    </row>
    <row r="278" spans="6:7" ht="14.25" customHeight="1" x14ac:dyDescent="0.45">
      <c r="F278" s="1" t="str">
        <f t="shared" si="20"/>
        <v/>
      </c>
      <c r="G278" s="1" t="str">
        <f t="shared" si="21"/>
        <v/>
      </c>
    </row>
    <row r="279" spans="6:7" ht="14.25" customHeight="1" x14ac:dyDescent="0.45">
      <c r="F279" s="1" t="str">
        <f t="shared" si="20"/>
        <v/>
      </c>
      <c r="G279" s="1" t="str">
        <f t="shared" si="21"/>
        <v/>
      </c>
    </row>
    <row r="280" spans="6:7" ht="14.25" customHeight="1" x14ac:dyDescent="0.45">
      <c r="F280" s="1" t="str">
        <f t="shared" si="20"/>
        <v/>
      </c>
      <c r="G280" s="1" t="str">
        <f t="shared" si="21"/>
        <v/>
      </c>
    </row>
    <row r="281" spans="6:7" ht="14.25" customHeight="1" x14ac:dyDescent="0.45">
      <c r="F281" s="1" t="str">
        <f t="shared" si="20"/>
        <v/>
      </c>
      <c r="G281" s="1" t="str">
        <f t="shared" si="21"/>
        <v/>
      </c>
    </row>
    <row r="282" spans="6:7" ht="14.25" customHeight="1" x14ac:dyDescent="0.45">
      <c r="F282" s="1" t="str">
        <f t="shared" si="20"/>
        <v/>
      </c>
      <c r="G282" s="1" t="str">
        <f t="shared" si="21"/>
        <v/>
      </c>
    </row>
    <row r="283" spans="6:7" ht="14.25" customHeight="1" x14ac:dyDescent="0.45">
      <c r="F283" s="1" t="str">
        <f t="shared" si="20"/>
        <v/>
      </c>
      <c r="G283" s="1" t="str">
        <f t="shared" si="21"/>
        <v/>
      </c>
    </row>
    <row r="284" spans="6:7" ht="14.25" customHeight="1" x14ac:dyDescent="0.45">
      <c r="F284" s="1" t="str">
        <f t="shared" si="20"/>
        <v/>
      </c>
      <c r="G284" s="1" t="str">
        <f t="shared" si="21"/>
        <v/>
      </c>
    </row>
    <row r="285" spans="6:7" ht="14.25" customHeight="1" x14ac:dyDescent="0.45">
      <c r="F285" s="1" t="str">
        <f t="shared" si="20"/>
        <v/>
      </c>
      <c r="G285" s="1" t="str">
        <f t="shared" si="21"/>
        <v/>
      </c>
    </row>
    <row r="286" spans="6:7" ht="14.25" customHeight="1" x14ac:dyDescent="0.45">
      <c r="F286" s="1" t="str">
        <f t="shared" si="20"/>
        <v/>
      </c>
      <c r="G286" s="1" t="str">
        <f t="shared" si="21"/>
        <v/>
      </c>
    </row>
    <row r="287" spans="6:7" ht="14.25" customHeight="1" x14ac:dyDescent="0.45">
      <c r="F287" s="1" t="str">
        <f t="shared" si="20"/>
        <v/>
      </c>
      <c r="G287" s="1" t="str">
        <f t="shared" si="21"/>
        <v/>
      </c>
    </row>
    <row r="288" spans="6:7" ht="14.25" customHeight="1" x14ac:dyDescent="0.45">
      <c r="F288" s="1" t="str">
        <f t="shared" si="20"/>
        <v/>
      </c>
      <c r="G288" s="1" t="str">
        <f t="shared" si="21"/>
        <v/>
      </c>
    </row>
    <row r="289" spans="6:7" ht="14.25" customHeight="1" x14ac:dyDescent="0.45">
      <c r="F289" s="1" t="str">
        <f t="shared" si="20"/>
        <v/>
      </c>
      <c r="G289" s="1" t="str">
        <f t="shared" si="21"/>
        <v/>
      </c>
    </row>
    <row r="290" spans="6:7" ht="14.25" customHeight="1" x14ac:dyDescent="0.45">
      <c r="F290" s="1" t="str">
        <f t="shared" si="20"/>
        <v/>
      </c>
      <c r="G290" s="1" t="str">
        <f t="shared" si="21"/>
        <v/>
      </c>
    </row>
    <row r="291" spans="6:7" ht="14.25" customHeight="1" x14ac:dyDescent="0.45">
      <c r="F291" s="1" t="str">
        <f t="shared" si="20"/>
        <v/>
      </c>
      <c r="G291" s="1" t="str">
        <f t="shared" si="21"/>
        <v/>
      </c>
    </row>
    <row r="292" spans="6:7" ht="14.25" customHeight="1" x14ac:dyDescent="0.45">
      <c r="F292" s="1" t="str">
        <f t="shared" si="20"/>
        <v/>
      </c>
      <c r="G292" s="1" t="str">
        <f t="shared" si="21"/>
        <v/>
      </c>
    </row>
    <row r="293" spans="6:7" ht="14.25" customHeight="1" x14ac:dyDescent="0.45">
      <c r="F293" s="1" t="str">
        <f t="shared" si="20"/>
        <v/>
      </c>
      <c r="G293" s="1" t="str">
        <f t="shared" si="21"/>
        <v/>
      </c>
    </row>
    <row r="294" spans="6:7" ht="14.25" customHeight="1" x14ac:dyDescent="0.45">
      <c r="F294" s="1" t="str">
        <f t="shared" si="20"/>
        <v/>
      </c>
      <c r="G294" s="1" t="str">
        <f t="shared" si="21"/>
        <v/>
      </c>
    </row>
    <row r="295" spans="6:7" ht="14.25" customHeight="1" x14ac:dyDescent="0.45">
      <c r="F295" s="1" t="str">
        <f t="shared" si="20"/>
        <v/>
      </c>
      <c r="G295" s="1" t="str">
        <f t="shared" si="21"/>
        <v/>
      </c>
    </row>
    <row r="296" spans="6:7" ht="14.25" customHeight="1" x14ac:dyDescent="0.45">
      <c r="F296" s="1" t="str">
        <f t="shared" si="20"/>
        <v/>
      </c>
      <c r="G296" s="1" t="str">
        <f t="shared" si="21"/>
        <v/>
      </c>
    </row>
    <row r="297" spans="6:7" ht="14.25" customHeight="1" x14ac:dyDescent="0.45">
      <c r="F297" s="1" t="str">
        <f t="shared" si="20"/>
        <v/>
      </c>
      <c r="G297" s="1" t="str">
        <f t="shared" si="21"/>
        <v/>
      </c>
    </row>
    <row r="298" spans="6:7" ht="14.25" customHeight="1" x14ac:dyDescent="0.45">
      <c r="F298" s="1" t="str">
        <f t="shared" si="20"/>
        <v/>
      </c>
      <c r="G298" s="1" t="str">
        <f t="shared" si="21"/>
        <v/>
      </c>
    </row>
    <row r="299" spans="6:7" ht="14.25" customHeight="1" x14ac:dyDescent="0.45">
      <c r="F299" s="1" t="str">
        <f t="shared" si="20"/>
        <v/>
      </c>
      <c r="G299" s="1" t="str">
        <f t="shared" si="21"/>
        <v/>
      </c>
    </row>
    <row r="300" spans="6:7" ht="14.25" customHeight="1" x14ac:dyDescent="0.45">
      <c r="F300" s="1" t="str">
        <f t="shared" si="20"/>
        <v/>
      </c>
      <c r="G300" s="1" t="str">
        <f t="shared" si="21"/>
        <v/>
      </c>
    </row>
  </sheetData>
  <dataValidations count="1">
    <dataValidation type="list" allowBlank="1" showInputMessage="1" showErrorMessage="1" sqref="H2:H42" xr:uid="{00000000-0002-0000-0000-000000000000}">
      <formula1>VV_Protocols</formula1>
      <formula2>0</formula2>
    </dataValidation>
  </dataValidation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7"/>
  <sheetViews>
    <sheetView zoomScaleNormal="100" workbookViewId="0"/>
  </sheetViews>
  <sheetFormatPr defaultColWidth="8.6640625" defaultRowHeight="14.25" customHeight="1" x14ac:dyDescent="0.45"/>
  <cols>
    <col min="1" max="1" width="16.1328125" style="1" customWidth="1"/>
    <col min="2" max="2" width="7.59765625" style="4" customWidth="1"/>
    <col min="3" max="3" width="25.86328125" style="4" customWidth="1"/>
    <col min="4" max="4" width="18.59765625" style="4" customWidth="1"/>
    <col min="5" max="5" width="26.265625" style="4" customWidth="1"/>
    <col min="6" max="6" width="50" style="18" customWidth="1"/>
  </cols>
  <sheetData>
    <row r="1" spans="1:6" ht="14.25" customHeight="1" x14ac:dyDescent="0.45">
      <c r="A1" s="5" t="s">
        <v>0</v>
      </c>
      <c r="B1" s="9" t="s">
        <v>450</v>
      </c>
      <c r="C1" s="5" t="s">
        <v>450</v>
      </c>
      <c r="D1" s="19" t="s">
        <v>451</v>
      </c>
      <c r="E1" s="20" t="s">
        <v>452</v>
      </c>
      <c r="F1" s="21" t="s">
        <v>15</v>
      </c>
    </row>
    <row r="2" spans="1:6" ht="21" hidden="1" customHeight="1" x14ac:dyDescent="0.45">
      <c r="A2" s="1" t="s">
        <v>32</v>
      </c>
      <c r="B2" s="15" t="s">
        <v>34</v>
      </c>
      <c r="C2" s="1" t="str">
        <f>IFERROR(VLOOKUP(B2,'DATABASE-DRIFT_LATENT_HP_ERROR'!$A$143:$B$160,2,FALSE()),"")</f>
        <v>Work at Height</v>
      </c>
      <c r="D2" s="4" t="s">
        <v>453</v>
      </c>
      <c r="E2" s="22" t="s">
        <v>454</v>
      </c>
      <c r="F2" s="18" t="s">
        <v>455</v>
      </c>
    </row>
    <row r="3" spans="1:6" ht="14.25" hidden="1" customHeight="1" x14ac:dyDescent="0.45">
      <c r="A3" s="1" t="s">
        <v>32</v>
      </c>
      <c r="B3" s="15" t="s">
        <v>34</v>
      </c>
      <c r="C3" s="1" t="str">
        <f>IFERROR(VLOOKUP(B3,'DATABASE-DRIFT_LATENT_HP_ERROR'!$A$143:$B$160,2,FALSE()),"")</f>
        <v>Work at Height</v>
      </c>
      <c r="D3" s="4" t="s">
        <v>456</v>
      </c>
      <c r="E3" s="22" t="s">
        <v>457</v>
      </c>
      <c r="F3" s="18" t="s">
        <v>458</v>
      </c>
    </row>
    <row r="4" spans="1:6" ht="21" hidden="1" customHeight="1" x14ac:dyDescent="0.45">
      <c r="A4" s="1" t="s">
        <v>32</v>
      </c>
      <c r="B4" s="15" t="s">
        <v>34</v>
      </c>
      <c r="C4" s="1" t="str">
        <f>IFERROR(VLOOKUP(B4,'DATABASE-DRIFT_LATENT_HP_ERROR'!$A$143:$B$160,2,FALSE()),"")</f>
        <v>Work at Height</v>
      </c>
      <c r="D4" s="4" t="s">
        <v>459</v>
      </c>
      <c r="E4" s="22" t="s">
        <v>460</v>
      </c>
      <c r="F4" s="18" t="s">
        <v>461</v>
      </c>
    </row>
    <row r="5" spans="1:6" ht="14.25" hidden="1" customHeight="1" x14ac:dyDescent="0.45">
      <c r="A5" s="1" t="s">
        <v>32</v>
      </c>
      <c r="B5" s="15" t="s">
        <v>34</v>
      </c>
      <c r="C5" s="1" t="str">
        <f>IFERROR(VLOOKUP(B5,'DATABASE-DRIFT_LATENT_HP_ERROR'!$A$143:$B$160,2,FALSE()),"")</f>
        <v>Work at Height</v>
      </c>
      <c r="D5" s="4" t="s">
        <v>462</v>
      </c>
      <c r="E5" s="22" t="s">
        <v>463</v>
      </c>
      <c r="F5" s="18" t="s">
        <v>464</v>
      </c>
    </row>
    <row r="6" spans="1:6" ht="21" customHeight="1" x14ac:dyDescent="0.45">
      <c r="A6" s="1" t="s">
        <v>91</v>
      </c>
      <c r="B6" s="15" t="s">
        <v>92</v>
      </c>
      <c r="C6" s="1" t="str">
        <f>IFERROR(VLOOKUP(B6,'DATABASE-DRIFT_LATENT_HP_ERROR'!$A$143:$B$160,2,FALSE()),"")</f>
        <v>Powered System / Isolation of Hazardous Energy</v>
      </c>
      <c r="D6" s="4" t="s">
        <v>453</v>
      </c>
      <c r="E6" s="22" t="s">
        <v>454</v>
      </c>
      <c r="F6" s="18" t="s">
        <v>465</v>
      </c>
    </row>
    <row r="7" spans="1:6" ht="21" customHeight="1" x14ac:dyDescent="0.45">
      <c r="A7" s="1" t="s">
        <v>91</v>
      </c>
      <c r="B7" s="15" t="s">
        <v>92</v>
      </c>
      <c r="C7" s="1" t="str">
        <f>IFERROR(VLOOKUP(B7,'DATABASE-DRIFT_LATENT_HP_ERROR'!$A$143:$B$160,2,FALSE()),"")</f>
        <v>Powered System / Isolation of Hazardous Energy</v>
      </c>
      <c r="D7" s="4" t="s">
        <v>456</v>
      </c>
      <c r="E7" s="22" t="s">
        <v>457</v>
      </c>
      <c r="F7" s="18" t="s">
        <v>466</v>
      </c>
    </row>
    <row r="8" spans="1:6" ht="14.25" customHeight="1" x14ac:dyDescent="0.45">
      <c r="A8" s="1" t="s">
        <v>91</v>
      </c>
      <c r="B8" s="15" t="s">
        <v>92</v>
      </c>
      <c r="C8" s="1" t="str">
        <f>IFERROR(VLOOKUP(B8,'DATABASE-DRIFT_LATENT_HP_ERROR'!$A$143:$B$160,2,FALSE()),"")</f>
        <v>Powered System / Isolation of Hazardous Energy</v>
      </c>
      <c r="D8" s="4" t="s">
        <v>459</v>
      </c>
      <c r="E8" s="22" t="s">
        <v>460</v>
      </c>
      <c r="F8" s="18" t="s">
        <v>467</v>
      </c>
    </row>
    <row r="9" spans="1:6" ht="14.25" customHeight="1" x14ac:dyDescent="0.45">
      <c r="A9" s="1" t="s">
        <v>91</v>
      </c>
      <c r="B9" s="15" t="s">
        <v>92</v>
      </c>
      <c r="C9" s="1" t="str">
        <f>IFERROR(VLOOKUP(B9,'DATABASE-DRIFT_LATENT_HP_ERROR'!$A$143:$B$160,2,FALSE()),"")</f>
        <v>Powered System / Isolation of Hazardous Energy</v>
      </c>
      <c r="D9" s="4" t="s">
        <v>462</v>
      </c>
      <c r="E9" s="22" t="s">
        <v>463</v>
      </c>
      <c r="F9" s="18" t="s">
        <v>468</v>
      </c>
    </row>
    <row r="10" spans="1:6" ht="21" customHeight="1" x14ac:dyDescent="0.45">
      <c r="A10" s="1" t="s">
        <v>132</v>
      </c>
      <c r="B10" s="15" t="s">
        <v>92</v>
      </c>
      <c r="C10" s="1" t="str">
        <f>IFERROR(VLOOKUP(B10,'DATABASE-DRIFT_LATENT_HP_ERROR'!$A$143:$B$160,2,FALSE()),"")</f>
        <v>Powered System / Isolation of Hazardous Energy</v>
      </c>
      <c r="D10" s="4" t="s">
        <v>453</v>
      </c>
      <c r="E10" s="22" t="s">
        <v>454</v>
      </c>
      <c r="F10" s="18" t="s">
        <v>469</v>
      </c>
    </row>
    <row r="11" spans="1:6" ht="21" customHeight="1" x14ac:dyDescent="0.45">
      <c r="A11" s="1" t="s">
        <v>132</v>
      </c>
      <c r="B11" s="15" t="s">
        <v>92</v>
      </c>
      <c r="C11" s="1" t="str">
        <f>IFERROR(VLOOKUP(B11,'DATABASE-DRIFT_LATENT_HP_ERROR'!$A$143:$B$160,2,FALSE()),"")</f>
        <v>Powered System / Isolation of Hazardous Energy</v>
      </c>
      <c r="D11" s="4" t="s">
        <v>456</v>
      </c>
      <c r="E11" s="22" t="s">
        <v>457</v>
      </c>
      <c r="F11" s="18" t="s">
        <v>470</v>
      </c>
    </row>
    <row r="12" spans="1:6" ht="21" customHeight="1" x14ac:dyDescent="0.45">
      <c r="A12" s="1" t="s">
        <v>132</v>
      </c>
      <c r="B12" s="15" t="s">
        <v>92</v>
      </c>
      <c r="C12" s="1" t="str">
        <f>IFERROR(VLOOKUP(B12,'DATABASE-DRIFT_LATENT_HP_ERROR'!$A$143:$B$160,2,FALSE()),"")</f>
        <v>Powered System / Isolation of Hazardous Energy</v>
      </c>
      <c r="D12" s="4" t="s">
        <v>459</v>
      </c>
      <c r="E12" s="22" t="s">
        <v>471</v>
      </c>
      <c r="F12" s="18" t="s">
        <v>472</v>
      </c>
    </row>
    <row r="13" spans="1:6" ht="14.25" customHeight="1" x14ac:dyDescent="0.45">
      <c r="A13" s="1" t="s">
        <v>132</v>
      </c>
      <c r="B13" s="15" t="s">
        <v>92</v>
      </c>
      <c r="C13" s="1" t="str">
        <f>IFERROR(VLOOKUP(B13,'DATABASE-DRIFT_LATENT_HP_ERROR'!$A$143:$B$160,2,FALSE()),"")</f>
        <v>Powered System / Isolation of Hazardous Energy</v>
      </c>
      <c r="D13" s="4" t="s">
        <v>462</v>
      </c>
      <c r="E13" s="22" t="s">
        <v>463</v>
      </c>
      <c r="F13" s="18" t="s">
        <v>473</v>
      </c>
    </row>
    <row r="14" spans="1:6" ht="14.25" hidden="1" customHeight="1" x14ac:dyDescent="0.45">
      <c r="A14" s="1" t="s">
        <v>142</v>
      </c>
      <c r="B14" s="15" t="s">
        <v>143</v>
      </c>
      <c r="C14" s="1" t="str">
        <f>IFERROR(VLOOKUP(B14,'DATABASE-DRIFT_LATENT_HP_ERROR'!$A$143:$B$160,2,FALSE()),"")</f>
        <v>Ground Disturbance or Excavation</v>
      </c>
      <c r="D14" s="4" t="s">
        <v>453</v>
      </c>
      <c r="E14" s="22" t="s">
        <v>474</v>
      </c>
      <c r="F14" s="18" t="s">
        <v>475</v>
      </c>
    </row>
    <row r="15" spans="1:6" ht="14.25" hidden="1" customHeight="1" x14ac:dyDescent="0.45">
      <c r="A15" s="1" t="s">
        <v>142</v>
      </c>
      <c r="B15" s="15" t="s">
        <v>143</v>
      </c>
      <c r="C15" s="1" t="str">
        <f>IFERROR(VLOOKUP(B15,'DATABASE-DRIFT_LATENT_HP_ERROR'!$A$143:$B$160,2,FALSE()),"")</f>
        <v>Ground Disturbance or Excavation</v>
      </c>
      <c r="D15" s="4" t="s">
        <v>456</v>
      </c>
      <c r="E15" s="22" t="s">
        <v>476</v>
      </c>
      <c r="F15" s="18" t="s">
        <v>477</v>
      </c>
    </row>
    <row r="16" spans="1:6" ht="21" hidden="1" customHeight="1" x14ac:dyDescent="0.45">
      <c r="A16" s="1" t="s">
        <v>142</v>
      </c>
      <c r="B16" s="15" t="s">
        <v>143</v>
      </c>
      <c r="C16" s="1" t="str">
        <f>IFERROR(VLOOKUP(B16,'DATABASE-DRIFT_LATENT_HP_ERROR'!$A$143:$B$160,2,FALSE()),"")</f>
        <v>Ground Disturbance or Excavation</v>
      </c>
      <c r="D16" s="4" t="s">
        <v>459</v>
      </c>
      <c r="E16" s="22" t="s">
        <v>471</v>
      </c>
      <c r="F16" s="18" t="s">
        <v>478</v>
      </c>
    </row>
    <row r="17" spans="1:6" ht="14.25" hidden="1" customHeight="1" x14ac:dyDescent="0.45">
      <c r="A17" s="1" t="s">
        <v>142</v>
      </c>
      <c r="B17" s="15" t="s">
        <v>143</v>
      </c>
      <c r="C17" s="1" t="str">
        <f>IFERROR(VLOOKUP(B17,'DATABASE-DRIFT_LATENT_HP_ERROR'!$A$143:$B$160,2,FALSE()),"")</f>
        <v>Ground Disturbance or Excavation</v>
      </c>
      <c r="D17" s="4" t="s">
        <v>462</v>
      </c>
      <c r="E17" s="22" t="s">
        <v>479</v>
      </c>
      <c r="F17" s="18" t="s">
        <v>480</v>
      </c>
    </row>
    <row r="18" spans="1:6" ht="14.25" hidden="1" customHeight="1" x14ac:dyDescent="0.45">
      <c r="A18" s="1" t="s">
        <v>170</v>
      </c>
      <c r="B18" s="15" t="s">
        <v>34</v>
      </c>
      <c r="C18" s="1" t="str">
        <f>IFERROR(VLOOKUP(B18,'DATABASE-DRIFT_LATENT_HP_ERROR'!$A$143:$B$160,2,FALSE()),"")</f>
        <v>Work at Height</v>
      </c>
      <c r="D18" s="4" t="s">
        <v>453</v>
      </c>
      <c r="E18" s="22" t="s">
        <v>454</v>
      </c>
      <c r="F18" s="18" t="s">
        <v>481</v>
      </c>
    </row>
    <row r="19" spans="1:6" ht="14.25" hidden="1" customHeight="1" x14ac:dyDescent="0.45">
      <c r="A19" s="1" t="s">
        <v>170</v>
      </c>
      <c r="B19" s="15" t="s">
        <v>34</v>
      </c>
      <c r="C19" s="1" t="str">
        <f>IFERROR(VLOOKUP(B19,'DATABASE-DRIFT_LATENT_HP_ERROR'!$A$143:$B$160,2,FALSE()),"")</f>
        <v>Work at Height</v>
      </c>
      <c r="D19" s="4" t="s">
        <v>456</v>
      </c>
      <c r="E19" s="22" t="s">
        <v>457</v>
      </c>
      <c r="F19" s="18" t="s">
        <v>482</v>
      </c>
    </row>
    <row r="20" spans="1:6" ht="14.25" hidden="1" customHeight="1" x14ac:dyDescent="0.45">
      <c r="A20" s="1" t="s">
        <v>170</v>
      </c>
      <c r="B20" s="15" t="s">
        <v>34</v>
      </c>
      <c r="C20" s="1" t="str">
        <f>IFERROR(VLOOKUP(B20,'DATABASE-DRIFT_LATENT_HP_ERROR'!$A$143:$B$160,2,FALSE()),"")</f>
        <v>Work at Height</v>
      </c>
      <c r="D20" s="4" t="s">
        <v>459</v>
      </c>
      <c r="E20" s="22" t="s">
        <v>460</v>
      </c>
      <c r="F20" s="18" t="s">
        <v>483</v>
      </c>
    </row>
    <row r="21" spans="1:6" ht="14.25" hidden="1" customHeight="1" x14ac:dyDescent="0.45">
      <c r="A21" s="1" t="s">
        <v>170</v>
      </c>
      <c r="B21" s="15" t="s">
        <v>34</v>
      </c>
      <c r="C21" s="1" t="str">
        <f>IFERROR(VLOOKUP(B21,'DATABASE-DRIFT_LATENT_HP_ERROR'!$A$143:$B$160,2,FALSE()),"")</f>
        <v>Work at Height</v>
      </c>
      <c r="D21" s="4" t="s">
        <v>462</v>
      </c>
      <c r="E21" s="22" t="s">
        <v>463</v>
      </c>
      <c r="F21" s="18" t="s">
        <v>484</v>
      </c>
    </row>
    <row r="22" spans="1:6" ht="21" customHeight="1" x14ac:dyDescent="0.45">
      <c r="A22" s="2" t="s">
        <v>189</v>
      </c>
      <c r="B22" s="23" t="s">
        <v>34</v>
      </c>
      <c r="C22" s="23" t="str">
        <f>IFERROR(VLOOKUP(B22,'DATABASE-DRIFT_LATENT_HP_ERROR'!$A$143:$B$160,2,FALSE()),"")</f>
        <v>Work at Height</v>
      </c>
      <c r="D22" s="23" t="s">
        <v>453</v>
      </c>
      <c r="E22" s="23" t="s">
        <v>454</v>
      </c>
      <c r="F22" s="18" t="s">
        <v>485</v>
      </c>
    </row>
    <row r="23" spans="1:6" ht="14.25" customHeight="1" x14ac:dyDescent="0.45">
      <c r="A23" s="2" t="s">
        <v>189</v>
      </c>
      <c r="B23" s="23" t="s">
        <v>34</v>
      </c>
      <c r="C23" s="23" t="str">
        <f>IFERROR(VLOOKUP(B23,'DATABASE-DRIFT_LATENT_HP_ERROR'!$A$143:$B$160,2,FALSE()),"")</f>
        <v>Work at Height</v>
      </c>
      <c r="D23" s="23" t="s">
        <v>456</v>
      </c>
      <c r="E23" s="23" t="s">
        <v>457</v>
      </c>
      <c r="F23" s="18" t="s">
        <v>486</v>
      </c>
    </row>
    <row r="24" spans="1:6" ht="14.25" customHeight="1" x14ac:dyDescent="0.45">
      <c r="A24" s="2" t="s">
        <v>189</v>
      </c>
      <c r="B24" s="23" t="s">
        <v>34</v>
      </c>
      <c r="C24" s="23" t="str">
        <f>IFERROR(VLOOKUP(B24,'DATABASE-DRIFT_LATENT_HP_ERROR'!$A$143:$B$160,2,FALSE()),"")</f>
        <v>Work at Height</v>
      </c>
      <c r="D24" s="23" t="s">
        <v>459</v>
      </c>
      <c r="E24" s="23" t="s">
        <v>460</v>
      </c>
      <c r="F24" s="18" t="s">
        <v>487</v>
      </c>
    </row>
    <row r="25" spans="1:6" ht="14.25" customHeight="1" x14ac:dyDescent="0.45">
      <c r="A25" s="2" t="s">
        <v>189</v>
      </c>
      <c r="B25" s="23" t="s">
        <v>34</v>
      </c>
      <c r="C25" s="23" t="str">
        <f>IFERROR(VLOOKUP(B25,'DATABASE-DRIFT_LATENT_HP_ERROR'!$A$143:$B$160,2,FALSE()),"")</f>
        <v>Work at Height</v>
      </c>
      <c r="D25" s="23" t="s">
        <v>462</v>
      </c>
      <c r="E25" s="23" t="s">
        <v>479</v>
      </c>
      <c r="F25" s="18" t="s">
        <v>488</v>
      </c>
    </row>
    <row r="26" spans="1:6" ht="21" customHeight="1" x14ac:dyDescent="0.45">
      <c r="A26" s="2" t="s">
        <v>206</v>
      </c>
      <c r="B26" s="23" t="s">
        <v>207</v>
      </c>
      <c r="C26" s="23" t="str">
        <f>IFERROR(VLOOKUP(B26,'DATABASE-DRIFT_LATENT_HP_ERROR'!$A$143:$B$160,2,FALSE()),"")</f>
        <v>Confined Space Entry</v>
      </c>
      <c r="D26" s="23" t="s">
        <v>453</v>
      </c>
      <c r="E26" s="23" t="s">
        <v>474</v>
      </c>
      <c r="F26" s="18" t="s">
        <v>489</v>
      </c>
    </row>
    <row r="27" spans="1:6" ht="14.25" customHeight="1" x14ac:dyDescent="0.45">
      <c r="A27" s="2" t="s">
        <v>206</v>
      </c>
      <c r="B27" s="23" t="s">
        <v>207</v>
      </c>
      <c r="C27" s="23" t="str">
        <f>IFERROR(VLOOKUP(B27,'DATABASE-DRIFT_LATENT_HP_ERROR'!$A$143:$B$160,2,FALSE()),"")</f>
        <v>Confined Space Entry</v>
      </c>
      <c r="D27" s="23" t="s">
        <v>456</v>
      </c>
      <c r="E27" s="23" t="s">
        <v>457</v>
      </c>
      <c r="F27" s="18" t="s">
        <v>490</v>
      </c>
    </row>
    <row r="28" spans="1:6" ht="21" customHeight="1" x14ac:dyDescent="0.45">
      <c r="A28" s="2" t="s">
        <v>206</v>
      </c>
      <c r="B28" s="23" t="s">
        <v>207</v>
      </c>
      <c r="C28" s="23" t="str">
        <f>IFERROR(VLOOKUP(B28,'DATABASE-DRIFT_LATENT_HP_ERROR'!$A$143:$B$160,2,FALSE()),"")</f>
        <v>Confined Space Entry</v>
      </c>
      <c r="D28" s="23" t="s">
        <v>459</v>
      </c>
      <c r="E28" s="23" t="s">
        <v>460</v>
      </c>
      <c r="F28" s="18" t="s">
        <v>491</v>
      </c>
    </row>
    <row r="29" spans="1:6" ht="21" customHeight="1" x14ac:dyDescent="0.45">
      <c r="A29" s="2" t="s">
        <v>206</v>
      </c>
      <c r="B29" s="23" t="s">
        <v>207</v>
      </c>
      <c r="C29" s="23" t="str">
        <f>IFERROR(VLOOKUP(B29,'DATABASE-DRIFT_LATENT_HP_ERROR'!$A$143:$B$160,2,FALSE()),"")</f>
        <v>Confined Space Entry</v>
      </c>
      <c r="D29" s="23" t="s">
        <v>462</v>
      </c>
      <c r="E29" s="23" t="s">
        <v>463</v>
      </c>
      <c r="F29" s="18" t="s">
        <v>492</v>
      </c>
    </row>
    <row r="30" spans="1:6" ht="14.25" customHeight="1" x14ac:dyDescent="0.45">
      <c r="A30" s="2" t="s">
        <v>245</v>
      </c>
      <c r="B30" s="23" t="s">
        <v>207</v>
      </c>
      <c r="C30" s="23" t="str">
        <f>IFERROR(VLOOKUP(B30,'DATABASE-DRIFT_LATENT_HP_ERROR'!$A$143:$B$160,2,FALSE()),"")</f>
        <v>Confined Space Entry</v>
      </c>
      <c r="D30" s="23" t="s">
        <v>453</v>
      </c>
      <c r="E30" s="23" t="s">
        <v>454</v>
      </c>
      <c r="F30" s="18" t="s">
        <v>493</v>
      </c>
    </row>
    <row r="31" spans="1:6" ht="14.25" customHeight="1" x14ac:dyDescent="0.45">
      <c r="A31" s="2" t="s">
        <v>245</v>
      </c>
      <c r="B31" s="23" t="s">
        <v>207</v>
      </c>
      <c r="C31" s="23" t="str">
        <f>IFERROR(VLOOKUP(B31,'DATABASE-DRIFT_LATENT_HP_ERROR'!$A$143:$B$160,2,FALSE()),"")</f>
        <v>Confined Space Entry</v>
      </c>
      <c r="D31" s="23" t="s">
        <v>456</v>
      </c>
      <c r="E31" s="23" t="s">
        <v>494</v>
      </c>
      <c r="F31" s="18" t="s">
        <v>495</v>
      </c>
    </row>
    <row r="32" spans="1:6" ht="14.25" customHeight="1" x14ac:dyDescent="0.45">
      <c r="A32" s="2" t="s">
        <v>245</v>
      </c>
      <c r="B32" s="23" t="s">
        <v>207</v>
      </c>
      <c r="C32" s="23" t="str">
        <f>IFERROR(VLOOKUP(B32,'DATABASE-DRIFT_LATENT_HP_ERROR'!$A$143:$B$160,2,FALSE()),"")</f>
        <v>Confined Space Entry</v>
      </c>
      <c r="D32" s="23" t="s">
        <v>459</v>
      </c>
      <c r="E32" s="23" t="s">
        <v>476</v>
      </c>
      <c r="F32" s="18" t="s">
        <v>496</v>
      </c>
    </row>
    <row r="33" spans="1:6" ht="14.25" customHeight="1" x14ac:dyDescent="0.45">
      <c r="A33" s="2" t="s">
        <v>245</v>
      </c>
      <c r="B33" s="23" t="s">
        <v>207</v>
      </c>
      <c r="C33" s="23" t="str">
        <f>IFERROR(VLOOKUP(B33,'DATABASE-DRIFT_LATENT_HP_ERROR'!$A$143:$B$160,2,FALSE()),"")</f>
        <v>Confined Space Entry</v>
      </c>
      <c r="D33" s="23" t="s">
        <v>462</v>
      </c>
      <c r="E33" s="23" t="s">
        <v>463</v>
      </c>
      <c r="F33" s="18" t="s">
        <v>497</v>
      </c>
    </row>
    <row r="34" spans="1:6" ht="14.25" customHeight="1" x14ac:dyDescent="0.45">
      <c r="A34" s="2" t="s">
        <v>264</v>
      </c>
      <c r="B34" s="23" t="s">
        <v>207</v>
      </c>
      <c r="C34" s="23" t="str">
        <f>IFERROR(VLOOKUP(B34,'DATABASE-DRIFT_LATENT_HP_ERROR'!$A$143:$B$160,2,FALSE()),"")</f>
        <v>Confined Space Entry</v>
      </c>
      <c r="D34" s="23" t="s">
        <v>453</v>
      </c>
      <c r="E34" s="23" t="s">
        <v>454</v>
      </c>
      <c r="F34" s="18" t="s">
        <v>493</v>
      </c>
    </row>
    <row r="35" spans="1:6" ht="14.25" customHeight="1" x14ac:dyDescent="0.45">
      <c r="A35" s="2" t="s">
        <v>264</v>
      </c>
      <c r="B35" s="23" t="s">
        <v>207</v>
      </c>
      <c r="C35" s="23" t="str">
        <f>IFERROR(VLOOKUP(B35,'DATABASE-DRIFT_LATENT_HP_ERROR'!$A$143:$B$160,2,FALSE()),"")</f>
        <v>Confined Space Entry</v>
      </c>
      <c r="D35" s="23" t="s">
        <v>456</v>
      </c>
      <c r="E35" s="23" t="s">
        <v>494</v>
      </c>
      <c r="F35" s="18" t="s">
        <v>498</v>
      </c>
    </row>
    <row r="36" spans="1:6" ht="14.25" customHeight="1" x14ac:dyDescent="0.45">
      <c r="A36" s="2" t="s">
        <v>264</v>
      </c>
      <c r="B36" s="23" t="s">
        <v>207</v>
      </c>
      <c r="C36" s="23" t="str">
        <f>IFERROR(VLOOKUP(B36,'DATABASE-DRIFT_LATENT_HP_ERROR'!$A$143:$B$160,2,FALSE()),"")</f>
        <v>Confined Space Entry</v>
      </c>
      <c r="D36" s="23" t="s">
        <v>459</v>
      </c>
      <c r="E36" s="23" t="s">
        <v>476</v>
      </c>
      <c r="F36" s="18" t="s">
        <v>496</v>
      </c>
    </row>
    <row r="37" spans="1:6" ht="14.25" customHeight="1" x14ac:dyDescent="0.45">
      <c r="A37" s="2" t="s">
        <v>264</v>
      </c>
      <c r="B37" s="23" t="s">
        <v>207</v>
      </c>
      <c r="C37" s="23" t="str">
        <f>IFERROR(VLOOKUP(B37,'DATABASE-DRIFT_LATENT_HP_ERROR'!$A$143:$B$160,2,FALSE()),"")</f>
        <v>Confined Space Entry</v>
      </c>
      <c r="D37" s="23" t="s">
        <v>462</v>
      </c>
      <c r="E37" s="23" t="s">
        <v>463</v>
      </c>
      <c r="F37" s="18" t="s">
        <v>497</v>
      </c>
    </row>
    <row r="38" spans="1:6" ht="14.25" customHeight="1" x14ac:dyDescent="0.45">
      <c r="A38" s="2" t="s">
        <v>275</v>
      </c>
      <c r="B38" s="23" t="s">
        <v>34</v>
      </c>
      <c r="C38" s="23" t="str">
        <f>IFERROR(VLOOKUP(B38,'DATABASE-DRIFT_LATENT_HP_ERROR'!$A$143:$B$160,2,FALSE()),"")</f>
        <v>Work at Height</v>
      </c>
      <c r="D38" s="23" t="s">
        <v>453</v>
      </c>
      <c r="E38" s="23" t="s">
        <v>454</v>
      </c>
      <c r="F38" s="18" t="s">
        <v>499</v>
      </c>
    </row>
    <row r="39" spans="1:6" ht="14.25" customHeight="1" x14ac:dyDescent="0.45">
      <c r="A39" s="2" t="s">
        <v>275</v>
      </c>
      <c r="B39" s="23" t="s">
        <v>34</v>
      </c>
      <c r="C39" s="23" t="str">
        <f>IFERROR(VLOOKUP(B39,'DATABASE-DRIFT_LATENT_HP_ERROR'!$A$143:$B$160,2,FALSE()),"")</f>
        <v>Work at Height</v>
      </c>
      <c r="D39" s="23" t="s">
        <v>456</v>
      </c>
      <c r="E39" s="23" t="s">
        <v>457</v>
      </c>
      <c r="F39" s="18" t="s">
        <v>500</v>
      </c>
    </row>
    <row r="40" spans="1:6" ht="14.25" customHeight="1" x14ac:dyDescent="0.45">
      <c r="A40" s="2" t="s">
        <v>275</v>
      </c>
      <c r="B40" s="23" t="s">
        <v>34</v>
      </c>
      <c r="C40" s="23" t="str">
        <f>IFERROR(VLOOKUP(B40,'DATABASE-DRIFT_LATENT_HP_ERROR'!$A$143:$B$160,2,FALSE()),"")</f>
        <v>Work at Height</v>
      </c>
      <c r="D40" s="23" t="s">
        <v>459</v>
      </c>
      <c r="E40" s="23" t="s">
        <v>476</v>
      </c>
      <c r="F40" s="18" t="s">
        <v>501</v>
      </c>
    </row>
    <row r="41" spans="1:6" ht="14.25" customHeight="1" x14ac:dyDescent="0.45">
      <c r="A41" s="2" t="s">
        <v>275</v>
      </c>
      <c r="B41" s="23" t="s">
        <v>34</v>
      </c>
      <c r="C41" s="23" t="str">
        <f>IFERROR(VLOOKUP(B41,'DATABASE-DRIFT_LATENT_HP_ERROR'!$A$143:$B$160,2,FALSE()),"")</f>
        <v>Work at Height</v>
      </c>
      <c r="D41" s="23" t="s">
        <v>462</v>
      </c>
      <c r="E41" s="23" t="s">
        <v>479</v>
      </c>
      <c r="F41" s="18" t="s">
        <v>502</v>
      </c>
    </row>
    <row r="42" spans="1:6" ht="14.25" customHeight="1" x14ac:dyDescent="0.45">
      <c r="A42" s="2" t="s">
        <v>291</v>
      </c>
      <c r="B42" s="23" t="s">
        <v>292</v>
      </c>
      <c r="C42" s="23" t="str">
        <f>IFERROR(VLOOKUP(B42,'DATABASE-DRIFT_LATENT_HP_ERROR'!$A$143:$B$160,2,FALSE()),"")</f>
        <v>Hot Work</v>
      </c>
      <c r="D42" s="23" t="s">
        <v>459</v>
      </c>
      <c r="E42" s="23" t="s">
        <v>503</v>
      </c>
      <c r="F42" s="18" t="s">
        <v>504</v>
      </c>
    </row>
    <row r="43" spans="1:6" ht="14.25" customHeight="1" x14ac:dyDescent="0.45">
      <c r="A43" s="2" t="s">
        <v>291</v>
      </c>
      <c r="B43" s="23" t="s">
        <v>292</v>
      </c>
      <c r="C43" s="23" t="str">
        <f>IFERROR(VLOOKUP(B43,'DATABASE-DRIFT_LATENT_HP_ERROR'!$A$143:$B$160,2,FALSE()),"")</f>
        <v>Hot Work</v>
      </c>
      <c r="D43" s="23" t="s">
        <v>462</v>
      </c>
      <c r="E43" s="23" t="s">
        <v>505</v>
      </c>
      <c r="F43" s="18" t="s">
        <v>504</v>
      </c>
    </row>
    <row r="44" spans="1:6" ht="14.25" customHeight="1" x14ac:dyDescent="0.45">
      <c r="A44" s="2" t="s">
        <v>291</v>
      </c>
      <c r="B44" s="23" t="s">
        <v>292</v>
      </c>
      <c r="C44" s="23" t="str">
        <f>IFERROR(VLOOKUP(B44,'DATABASE-DRIFT_LATENT_HP_ERROR'!$A$143:$B$160,2,FALSE()),"")</f>
        <v>Hot Work</v>
      </c>
      <c r="D44" s="23" t="s">
        <v>459</v>
      </c>
      <c r="E44" s="23" t="s">
        <v>506</v>
      </c>
      <c r="F44" s="18" t="s">
        <v>504</v>
      </c>
    </row>
    <row r="45" spans="1:6" ht="14.25" customHeight="1" x14ac:dyDescent="0.45">
      <c r="A45" s="2" t="s">
        <v>291</v>
      </c>
      <c r="B45" s="23" t="s">
        <v>292</v>
      </c>
      <c r="C45" s="23" t="str">
        <f>IFERROR(VLOOKUP(B45,'DATABASE-DRIFT_LATENT_HP_ERROR'!$A$143:$B$160,2,FALSE()),"")</f>
        <v>Hot Work</v>
      </c>
      <c r="D45" s="23" t="s">
        <v>453</v>
      </c>
      <c r="E45" s="23" t="s">
        <v>454</v>
      </c>
      <c r="F45" s="18" t="s">
        <v>504</v>
      </c>
    </row>
    <row r="46" spans="1:6" ht="14.25" customHeight="1" x14ac:dyDescent="0.45">
      <c r="A46" s="2" t="s">
        <v>321</v>
      </c>
      <c r="B46" s="23" t="s">
        <v>34</v>
      </c>
      <c r="C46" s="23" t="str">
        <f>IFERROR(VLOOKUP(B46,'DATABASE-DRIFT_LATENT_HP_ERROR'!$A$143:$B$160,2,FALSE()),"")</f>
        <v>Work at Height</v>
      </c>
      <c r="D46" s="23" t="s">
        <v>459</v>
      </c>
      <c r="E46" s="23" t="s">
        <v>507</v>
      </c>
      <c r="F46" s="18" t="s">
        <v>504</v>
      </c>
    </row>
    <row r="47" spans="1:6" ht="14.25" customHeight="1" x14ac:dyDescent="0.45">
      <c r="A47" s="2" t="s">
        <v>321</v>
      </c>
      <c r="B47" s="23" t="s">
        <v>34</v>
      </c>
      <c r="C47" s="23" t="str">
        <f>IFERROR(VLOOKUP(B47,'DATABASE-DRIFT_LATENT_HP_ERROR'!$A$143:$B$160,2,FALSE()),"")</f>
        <v>Work at Height</v>
      </c>
      <c r="D47" s="23" t="s">
        <v>456</v>
      </c>
      <c r="E47" s="23" t="s">
        <v>508</v>
      </c>
      <c r="F47" s="18" t="s">
        <v>504</v>
      </c>
    </row>
    <row r="48" spans="1:6" ht="14.25" customHeight="1" x14ac:dyDescent="0.45">
      <c r="A48" s="2" t="s">
        <v>321</v>
      </c>
      <c r="B48" s="23" t="s">
        <v>34</v>
      </c>
      <c r="C48" s="23" t="str">
        <f>IFERROR(VLOOKUP(B48,'DATABASE-DRIFT_LATENT_HP_ERROR'!$A$143:$B$160,2,FALSE()),"")</f>
        <v>Work at Height</v>
      </c>
      <c r="D48" s="23" t="s">
        <v>462</v>
      </c>
      <c r="E48" s="23" t="s">
        <v>505</v>
      </c>
      <c r="F48" s="18" t="s">
        <v>504</v>
      </c>
    </row>
    <row r="49" spans="1:6" ht="14.25" customHeight="1" x14ac:dyDescent="0.45">
      <c r="A49" s="2" t="s">
        <v>321</v>
      </c>
      <c r="B49" s="23" t="s">
        <v>34</v>
      </c>
      <c r="C49" s="23" t="str">
        <f>IFERROR(VLOOKUP(B49,'DATABASE-DRIFT_LATENT_HP_ERROR'!$A$143:$B$160,2,FALSE()),"")</f>
        <v>Work at Height</v>
      </c>
      <c r="D49" s="23" t="s">
        <v>453</v>
      </c>
      <c r="E49" s="23" t="s">
        <v>454</v>
      </c>
      <c r="F49" s="18" t="s">
        <v>504</v>
      </c>
    </row>
    <row r="50" spans="1:6" ht="14.25" customHeight="1" x14ac:dyDescent="0.45">
      <c r="A50" s="1" t="s">
        <v>333</v>
      </c>
      <c r="B50" s="1" t="s">
        <v>143</v>
      </c>
      <c r="C50" s="1" t="str">
        <f>IFERROR(VLOOKUP(B50,'DATABASE-DRIFT_LATENT_HP_ERROR'!$A$143:$B$160,2,FALSE()),"")</f>
        <v>Ground Disturbance or Excavation</v>
      </c>
      <c r="D50" s="4" t="s">
        <v>509</v>
      </c>
      <c r="E50" s="4" t="s">
        <v>454</v>
      </c>
      <c r="F50" s="18" t="s">
        <v>510</v>
      </c>
    </row>
    <row r="51" spans="1:6" ht="14.25" customHeight="1" x14ac:dyDescent="0.45">
      <c r="A51" s="1" t="s">
        <v>348</v>
      </c>
      <c r="B51" s="1" t="s">
        <v>34</v>
      </c>
      <c r="C51" s="1" t="str">
        <f>IFERROR(VLOOKUP(B51,'DATABASE-DRIFT_LATENT_HP_ERROR'!$A$143:$B$160,2,FALSE()),"")</f>
        <v>Work at Height</v>
      </c>
      <c r="D51" s="4" t="s">
        <v>509</v>
      </c>
      <c r="E51" s="4" t="s">
        <v>454</v>
      </c>
      <c r="F51" s="18" t="s">
        <v>511</v>
      </c>
    </row>
    <row r="52" spans="1:6" ht="14.25" customHeight="1" x14ac:dyDescent="0.45">
      <c r="A52" s="1" t="s">
        <v>366</v>
      </c>
      <c r="B52" s="1" t="s">
        <v>34</v>
      </c>
      <c r="C52" s="1" t="str">
        <f>IFERROR(VLOOKUP(B52,'DATABASE-DRIFT_LATENT_HP_ERROR'!$A$143:$B$160,2,FALSE()),"")</f>
        <v>Work at Height</v>
      </c>
      <c r="D52" s="4" t="s">
        <v>509</v>
      </c>
      <c r="E52" s="4" t="s">
        <v>454</v>
      </c>
      <c r="F52" s="18" t="s">
        <v>512</v>
      </c>
    </row>
    <row r="53" spans="1:6" ht="14.25" customHeight="1" x14ac:dyDescent="0.45">
      <c r="A53" s="1" t="s">
        <v>378</v>
      </c>
      <c r="B53" s="1" t="s">
        <v>207</v>
      </c>
      <c r="C53" s="1" t="str">
        <f>IFERROR(VLOOKUP(B53,'DATABASE-DRIFT_LATENT_HP_ERROR'!$A$143:$B$160,2,FALSE()),"")</f>
        <v>Confined Space Entry</v>
      </c>
      <c r="D53" s="4" t="s">
        <v>509</v>
      </c>
      <c r="E53" s="4" t="s">
        <v>454</v>
      </c>
      <c r="F53" s="18" t="s">
        <v>513</v>
      </c>
    </row>
    <row r="54" spans="1:6" ht="14.25" customHeight="1" x14ac:dyDescent="0.45">
      <c r="A54" s="1" t="s">
        <v>394</v>
      </c>
      <c r="B54" s="1" t="s">
        <v>92</v>
      </c>
      <c r="C54" s="1" t="str">
        <f>IFERROR(VLOOKUP(B54,'DATABASE-DRIFT_LATENT_HP_ERROR'!$A$143:$B$160,2,FALSE()),"")</f>
        <v>Powered System / Isolation of Hazardous Energy</v>
      </c>
      <c r="D54" s="4" t="s">
        <v>509</v>
      </c>
      <c r="E54" s="4" t="s">
        <v>454</v>
      </c>
      <c r="F54" s="18" t="s">
        <v>514</v>
      </c>
    </row>
    <row r="55" spans="1:6" ht="14.25" customHeight="1" x14ac:dyDescent="0.45">
      <c r="A55" s="1" t="s">
        <v>402</v>
      </c>
      <c r="B55" s="1" t="s">
        <v>34</v>
      </c>
      <c r="C55" s="1" t="str">
        <f>IFERROR(VLOOKUP(B55,'DATABASE-DRIFT_LATENT_HP_ERROR'!$A$143:$B$160,2,FALSE()),"")</f>
        <v>Work at Height</v>
      </c>
      <c r="D55" s="4" t="s">
        <v>509</v>
      </c>
      <c r="E55" s="4" t="s">
        <v>454</v>
      </c>
      <c r="F55" s="18" t="s">
        <v>515</v>
      </c>
    </row>
    <row r="56" spans="1:6" ht="14.25" customHeight="1" x14ac:dyDescent="0.45">
      <c r="A56" s="1" t="s">
        <v>409</v>
      </c>
      <c r="B56" s="1" t="s">
        <v>410</v>
      </c>
      <c r="C56" s="1" t="str">
        <f>IFERROR(VLOOKUP(B56,'DATABASE-DRIFT_LATENT_HP_ERROR'!$A$143:$B$160,2,FALSE()),"")</f>
        <v>Line of Fire</v>
      </c>
      <c r="D56" s="4" t="s">
        <v>509</v>
      </c>
      <c r="E56" s="4" t="s">
        <v>454</v>
      </c>
      <c r="F56" s="18" t="s">
        <v>516</v>
      </c>
    </row>
    <row r="57" spans="1:6" ht="14.25" customHeight="1" x14ac:dyDescent="0.45">
      <c r="A57" s="1" t="s">
        <v>443</v>
      </c>
      <c r="B57" s="1" t="s">
        <v>92</v>
      </c>
      <c r="C57" s="1" t="str">
        <f>IFERROR(VLOOKUP(B57,'DATABASE-DRIFT_LATENT_HP_ERROR'!$A$143:$B$160,2,FALSE()),"")</f>
        <v>Powered System / Isolation of Hazardous Energy</v>
      </c>
      <c r="D57" s="4" t="s">
        <v>509</v>
      </c>
      <c r="E57" s="4" t="s">
        <v>454</v>
      </c>
      <c r="F57" s="18" t="s">
        <v>517</v>
      </c>
    </row>
  </sheetData>
  <dataValidations count="5">
    <dataValidation type="list" allowBlank="1" showInputMessage="1" showErrorMessage="1" sqref="B2:B21" xr:uid="{00000000-0002-0000-0100-000000000000}">
      <formula1>VV_Protocols</formula1>
      <formula2>0</formula2>
    </dataValidation>
    <dataValidation type="list" allowBlank="1" showInputMessage="1" showErrorMessage="1" sqref="E2 E6 E10 E14 E18" xr:uid="{00000000-0002-0000-0100-000001000000}">
      <formula1>ErrorTrap.1</formula1>
      <formula2>0</formula2>
    </dataValidation>
    <dataValidation type="list" allowBlank="1" showInputMessage="1" showErrorMessage="1" sqref="E3 E7 E11 E15 E19" xr:uid="{00000000-0002-0000-0100-000002000000}">
      <formula1>ErrorTrap.2</formula1>
      <formula2>0</formula2>
    </dataValidation>
    <dataValidation type="list" allowBlank="1" showInputMessage="1" showErrorMessage="1" sqref="E4 E8 E12 E16 E20" xr:uid="{00000000-0002-0000-0100-000003000000}">
      <formula1>ErrorTrap.3</formula1>
      <formula2>0</formula2>
    </dataValidation>
    <dataValidation type="list" allowBlank="1" showInputMessage="1" showErrorMessage="1" sqref="E5 E9 E13 E17 E21" xr:uid="{00000000-0002-0000-0100-000004000000}">
      <formula1>ErrorTrap.4</formula1>
      <formula2>0</formula2>
    </dataValidation>
  </dataValidation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0"/>
  <sheetViews>
    <sheetView zoomScaleNormal="100" workbookViewId="0"/>
  </sheetViews>
  <sheetFormatPr defaultColWidth="8.6640625" defaultRowHeight="14.25" customHeight="1" x14ac:dyDescent="0.45"/>
  <cols>
    <col min="1" max="1" width="7" style="4" customWidth="1"/>
    <col min="2" max="2" width="7.59765625" style="4" customWidth="1"/>
    <col min="3" max="3" width="27.796875" style="24" customWidth="1"/>
    <col min="4" max="4" width="19.33203125" style="4" customWidth="1"/>
    <col min="5" max="5" width="36" style="4" customWidth="1"/>
    <col min="6" max="6" width="87.46484375" style="4" customWidth="1"/>
    <col min="7" max="7" width="88.73046875" style="4" customWidth="1"/>
    <col min="8" max="8" width="42" style="4" customWidth="1"/>
  </cols>
  <sheetData>
    <row r="1" spans="1:8" ht="14.25" customHeight="1" x14ac:dyDescent="0.45">
      <c r="A1" s="19" t="s">
        <v>0</v>
      </c>
      <c r="B1" s="9" t="s">
        <v>450</v>
      </c>
      <c r="C1" s="5" t="s">
        <v>450</v>
      </c>
      <c r="D1" s="20" t="s">
        <v>518</v>
      </c>
      <c r="E1" s="19" t="s">
        <v>519</v>
      </c>
      <c r="F1" s="19" t="s">
        <v>520</v>
      </c>
      <c r="G1" s="19" t="s">
        <v>521</v>
      </c>
      <c r="H1" s="20" t="s">
        <v>522</v>
      </c>
    </row>
    <row r="2" spans="1:8" ht="14.25" customHeight="1" x14ac:dyDescent="0.45">
      <c r="A2" s="4" t="s">
        <v>32</v>
      </c>
      <c r="B2" s="15" t="s">
        <v>34</v>
      </c>
      <c r="C2" s="1" t="str">
        <f>IFERROR(VLOOKUP(B2,'DATABASE-DRIFT_LATENT_HP_ERROR'!$A$143:$B$160,2,FALSE()),"")</f>
        <v>Work at Height</v>
      </c>
      <c r="D2" s="4" t="s">
        <v>523</v>
      </c>
      <c r="E2" s="4" t="s">
        <v>524</v>
      </c>
      <c r="F2" s="4" t="s">
        <v>525</v>
      </c>
      <c r="G2" s="4" t="s">
        <v>526</v>
      </c>
      <c r="H2" s="4" t="s">
        <v>527</v>
      </c>
    </row>
    <row r="3" spans="1:8" ht="14.25" customHeight="1" x14ac:dyDescent="0.45">
      <c r="A3" s="4" t="s">
        <v>32</v>
      </c>
      <c r="B3" s="15" t="s">
        <v>34</v>
      </c>
      <c r="C3" s="1" t="str">
        <f>IFERROR(VLOOKUP(B3,'DATABASE-DRIFT_LATENT_HP_ERROR'!$A$143:$B$160,2,FALSE()),"")</f>
        <v>Work at Height</v>
      </c>
      <c r="D3" s="4" t="s">
        <v>528</v>
      </c>
      <c r="E3" s="4" t="s">
        <v>529</v>
      </c>
      <c r="F3" s="4" t="s">
        <v>530</v>
      </c>
      <c r="G3" s="4" t="s">
        <v>531</v>
      </c>
      <c r="H3" s="4" t="s">
        <v>532</v>
      </c>
    </row>
    <row r="4" spans="1:8" ht="14.25" customHeight="1" x14ac:dyDescent="0.45">
      <c r="A4" s="4" t="s">
        <v>91</v>
      </c>
      <c r="B4" s="15" t="s">
        <v>92</v>
      </c>
      <c r="C4" s="1" t="str">
        <f>IFERROR(VLOOKUP(B4,'DATABASE-DRIFT_LATENT_HP_ERROR'!$A$143:$B$160,2,FALSE()),"")</f>
        <v>Powered System / Isolation of Hazardous Energy</v>
      </c>
      <c r="D4" s="4" t="s">
        <v>523</v>
      </c>
      <c r="E4" s="4" t="s">
        <v>533</v>
      </c>
      <c r="F4" s="4" t="s">
        <v>534</v>
      </c>
      <c r="G4" s="4" t="s">
        <v>535</v>
      </c>
      <c r="H4" s="4" t="s">
        <v>536</v>
      </c>
    </row>
    <row r="5" spans="1:8" ht="14.25" customHeight="1" x14ac:dyDescent="0.45">
      <c r="A5" s="4" t="s">
        <v>91</v>
      </c>
      <c r="B5" s="15" t="s">
        <v>92</v>
      </c>
      <c r="C5" s="1" t="str">
        <f>IFERROR(VLOOKUP(B5,'DATABASE-DRIFT_LATENT_HP_ERROR'!$A$143:$B$160,2,FALSE()),"")</f>
        <v>Powered System / Isolation of Hazardous Energy</v>
      </c>
      <c r="D5" s="4" t="s">
        <v>528</v>
      </c>
      <c r="E5" s="4" t="s">
        <v>537</v>
      </c>
      <c r="F5" s="4" t="s">
        <v>538</v>
      </c>
      <c r="G5" s="4" t="s">
        <v>539</v>
      </c>
      <c r="H5" s="4" t="s">
        <v>540</v>
      </c>
    </row>
    <row r="6" spans="1:8" ht="14.25" customHeight="1" x14ac:dyDescent="0.45">
      <c r="A6" s="4" t="s">
        <v>132</v>
      </c>
      <c r="B6" s="15" t="s">
        <v>92</v>
      </c>
      <c r="C6" s="1" t="str">
        <f>IFERROR(VLOOKUP(B6,'DATABASE-DRIFT_LATENT_HP_ERROR'!$A$143:$B$160,2,FALSE()),"")</f>
        <v>Powered System / Isolation of Hazardous Energy</v>
      </c>
      <c r="D6" s="4" t="s">
        <v>523</v>
      </c>
      <c r="E6" s="4" t="s">
        <v>541</v>
      </c>
      <c r="F6" s="4" t="s">
        <v>542</v>
      </c>
      <c r="G6" s="4" t="s">
        <v>543</v>
      </c>
      <c r="H6" s="4" t="s">
        <v>544</v>
      </c>
    </row>
    <row r="7" spans="1:8" ht="14.25" customHeight="1" x14ac:dyDescent="0.45">
      <c r="A7" s="4" t="s">
        <v>132</v>
      </c>
      <c r="B7" s="15" t="s">
        <v>92</v>
      </c>
      <c r="C7" s="1" t="str">
        <f>IFERROR(VLOOKUP(B7,'DATABASE-DRIFT_LATENT_HP_ERROR'!$A$143:$B$160,2,FALSE()),"")</f>
        <v>Powered System / Isolation of Hazardous Energy</v>
      </c>
      <c r="D7" s="4" t="s">
        <v>528</v>
      </c>
      <c r="E7" s="4" t="s">
        <v>545</v>
      </c>
      <c r="F7" s="4" t="s">
        <v>546</v>
      </c>
      <c r="G7" s="4" t="s">
        <v>547</v>
      </c>
      <c r="H7" s="4" t="s">
        <v>548</v>
      </c>
    </row>
    <row r="8" spans="1:8" ht="14.25" customHeight="1" x14ac:dyDescent="0.45">
      <c r="A8" s="4" t="s">
        <v>142</v>
      </c>
      <c r="B8" s="15" t="s">
        <v>143</v>
      </c>
      <c r="C8" s="1" t="str">
        <f>IFERROR(VLOOKUP(B8,'DATABASE-DRIFT_LATENT_HP_ERROR'!$A$143:$B$160,2,FALSE()),"")</f>
        <v>Ground Disturbance or Excavation</v>
      </c>
      <c r="D8" s="4" t="s">
        <v>523</v>
      </c>
      <c r="E8" s="4" t="s">
        <v>549</v>
      </c>
      <c r="F8" s="4" t="s">
        <v>550</v>
      </c>
      <c r="G8" s="4" t="s">
        <v>551</v>
      </c>
      <c r="H8" s="4" t="s">
        <v>552</v>
      </c>
    </row>
    <row r="9" spans="1:8" ht="14.25" customHeight="1" x14ac:dyDescent="0.45">
      <c r="A9" s="4" t="s">
        <v>142</v>
      </c>
      <c r="B9" s="15" t="s">
        <v>143</v>
      </c>
      <c r="C9" s="1" t="str">
        <f>IFERROR(VLOOKUP(B9,'DATABASE-DRIFT_LATENT_HP_ERROR'!$A$143:$B$160,2,FALSE()),"")</f>
        <v>Ground Disturbance or Excavation</v>
      </c>
      <c r="D9" s="4" t="s">
        <v>528</v>
      </c>
      <c r="E9" s="4" t="s">
        <v>553</v>
      </c>
      <c r="F9" s="4" t="s">
        <v>554</v>
      </c>
      <c r="G9" s="4" t="s">
        <v>555</v>
      </c>
      <c r="H9" s="4" t="s">
        <v>556</v>
      </c>
    </row>
    <row r="10" spans="1:8" ht="14.25" customHeight="1" x14ac:dyDescent="0.45">
      <c r="A10" s="4" t="s">
        <v>170</v>
      </c>
      <c r="B10" s="15" t="s">
        <v>34</v>
      </c>
      <c r="C10" s="1" t="str">
        <f>IFERROR(VLOOKUP(B10,'DATABASE-DRIFT_LATENT_HP_ERROR'!$A$143:$B$160,2,FALSE()),"")</f>
        <v>Work at Height</v>
      </c>
      <c r="D10" s="4" t="s">
        <v>523</v>
      </c>
      <c r="E10" s="4" t="s">
        <v>557</v>
      </c>
      <c r="F10" s="4" t="s">
        <v>558</v>
      </c>
      <c r="G10" s="4" t="s">
        <v>559</v>
      </c>
      <c r="H10" s="4" t="s">
        <v>560</v>
      </c>
    </row>
    <row r="11" spans="1:8" ht="14.25" customHeight="1" x14ac:dyDescent="0.45">
      <c r="A11" s="4" t="s">
        <v>170</v>
      </c>
      <c r="B11" s="15" t="s">
        <v>34</v>
      </c>
      <c r="C11" s="1" t="str">
        <f>IFERROR(VLOOKUP(B11,'DATABASE-DRIFT_LATENT_HP_ERROR'!$A$143:$B$160,2,FALSE()),"")</f>
        <v>Work at Height</v>
      </c>
      <c r="D11" s="4" t="s">
        <v>528</v>
      </c>
      <c r="E11" s="4" t="s">
        <v>561</v>
      </c>
      <c r="F11" s="4" t="s">
        <v>562</v>
      </c>
      <c r="G11" s="4" t="s">
        <v>563</v>
      </c>
      <c r="H11" s="4" t="s">
        <v>564</v>
      </c>
    </row>
    <row r="12" spans="1:8" ht="14.25" customHeight="1" x14ac:dyDescent="0.45">
      <c r="A12" s="23" t="s">
        <v>189</v>
      </c>
      <c r="B12" s="23" t="s">
        <v>34</v>
      </c>
      <c r="C12" s="25" t="str">
        <f>IFERROR(VLOOKUP(B12,'DATABASE-DRIFT_LATENT_HP_ERROR'!$A$143:$B$160,2,FALSE()),"")</f>
        <v>Work at Height</v>
      </c>
      <c r="D12" s="23" t="s">
        <v>523</v>
      </c>
      <c r="E12" s="23" t="s">
        <v>565</v>
      </c>
      <c r="F12" s="23" t="s">
        <v>566</v>
      </c>
      <c r="G12" s="23" t="s">
        <v>567</v>
      </c>
      <c r="H12" s="23" t="s">
        <v>568</v>
      </c>
    </row>
    <row r="13" spans="1:8" ht="14.25" customHeight="1" x14ac:dyDescent="0.45">
      <c r="A13" s="23" t="s">
        <v>189</v>
      </c>
      <c r="B13" s="23" t="s">
        <v>34</v>
      </c>
      <c r="C13" s="25" t="str">
        <f>IFERROR(VLOOKUP(B13,'DATABASE-DRIFT_LATENT_HP_ERROR'!$A$143:$B$160,2,FALSE()),"")</f>
        <v>Work at Height</v>
      </c>
      <c r="D13" s="23" t="s">
        <v>528</v>
      </c>
      <c r="E13" s="23" t="s">
        <v>569</v>
      </c>
      <c r="F13" s="23" t="s">
        <v>570</v>
      </c>
      <c r="G13" s="23" t="s">
        <v>571</v>
      </c>
      <c r="H13" s="23" t="s">
        <v>572</v>
      </c>
    </row>
    <row r="14" spans="1:8" ht="14.25" customHeight="1" x14ac:dyDescent="0.45">
      <c r="A14" s="23" t="s">
        <v>206</v>
      </c>
      <c r="B14" s="23" t="s">
        <v>207</v>
      </c>
      <c r="C14" s="25" t="str">
        <f>IFERROR(VLOOKUP(B14,'DATABASE-DRIFT_LATENT_HP_ERROR'!$A$143:$B$160,2,FALSE()),"")</f>
        <v>Confined Space Entry</v>
      </c>
      <c r="D14" s="23" t="s">
        <v>523</v>
      </c>
      <c r="E14" s="23" t="s">
        <v>573</v>
      </c>
      <c r="F14" s="23" t="s">
        <v>566</v>
      </c>
      <c r="G14" s="23" t="s">
        <v>574</v>
      </c>
      <c r="H14" s="23" t="s">
        <v>568</v>
      </c>
    </row>
    <row r="15" spans="1:8" ht="21" customHeight="1" x14ac:dyDescent="0.45">
      <c r="A15" s="23" t="s">
        <v>206</v>
      </c>
      <c r="B15" s="23" t="s">
        <v>207</v>
      </c>
      <c r="C15" s="25" t="str">
        <f>IFERROR(VLOOKUP(B15,'DATABASE-DRIFT_LATENT_HP_ERROR'!$A$143:$B$160,2,FALSE()),"")</f>
        <v>Confined Space Entry</v>
      </c>
      <c r="D15" s="23" t="s">
        <v>528</v>
      </c>
      <c r="E15" s="23" t="s">
        <v>575</v>
      </c>
      <c r="F15" s="23" t="s">
        <v>570</v>
      </c>
      <c r="G15" s="23" t="s">
        <v>576</v>
      </c>
      <c r="H15" s="23" t="s">
        <v>572</v>
      </c>
    </row>
    <row r="16" spans="1:8" ht="14.25" customHeight="1" x14ac:dyDescent="0.45">
      <c r="A16" s="23" t="s">
        <v>245</v>
      </c>
      <c r="B16" s="23" t="s">
        <v>207</v>
      </c>
      <c r="C16" s="25" t="str">
        <f>IFERROR(VLOOKUP(B16,'DATABASE-DRIFT_LATENT_HP_ERROR'!$A$143:$B$160,2,FALSE()),"")</f>
        <v>Confined Space Entry</v>
      </c>
      <c r="D16" s="23" t="s">
        <v>523</v>
      </c>
      <c r="E16" s="23" t="s">
        <v>573</v>
      </c>
      <c r="F16" s="23" t="s">
        <v>566</v>
      </c>
      <c r="G16" s="23" t="s">
        <v>577</v>
      </c>
      <c r="H16" s="23" t="s">
        <v>568</v>
      </c>
    </row>
    <row r="17" spans="1:8" ht="21" customHeight="1" x14ac:dyDescent="0.45">
      <c r="A17" s="23" t="s">
        <v>245</v>
      </c>
      <c r="B17" s="23" t="s">
        <v>207</v>
      </c>
      <c r="C17" s="25" t="str">
        <f>IFERROR(VLOOKUP(B17,'DATABASE-DRIFT_LATENT_HP_ERROR'!$A$143:$B$160,2,FALSE()),"")</f>
        <v>Confined Space Entry</v>
      </c>
      <c r="D17" s="23" t="s">
        <v>528</v>
      </c>
      <c r="E17" s="23" t="s">
        <v>575</v>
      </c>
      <c r="F17" s="23" t="s">
        <v>570</v>
      </c>
      <c r="G17" s="23" t="s">
        <v>578</v>
      </c>
      <c r="H17" s="23" t="s">
        <v>572</v>
      </c>
    </row>
    <row r="18" spans="1:8" ht="14.25" customHeight="1" x14ac:dyDescent="0.45">
      <c r="A18" s="23" t="s">
        <v>264</v>
      </c>
      <c r="B18" s="23" t="s">
        <v>207</v>
      </c>
      <c r="C18" s="25" t="str">
        <f>IFERROR(VLOOKUP(B18,'DATABASE-DRIFT_LATENT_HP_ERROR'!$A$143:$B$160,2,FALSE()),"")</f>
        <v>Confined Space Entry</v>
      </c>
      <c r="D18" s="23" t="s">
        <v>523</v>
      </c>
      <c r="E18" s="23" t="s">
        <v>573</v>
      </c>
      <c r="F18" s="23" t="s">
        <v>566</v>
      </c>
      <c r="G18" s="23" t="s">
        <v>579</v>
      </c>
      <c r="H18" s="23" t="s">
        <v>568</v>
      </c>
    </row>
    <row r="19" spans="1:8" ht="21" customHeight="1" x14ac:dyDescent="0.45">
      <c r="A19" s="23" t="s">
        <v>264</v>
      </c>
      <c r="B19" s="23" t="s">
        <v>207</v>
      </c>
      <c r="C19" s="25" t="str">
        <f>IFERROR(VLOOKUP(B19,'DATABASE-DRIFT_LATENT_HP_ERROR'!$A$143:$B$160,2,FALSE()),"")</f>
        <v>Confined Space Entry</v>
      </c>
      <c r="D19" s="23" t="s">
        <v>528</v>
      </c>
      <c r="E19" s="23" t="s">
        <v>575</v>
      </c>
      <c r="F19" s="23" t="s">
        <v>570</v>
      </c>
      <c r="G19" s="23" t="s">
        <v>580</v>
      </c>
      <c r="H19" s="23" t="s">
        <v>572</v>
      </c>
    </row>
    <row r="20" spans="1:8" ht="14.25" customHeight="1" x14ac:dyDescent="0.45">
      <c r="A20" s="23" t="s">
        <v>275</v>
      </c>
      <c r="B20" s="23" t="s">
        <v>34</v>
      </c>
      <c r="C20" s="25" t="str">
        <f>IFERROR(VLOOKUP(B20,'DATABASE-DRIFT_LATENT_HP_ERROR'!$A$143:$B$160,2,FALSE()),"")</f>
        <v>Work at Height</v>
      </c>
      <c r="D20" s="23" t="s">
        <v>523</v>
      </c>
      <c r="E20" s="23" t="s">
        <v>565</v>
      </c>
      <c r="F20" s="23" t="s">
        <v>566</v>
      </c>
      <c r="G20" s="23" t="s">
        <v>581</v>
      </c>
      <c r="H20" s="23" t="s">
        <v>568</v>
      </c>
    </row>
    <row r="21" spans="1:8" ht="14.25" customHeight="1" x14ac:dyDescent="0.45">
      <c r="A21" s="23" t="s">
        <v>275</v>
      </c>
      <c r="B21" s="23" t="s">
        <v>34</v>
      </c>
      <c r="C21" s="25" t="str">
        <f>IFERROR(VLOOKUP(B21,'DATABASE-DRIFT_LATENT_HP_ERROR'!$A$143:$B$160,2,FALSE()),"")</f>
        <v>Work at Height</v>
      </c>
      <c r="D21" s="23" t="s">
        <v>528</v>
      </c>
      <c r="E21" s="23" t="s">
        <v>569</v>
      </c>
      <c r="F21" s="23" t="s">
        <v>570</v>
      </c>
      <c r="G21" s="23" t="s">
        <v>582</v>
      </c>
      <c r="H21" s="23" t="s">
        <v>572</v>
      </c>
    </row>
    <row r="22" spans="1:8" ht="14.25" customHeight="1" x14ac:dyDescent="0.45">
      <c r="A22" s="23" t="s">
        <v>291</v>
      </c>
      <c r="B22" s="23" t="s">
        <v>292</v>
      </c>
      <c r="C22" s="25" t="str">
        <f>IFERROR(VLOOKUP(B22,'DATABASE-DRIFT_LATENT_HP_ERROR'!$A$143:$B$160,2,FALSE()),"")</f>
        <v>Hot Work</v>
      </c>
      <c r="D22" s="23" t="s">
        <v>528</v>
      </c>
      <c r="E22" s="23" t="s">
        <v>583</v>
      </c>
      <c r="F22" s="23" t="s">
        <v>570</v>
      </c>
      <c r="G22" s="23" t="s">
        <v>584</v>
      </c>
      <c r="H22" s="23" t="s">
        <v>585</v>
      </c>
    </row>
    <row r="23" spans="1:8" ht="14.25" customHeight="1" x14ac:dyDescent="0.45">
      <c r="A23" s="23" t="s">
        <v>321</v>
      </c>
      <c r="B23" s="23" t="s">
        <v>34</v>
      </c>
      <c r="C23" s="25" t="str">
        <f>IFERROR(VLOOKUP(B23,'DATABASE-DRIFT_LATENT_HP_ERROR'!$A$143:$B$160,2,FALSE()),"")</f>
        <v>Work at Height</v>
      </c>
      <c r="D23" s="23" t="s">
        <v>586</v>
      </c>
      <c r="E23" s="23" t="s">
        <v>587</v>
      </c>
      <c r="F23" s="23" t="s">
        <v>588</v>
      </c>
      <c r="G23" s="23" t="s">
        <v>589</v>
      </c>
      <c r="H23" s="23" t="s">
        <v>590</v>
      </c>
    </row>
    <row r="24" spans="1:8" ht="14.25" customHeight="1" x14ac:dyDescent="0.45">
      <c r="A24" s="23" t="s">
        <v>321</v>
      </c>
      <c r="B24" s="23" t="s">
        <v>34</v>
      </c>
      <c r="C24" s="25" t="str">
        <f>IFERROR(VLOOKUP(B24,'DATABASE-DRIFT_LATENT_HP_ERROR'!$A$143:$B$160,2,FALSE()),"")</f>
        <v>Work at Height</v>
      </c>
      <c r="D24" s="23" t="s">
        <v>528</v>
      </c>
      <c r="E24" s="23" t="s">
        <v>583</v>
      </c>
      <c r="F24" s="23" t="s">
        <v>570</v>
      </c>
      <c r="G24" s="23" t="s">
        <v>591</v>
      </c>
      <c r="H24" s="23" t="s">
        <v>585</v>
      </c>
    </row>
    <row r="25" spans="1:8" ht="14.25" customHeight="1" x14ac:dyDescent="0.45">
      <c r="A25" s="4" t="s">
        <v>333</v>
      </c>
      <c r="B25" s="1" t="s">
        <v>143</v>
      </c>
      <c r="C25" s="1" t="str">
        <f>IFERROR(VLOOKUP(B25,'DATABASE-DRIFT_LATENT_HP_ERROR'!$A$143:$B$160,2,FALSE()),"")</f>
        <v>Ground Disturbance or Excavation</v>
      </c>
      <c r="D25" s="4" t="s">
        <v>592</v>
      </c>
      <c r="E25" s="4" t="s">
        <v>593</v>
      </c>
      <c r="F25" s="4" t="s">
        <v>594</v>
      </c>
      <c r="G25" s="4" t="s">
        <v>595</v>
      </c>
      <c r="H25" s="4" t="s">
        <v>596</v>
      </c>
    </row>
    <row r="26" spans="1:8" ht="14.25" customHeight="1" x14ac:dyDescent="0.45">
      <c r="A26" s="4" t="s">
        <v>333</v>
      </c>
      <c r="B26" s="1" t="s">
        <v>143</v>
      </c>
      <c r="C26" s="1" t="str">
        <f>IFERROR(VLOOKUP(B26,'DATABASE-DRIFT_LATENT_HP_ERROR'!$A$143:$B$160,2,FALSE()),"")</f>
        <v>Ground Disturbance or Excavation</v>
      </c>
      <c r="D26" s="4" t="s">
        <v>528</v>
      </c>
      <c r="E26" s="4" t="s">
        <v>597</v>
      </c>
      <c r="F26" s="4" t="s">
        <v>598</v>
      </c>
      <c r="G26" s="4" t="s">
        <v>599</v>
      </c>
      <c r="H26" s="4" t="s">
        <v>596</v>
      </c>
    </row>
    <row r="27" spans="1:8" ht="14.25" customHeight="1" x14ac:dyDescent="0.45">
      <c r="A27" s="4" t="s">
        <v>348</v>
      </c>
      <c r="B27" s="1" t="s">
        <v>34</v>
      </c>
      <c r="C27" s="1" t="str">
        <f>IFERROR(VLOOKUP(B27,'DATABASE-DRIFT_LATENT_HP_ERROR'!$A$143:$B$160,2,FALSE()),"")</f>
        <v>Work at Height</v>
      </c>
      <c r="D27" s="4" t="s">
        <v>586</v>
      </c>
      <c r="E27" s="4" t="s">
        <v>600</v>
      </c>
      <c r="F27" s="4" t="s">
        <v>601</v>
      </c>
      <c r="G27" s="4" t="s">
        <v>602</v>
      </c>
      <c r="H27" s="4" t="s">
        <v>603</v>
      </c>
    </row>
    <row r="28" spans="1:8" ht="14.25" customHeight="1" x14ac:dyDescent="0.45">
      <c r="A28" s="4" t="s">
        <v>348</v>
      </c>
      <c r="B28" s="1" t="s">
        <v>34</v>
      </c>
      <c r="C28" s="1" t="str">
        <f>IFERROR(VLOOKUP(B28,'DATABASE-DRIFT_LATENT_HP_ERROR'!$A$143:$B$160,2,FALSE()),"")</f>
        <v>Work at Height</v>
      </c>
      <c r="D28" s="4" t="s">
        <v>528</v>
      </c>
      <c r="E28" s="4" t="s">
        <v>597</v>
      </c>
      <c r="F28" s="4" t="s">
        <v>598</v>
      </c>
      <c r="G28" s="4" t="s">
        <v>599</v>
      </c>
      <c r="H28" s="4" t="s">
        <v>603</v>
      </c>
    </row>
    <row r="29" spans="1:8" ht="14.25" customHeight="1" x14ac:dyDescent="0.45">
      <c r="A29" s="4" t="s">
        <v>366</v>
      </c>
      <c r="B29" s="1" t="s">
        <v>34</v>
      </c>
      <c r="C29" s="1" t="str">
        <f>IFERROR(VLOOKUP(B29,'DATABASE-DRIFT_LATENT_HP_ERROR'!$A$143:$B$160,2,FALSE()),"")</f>
        <v>Work at Height</v>
      </c>
      <c r="D29" s="4" t="s">
        <v>586</v>
      </c>
      <c r="E29" s="4" t="s">
        <v>600</v>
      </c>
      <c r="F29" s="4" t="s">
        <v>601</v>
      </c>
      <c r="G29" s="4" t="s">
        <v>602</v>
      </c>
      <c r="H29" s="4" t="s">
        <v>604</v>
      </c>
    </row>
    <row r="30" spans="1:8" ht="14.25" customHeight="1" x14ac:dyDescent="0.45">
      <c r="A30" s="4" t="s">
        <v>366</v>
      </c>
      <c r="B30" s="1" t="s">
        <v>34</v>
      </c>
      <c r="C30" s="1" t="str">
        <f>IFERROR(VLOOKUP(B30,'DATABASE-DRIFT_LATENT_HP_ERROR'!$A$143:$B$160,2,FALSE()),"")</f>
        <v>Work at Height</v>
      </c>
      <c r="D30" s="4" t="s">
        <v>528</v>
      </c>
      <c r="E30" s="4" t="s">
        <v>597</v>
      </c>
      <c r="F30" s="4" t="s">
        <v>598</v>
      </c>
      <c r="G30" s="4" t="s">
        <v>599</v>
      </c>
      <c r="H30" s="4" t="s">
        <v>604</v>
      </c>
    </row>
    <row r="31" spans="1:8" ht="14.25" customHeight="1" x14ac:dyDescent="0.45">
      <c r="A31" s="4" t="s">
        <v>370</v>
      </c>
      <c r="B31" s="1" t="s">
        <v>143</v>
      </c>
      <c r="C31" s="1" t="str">
        <f>IFERROR(VLOOKUP(B31,'DATABASE-DRIFT_LATENT_HP_ERROR'!$A$143:$B$160,2,FALSE()),"")</f>
        <v>Ground Disturbance or Excavation</v>
      </c>
      <c r="D31" s="4" t="s">
        <v>586</v>
      </c>
      <c r="E31" s="4" t="s">
        <v>600</v>
      </c>
      <c r="F31" s="4" t="s">
        <v>601</v>
      </c>
      <c r="G31" s="4" t="s">
        <v>602</v>
      </c>
      <c r="H31" s="4" t="s">
        <v>605</v>
      </c>
    </row>
    <row r="32" spans="1:8" ht="14.25" customHeight="1" x14ac:dyDescent="0.45">
      <c r="A32" s="4" t="s">
        <v>370</v>
      </c>
      <c r="B32" s="1" t="s">
        <v>143</v>
      </c>
      <c r="C32" s="1" t="str">
        <f>IFERROR(VLOOKUP(B32,'DATABASE-DRIFT_LATENT_HP_ERROR'!$A$143:$B$160,2,FALSE()),"")</f>
        <v>Ground Disturbance or Excavation</v>
      </c>
      <c r="D32" s="4" t="s">
        <v>528</v>
      </c>
      <c r="E32" s="4" t="s">
        <v>597</v>
      </c>
      <c r="F32" s="4" t="s">
        <v>598</v>
      </c>
      <c r="G32" s="4" t="s">
        <v>599</v>
      </c>
      <c r="H32" s="4" t="s">
        <v>605</v>
      </c>
    </row>
    <row r="33" spans="1:8" ht="14.25" customHeight="1" x14ac:dyDescent="0.45">
      <c r="A33" s="4" t="s">
        <v>378</v>
      </c>
      <c r="B33" s="1" t="s">
        <v>207</v>
      </c>
      <c r="C33" s="1" t="str">
        <f>IFERROR(VLOOKUP(B33,'DATABASE-DRIFT_LATENT_HP_ERROR'!$A$143:$B$160,2,FALSE()),"")</f>
        <v>Confined Space Entry</v>
      </c>
      <c r="D33" s="4" t="s">
        <v>528</v>
      </c>
      <c r="E33" s="4" t="s">
        <v>597</v>
      </c>
      <c r="F33" s="4" t="s">
        <v>598</v>
      </c>
      <c r="G33" s="4" t="s">
        <v>599</v>
      </c>
      <c r="H33" s="4" t="s">
        <v>606</v>
      </c>
    </row>
    <row r="34" spans="1:8" ht="14.25" customHeight="1" x14ac:dyDescent="0.45">
      <c r="A34" s="4" t="s">
        <v>378</v>
      </c>
      <c r="B34" s="1" t="s">
        <v>207</v>
      </c>
      <c r="C34" s="1" t="str">
        <f>IFERROR(VLOOKUP(B34,'DATABASE-DRIFT_LATENT_HP_ERROR'!$A$143:$B$160,2,FALSE()),"")</f>
        <v>Confined Space Entry</v>
      </c>
      <c r="D34" s="4" t="s">
        <v>607</v>
      </c>
      <c r="E34" s="4" t="s">
        <v>608</v>
      </c>
      <c r="F34" s="4" t="s">
        <v>609</v>
      </c>
      <c r="G34" s="4" t="s">
        <v>610</v>
      </c>
      <c r="H34" s="4" t="s">
        <v>606</v>
      </c>
    </row>
    <row r="35" spans="1:8" ht="14.25" customHeight="1" x14ac:dyDescent="0.45">
      <c r="A35" s="4" t="s">
        <v>394</v>
      </c>
      <c r="B35" s="1" t="s">
        <v>92</v>
      </c>
      <c r="C35" s="1" t="str">
        <f>IFERROR(VLOOKUP(B35,'DATABASE-DRIFT_LATENT_HP_ERROR'!$A$143:$B$160,2,FALSE()),"")</f>
        <v>Powered System / Isolation of Hazardous Energy</v>
      </c>
      <c r="D35" s="4" t="s">
        <v>528</v>
      </c>
      <c r="E35" s="4" t="s">
        <v>597</v>
      </c>
      <c r="F35" s="4" t="s">
        <v>598</v>
      </c>
      <c r="G35" s="4" t="s">
        <v>599</v>
      </c>
      <c r="H35" s="4" t="s">
        <v>611</v>
      </c>
    </row>
    <row r="36" spans="1:8" ht="14.25" customHeight="1" x14ac:dyDescent="0.45">
      <c r="A36" s="4" t="s">
        <v>402</v>
      </c>
      <c r="B36" s="1" t="s">
        <v>34</v>
      </c>
      <c r="C36" s="1" t="str">
        <f>IFERROR(VLOOKUP(B36,'DATABASE-DRIFT_LATENT_HP_ERROR'!$A$143:$B$160,2,FALSE()),"")</f>
        <v>Work at Height</v>
      </c>
      <c r="D36" s="4" t="s">
        <v>528</v>
      </c>
      <c r="E36" s="4" t="s">
        <v>597</v>
      </c>
      <c r="F36" s="4" t="s">
        <v>598</v>
      </c>
      <c r="G36" s="4" t="s">
        <v>599</v>
      </c>
      <c r="H36" s="4" t="s">
        <v>612</v>
      </c>
    </row>
    <row r="37" spans="1:8" ht="14.25" customHeight="1" x14ac:dyDescent="0.45">
      <c r="A37" s="4" t="s">
        <v>409</v>
      </c>
      <c r="B37" s="1" t="s">
        <v>410</v>
      </c>
      <c r="C37" s="1" t="str">
        <f>IFERROR(VLOOKUP(B37,'DATABASE-DRIFT_LATENT_HP_ERROR'!$A$143:$B$160,2,FALSE()),"")</f>
        <v>Line of Fire</v>
      </c>
      <c r="D37" s="4" t="s">
        <v>528</v>
      </c>
      <c r="E37" s="4" t="s">
        <v>597</v>
      </c>
      <c r="F37" s="4" t="s">
        <v>598</v>
      </c>
      <c r="G37" s="4" t="s">
        <v>599</v>
      </c>
      <c r="H37" s="4" t="s">
        <v>613</v>
      </c>
    </row>
    <row r="38" spans="1:8" ht="14.25" customHeight="1" x14ac:dyDescent="0.45">
      <c r="A38" s="4" t="s">
        <v>422</v>
      </c>
      <c r="B38" s="1" t="s">
        <v>423</v>
      </c>
      <c r="C38" s="1" t="str">
        <f>IFERROR(VLOOKUP(B38,'DATABASE-DRIFT_LATENT_HP_ERROR'!$A$143:$B$160,2,FALSE()),"")</f>
        <v>Tools &amp; Equipment</v>
      </c>
      <c r="D38" s="4" t="s">
        <v>528</v>
      </c>
      <c r="E38" s="4" t="s">
        <v>597</v>
      </c>
      <c r="F38" s="4" t="s">
        <v>598</v>
      </c>
      <c r="G38" s="4" t="s">
        <v>599</v>
      </c>
      <c r="H38" s="4" t="s">
        <v>614</v>
      </c>
    </row>
    <row r="39" spans="1:8" ht="14.25" customHeight="1" x14ac:dyDescent="0.45">
      <c r="A39" s="4" t="s">
        <v>422</v>
      </c>
      <c r="B39" s="1" t="s">
        <v>423</v>
      </c>
      <c r="C39" s="1" t="str">
        <f>IFERROR(VLOOKUP(B39,'DATABASE-DRIFT_LATENT_HP_ERROR'!$A$143:$B$160,2,FALSE()),"")</f>
        <v>Tools &amp; Equipment</v>
      </c>
      <c r="D39" s="4" t="s">
        <v>607</v>
      </c>
      <c r="E39" s="4" t="s">
        <v>608</v>
      </c>
      <c r="F39" s="4" t="s">
        <v>609</v>
      </c>
      <c r="G39" s="4" t="s">
        <v>610</v>
      </c>
      <c r="H39" s="4" t="s">
        <v>614</v>
      </c>
    </row>
    <row r="40" spans="1:8" ht="14.25" customHeight="1" x14ac:dyDescent="0.45">
      <c r="A40" s="4" t="s">
        <v>443</v>
      </c>
      <c r="B40" s="1" t="s">
        <v>92</v>
      </c>
      <c r="C40" s="1" t="str">
        <f>IFERROR(VLOOKUP(B40,'DATABASE-DRIFT_LATENT_HP_ERROR'!$A$143:$B$160,2,FALSE()),"")</f>
        <v>Powered System / Isolation of Hazardous Energy</v>
      </c>
      <c r="D40" s="4" t="s">
        <v>528</v>
      </c>
      <c r="E40" s="4" t="s">
        <v>597</v>
      </c>
      <c r="F40" s="4" t="s">
        <v>598</v>
      </c>
      <c r="G40" s="4" t="s">
        <v>599</v>
      </c>
      <c r="H40" s="4" t="s">
        <v>615</v>
      </c>
    </row>
  </sheetData>
  <dataValidations count="1">
    <dataValidation type="list" allowBlank="1" showInputMessage="1" showErrorMessage="1" sqref="B2:B11" xr:uid="{00000000-0002-0000-0200-000000000000}">
      <formula1>VV_Protocols</formula1>
      <formula2>0</formula2>
    </dataValidation>
  </dataValidation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00"/>
  <sheetViews>
    <sheetView zoomScaleNormal="100" workbookViewId="0"/>
  </sheetViews>
  <sheetFormatPr defaultColWidth="9.06640625" defaultRowHeight="14.25" customHeight="1" x14ac:dyDescent="0.45"/>
  <cols>
    <col min="1" max="1" width="11" style="1" customWidth="1"/>
    <col min="2" max="2" width="7.59765625" style="1" customWidth="1"/>
    <col min="3" max="3" width="25.86328125" style="1" customWidth="1"/>
    <col min="4" max="4" width="55" style="3" customWidth="1"/>
    <col min="5" max="5" width="26.265625" style="3" customWidth="1"/>
    <col min="6" max="6" width="8.73046875" style="1" customWidth="1"/>
    <col min="7" max="7" width="38.265625" style="3" customWidth="1"/>
    <col min="8" max="8" width="72.86328125" style="3" customWidth="1"/>
    <col min="9" max="12" width="22" style="1" customWidth="1"/>
    <col min="13" max="16384" width="9.06640625" style="1"/>
  </cols>
  <sheetData>
    <row r="1" spans="1:12" ht="14.25" customHeight="1" x14ac:dyDescent="0.35">
      <c r="A1" s="9" t="s">
        <v>0</v>
      </c>
      <c r="B1" s="9" t="s">
        <v>450</v>
      </c>
      <c r="C1" s="5" t="s">
        <v>450</v>
      </c>
      <c r="D1" s="12" t="s">
        <v>616</v>
      </c>
      <c r="E1" s="12" t="s">
        <v>617</v>
      </c>
      <c r="F1" s="5" t="s">
        <v>618</v>
      </c>
      <c r="G1" s="12" t="s">
        <v>619</v>
      </c>
      <c r="H1" s="5" t="s">
        <v>620</v>
      </c>
      <c r="I1" s="26" t="s">
        <v>1</v>
      </c>
      <c r="J1" s="26" t="s">
        <v>5</v>
      </c>
      <c r="K1" s="26" t="s">
        <v>6</v>
      </c>
      <c r="L1" s="26" t="s">
        <v>4</v>
      </c>
    </row>
    <row r="2" spans="1:12" ht="21" customHeight="1" x14ac:dyDescent="0.45">
      <c r="A2" s="1" t="s">
        <v>32</v>
      </c>
      <c r="B2" s="15" t="s">
        <v>34</v>
      </c>
      <c r="C2" s="1" t="str">
        <f>IFERROR(VLOOKUP(B2,'DATABASE-DRIFT_LATENT_HP_ERROR'!$A$143:$B$160,2,FALSE()),"")</f>
        <v>Work at Height</v>
      </c>
      <c r="D2" s="27" t="s">
        <v>621</v>
      </c>
      <c r="E2" s="18" t="s">
        <v>622</v>
      </c>
      <c r="F2" s="1" t="str">
        <f>IFERROR(VLOOKUP(E2,'DATABASE-DRIFT_LATENT_HP_ERROR'!$A$4:$B$13,2,FALSE()),"")</f>
        <v>Drift.3</v>
      </c>
      <c r="G2" s="18" t="s">
        <v>623</v>
      </c>
      <c r="H2" s="3" t="str">
        <f>IFERROR(VLOOKUP(G2,'DATABASE-DRIFT_LATENT_HP_ERROR'!$B$16:$D$76,3,FALSE()),"")</f>
        <v>Pekerja lebih mengandalkan pengalaman dibanding prosedur atau engineering review.</v>
      </c>
      <c r="I2" s="1">
        <f>IF($A2="","",IFERROR(INDEX('INPUT-SIF_Questions'!$B$2:$B$300,MATCH($A2,'INPUT-SIF_Questions'!$A$2:$A$300,0)),""))</f>
        <v>1</v>
      </c>
      <c r="J2" s="1" t="str">
        <f>IF($A2="","",IFERROR(INDEX('INPUT-SIF_Questions'!$F$2:$F$300,MATCH($A2,'INPUT-SIF_Questions'!$A$2:$A$300,0)),""))</f>
        <v>Baseline</v>
      </c>
      <c r="K2" s="1" t="str">
        <f>IF($A2="","",IFERROR(INDEX('INPUT-SIF_Questions'!$G$2:$G$300,MATCH($A2,'INPUT-SIF_Questions'!$A$2:$A$300,0)),""))</f>
        <v>Y</v>
      </c>
      <c r="L2" s="1">
        <f>IF($A2="","",IFERROR(INDEX('INPUT-SIF_Questions'!$E$2:$E$300,MATCH($A2,'INPUT-SIF_Questions'!$A$2:$A$300,0)),""))</f>
        <v>0</v>
      </c>
    </row>
    <row r="3" spans="1:12" ht="21" customHeight="1" x14ac:dyDescent="0.45">
      <c r="A3" s="1" t="s">
        <v>32</v>
      </c>
      <c r="B3" s="15" t="s">
        <v>34</v>
      </c>
      <c r="C3" s="1" t="str">
        <f>IFERROR(VLOOKUP(B3,'DATABASE-DRIFT_LATENT_HP_ERROR'!$A$143:$B$160,2,FALSE()),"")</f>
        <v>Work at Height</v>
      </c>
      <c r="D3" s="27" t="s">
        <v>624</v>
      </c>
      <c r="E3" s="18" t="s">
        <v>625</v>
      </c>
      <c r="F3" s="1" t="str">
        <f>IFERROR(VLOOKUP(E3,'DATABASE-DRIFT_LATENT_HP_ERROR'!$A$4:$B$13,2,FALSE()),"")</f>
        <v>Drift.1</v>
      </c>
      <c r="G3" s="18" t="s">
        <v>626</v>
      </c>
      <c r="H3" s="3" t="str">
        <f>IFERROR(VLOOKUP(G3,'DATABASE-DRIFT_LATENT_HP_ERROR'!$B$16:$D$76,3,FALSE()),"")</f>
        <v>Interpretasi prosedur berbeda antar personel atau departemen.</v>
      </c>
      <c r="I3" s="1">
        <f>IF($A3="","",IFERROR(INDEX('INPUT-SIF_Questions'!$B$2:$B$300,MATCH($A3,'INPUT-SIF_Questions'!$A$2:$A$300,0)),""))</f>
        <v>1</v>
      </c>
      <c r="J3" s="1" t="str">
        <f>IF($A3="","",IFERROR(INDEX('INPUT-SIF_Questions'!$F$2:$F$300,MATCH($A3,'INPUT-SIF_Questions'!$A$2:$A$300,0)),""))</f>
        <v>Baseline</v>
      </c>
      <c r="K3" s="1" t="str">
        <f>IF($A3="","",IFERROR(INDEX('INPUT-SIF_Questions'!$G$2:$G$300,MATCH($A3,'INPUT-SIF_Questions'!$A$2:$A$300,0)),""))</f>
        <v>Y</v>
      </c>
      <c r="L3" s="1">
        <f>IF($A3="","",IFERROR(INDEX('INPUT-SIF_Questions'!$E$2:$E$300,MATCH($A3,'INPUT-SIF_Questions'!$A$2:$A$300,0)),""))</f>
        <v>0</v>
      </c>
    </row>
    <row r="4" spans="1:12" ht="21" customHeight="1" x14ac:dyDescent="0.45">
      <c r="A4" s="1" t="s">
        <v>32</v>
      </c>
      <c r="B4" s="15" t="s">
        <v>34</v>
      </c>
      <c r="C4" s="1" t="str">
        <f>IFERROR(VLOOKUP(B4,'DATABASE-DRIFT_LATENT_HP_ERROR'!$A$143:$B$160,2,FALSE()),"")</f>
        <v>Work at Height</v>
      </c>
      <c r="D4" s="27" t="s">
        <v>627</v>
      </c>
      <c r="E4" s="18" t="s">
        <v>625</v>
      </c>
      <c r="F4" s="1" t="str">
        <f>IFERROR(VLOOKUP(E4,'DATABASE-DRIFT_LATENT_HP_ERROR'!$A$4:$B$13,2,FALSE()),"")</f>
        <v>Drift.1</v>
      </c>
      <c r="G4" s="18" t="s">
        <v>628</v>
      </c>
      <c r="H4" s="3" t="str">
        <f>IFERROR(VLOOKUP(G4,'DATABASE-DRIFT_LATENT_HP_ERROR'!$B$16:$D$76,3,FALSE()),"")</f>
        <v>Procedure not detailed atau Prosedur kerja disederhanakan tanpa evaluasi risiko formal.</v>
      </c>
      <c r="I4" s="1">
        <f>IF($A4="","",IFERROR(INDEX('INPUT-SIF_Questions'!$B$2:$B$300,MATCH($A4,'INPUT-SIF_Questions'!$A$2:$A$300,0)),""))</f>
        <v>1</v>
      </c>
      <c r="J4" s="1" t="str">
        <f>IF($A4="","",IFERROR(INDEX('INPUT-SIF_Questions'!$F$2:$F$300,MATCH($A4,'INPUT-SIF_Questions'!$A$2:$A$300,0)),""))</f>
        <v>Baseline</v>
      </c>
      <c r="K4" s="1" t="str">
        <f>IF($A4="","",IFERROR(INDEX('INPUT-SIF_Questions'!$G$2:$G$300,MATCH($A4,'INPUT-SIF_Questions'!$A$2:$A$300,0)),""))</f>
        <v>Y</v>
      </c>
      <c r="L4" s="1">
        <f>IF($A4="","",IFERROR(INDEX('INPUT-SIF_Questions'!$E$2:$E$300,MATCH($A4,'INPUT-SIF_Questions'!$A$2:$A$300,0)),""))</f>
        <v>0</v>
      </c>
    </row>
    <row r="5" spans="1:12" ht="14.25" customHeight="1" x14ac:dyDescent="0.45">
      <c r="A5" s="1" t="s">
        <v>32</v>
      </c>
      <c r="B5" s="15" t="s">
        <v>34</v>
      </c>
      <c r="C5" s="1" t="str">
        <f>IFERROR(VLOOKUP(B5,'DATABASE-DRIFT_LATENT_HP_ERROR'!$A$143:$B$160,2,FALSE()),"")</f>
        <v>Work at Height</v>
      </c>
      <c r="D5" s="27" t="s">
        <v>629</v>
      </c>
      <c r="E5" s="18" t="s">
        <v>630</v>
      </c>
      <c r="F5" s="1" t="str">
        <f>IFERROR(VLOOKUP(E5,'DATABASE-DRIFT_LATENT_HP_ERROR'!$A$4:$B$13,2,FALSE()),"")</f>
        <v>Drift.5</v>
      </c>
      <c r="G5" s="18" t="s">
        <v>631</v>
      </c>
      <c r="H5" s="3" t="str">
        <f>IFERROR(VLOOKUP(G5,'DATABASE-DRIFT_LATENT_HP_ERROR'!$B$16:$D$76,3,FALSE()),"")</f>
        <v>Proses verifikasi safeguard tidak mampu mendeteksi kelemahan barrier.</v>
      </c>
      <c r="I5" s="1">
        <f>IF($A5="","",IFERROR(INDEX('INPUT-SIF_Questions'!$B$2:$B$300,MATCH($A5,'INPUT-SIF_Questions'!$A$2:$A$300,0)),""))</f>
        <v>1</v>
      </c>
      <c r="J5" s="1" t="str">
        <f>IF($A5="","",IFERROR(INDEX('INPUT-SIF_Questions'!$F$2:$F$300,MATCH($A5,'INPUT-SIF_Questions'!$A$2:$A$300,0)),""))</f>
        <v>Baseline</v>
      </c>
      <c r="K5" s="1" t="str">
        <f>IF($A5="","",IFERROR(INDEX('INPUT-SIF_Questions'!$G$2:$G$300,MATCH($A5,'INPUT-SIF_Questions'!$A$2:$A$300,0)),""))</f>
        <v>Y</v>
      </c>
      <c r="L5" s="1">
        <f>IF($A5="","",IFERROR(INDEX('INPUT-SIF_Questions'!$E$2:$E$300,MATCH($A5,'INPUT-SIF_Questions'!$A$2:$A$300,0)),""))</f>
        <v>0</v>
      </c>
    </row>
    <row r="6" spans="1:12" ht="35.25" customHeight="1" x14ac:dyDescent="0.45">
      <c r="A6" s="1" t="s">
        <v>32</v>
      </c>
      <c r="B6" s="15" t="s">
        <v>34</v>
      </c>
      <c r="C6" s="1" t="str">
        <f>IFERROR(VLOOKUP(B6,'DATABASE-DRIFT_LATENT_HP_ERROR'!$A$143:$B$160,2,FALSE()),"")</f>
        <v>Work at Height</v>
      </c>
      <c r="D6" s="27" t="s">
        <v>632</v>
      </c>
      <c r="E6" s="18" t="s">
        <v>622</v>
      </c>
      <c r="F6" s="1" t="str">
        <f>IFERROR(VLOOKUP(E6,'DATABASE-DRIFT_LATENT_HP_ERROR'!$A$4:$B$13,2,FALSE()),"")</f>
        <v>Drift.3</v>
      </c>
      <c r="G6" s="18" t="s">
        <v>633</v>
      </c>
      <c r="H6" s="3" t="str">
        <f>IFERROR(VLOOKUP(G6,'DATABASE-DRIFT_LATENT_HP_ERROR'!$B$16:$D$76,3,FALSE()),"")</f>
        <v>Kedekatan/familiaritas terhadap pekerjaan memicu pengurangan safeguard.</v>
      </c>
      <c r="I6" s="1">
        <f>IF($A6="","",IFERROR(INDEX('INPUT-SIF_Questions'!$B$2:$B$300,MATCH($A6,'INPUT-SIF_Questions'!$A$2:$A$300,0)),""))</f>
        <v>1</v>
      </c>
      <c r="J6" s="1" t="str">
        <f>IF($A6="","",IFERROR(INDEX('INPUT-SIF_Questions'!$F$2:$F$300,MATCH($A6,'INPUT-SIF_Questions'!$A$2:$A$300,0)),""))</f>
        <v>Baseline</v>
      </c>
      <c r="K6" s="1" t="str">
        <f>IF($A6="","",IFERROR(INDEX('INPUT-SIF_Questions'!$G$2:$G$300,MATCH($A6,'INPUT-SIF_Questions'!$A$2:$A$300,0)),""))</f>
        <v>Y</v>
      </c>
      <c r="L6" s="1">
        <f>IF($A6="","",IFERROR(INDEX('INPUT-SIF_Questions'!$E$2:$E$300,MATCH($A6,'INPUT-SIF_Questions'!$A$2:$A$300,0)),""))</f>
        <v>0</v>
      </c>
    </row>
    <row r="7" spans="1:12" ht="35.25" customHeight="1" x14ac:dyDescent="0.45">
      <c r="A7" s="1" t="s">
        <v>32</v>
      </c>
      <c r="B7" s="15" t="s">
        <v>34</v>
      </c>
      <c r="C7" s="1" t="str">
        <f>IFERROR(VLOOKUP(B7,'DATABASE-DRIFT_LATENT_HP_ERROR'!$A$143:$B$160,2,FALSE()),"")</f>
        <v>Work at Height</v>
      </c>
      <c r="D7" s="27" t="s">
        <v>634</v>
      </c>
      <c r="E7" s="18" t="s">
        <v>635</v>
      </c>
      <c r="F7" s="1" t="str">
        <f>IFERROR(VLOOKUP(E7,'DATABASE-DRIFT_LATENT_HP_ERROR'!$A$4:$B$13,2,FALSE()),"")</f>
        <v>Drift.7</v>
      </c>
      <c r="G7" s="18" t="s">
        <v>636</v>
      </c>
      <c r="H7" s="3" t="str">
        <f>IFERROR(VLOOKUP(G7,'DATABASE-DRIFT_LATENT_HP_ERROR'!$B$16:$D$76,3,FALSE()),"")</f>
        <v>Tingkat risiko diremehkan dibanding exposure aktual.</v>
      </c>
      <c r="I7" s="1">
        <f>IF($A7="","",IFERROR(INDEX('INPUT-SIF_Questions'!$B$2:$B$300,MATCH($A7,'INPUT-SIF_Questions'!$A$2:$A$300,0)),""))</f>
        <v>1</v>
      </c>
      <c r="J7" s="1" t="str">
        <f>IF($A7="","",IFERROR(INDEX('INPUT-SIF_Questions'!$F$2:$F$300,MATCH($A7,'INPUT-SIF_Questions'!$A$2:$A$300,0)),""))</f>
        <v>Baseline</v>
      </c>
      <c r="K7" s="1" t="str">
        <f>IF($A7="","",IFERROR(INDEX('INPUT-SIF_Questions'!$G$2:$G$300,MATCH($A7,'INPUT-SIF_Questions'!$A$2:$A$300,0)),""))</f>
        <v>Y</v>
      </c>
      <c r="L7" s="1">
        <f>IF($A7="","",IFERROR(INDEX('INPUT-SIF_Questions'!$E$2:$E$300,MATCH($A7,'INPUT-SIF_Questions'!$A$2:$A$300,0)),""))</f>
        <v>0</v>
      </c>
    </row>
    <row r="8" spans="1:12" ht="21" customHeight="1" x14ac:dyDescent="0.45">
      <c r="A8" s="1" t="s">
        <v>32</v>
      </c>
      <c r="B8" s="15" t="s">
        <v>34</v>
      </c>
      <c r="C8" s="1" t="str">
        <f>IFERROR(VLOOKUP(B8,'DATABASE-DRIFT_LATENT_HP_ERROR'!$A$143:$B$160,2,FALSE()),"")</f>
        <v>Work at Height</v>
      </c>
      <c r="D8" s="27" t="s">
        <v>637</v>
      </c>
      <c r="E8" s="18" t="s">
        <v>635</v>
      </c>
      <c r="F8" s="1" t="str">
        <f>IFERROR(VLOOKUP(E8,'DATABASE-DRIFT_LATENT_HP_ERROR'!$A$4:$B$13,2,FALSE()),"")</f>
        <v>Drift.7</v>
      </c>
      <c r="G8" s="18" t="s">
        <v>638</v>
      </c>
      <c r="H8" s="3" t="str">
        <f>IFERROR(VLOOKUP(G8,'DATABASE-DRIFT_LATENT_HP_ERROR'!$B$16:$D$76,3,FALSE()),"")</f>
        <v>Risiko engineering tidak dianalisa secara teknikal.</v>
      </c>
      <c r="I8" s="1">
        <f>IF($A8="","",IFERROR(INDEX('INPUT-SIF_Questions'!$B$2:$B$300,MATCH($A8,'INPUT-SIF_Questions'!$A$2:$A$300,0)),""))</f>
        <v>1</v>
      </c>
      <c r="J8" s="1" t="str">
        <f>IF($A8="","",IFERROR(INDEX('INPUT-SIF_Questions'!$F$2:$F$300,MATCH($A8,'INPUT-SIF_Questions'!$A$2:$A$300,0)),""))</f>
        <v>Baseline</v>
      </c>
      <c r="K8" s="1" t="str">
        <f>IF($A8="","",IFERROR(INDEX('INPUT-SIF_Questions'!$G$2:$G$300,MATCH($A8,'INPUT-SIF_Questions'!$A$2:$A$300,0)),""))</f>
        <v>Y</v>
      </c>
      <c r="L8" s="1">
        <f>IF($A8="","",IFERROR(INDEX('INPUT-SIF_Questions'!$E$2:$E$300,MATCH($A8,'INPUT-SIF_Questions'!$A$2:$A$300,0)),""))</f>
        <v>0</v>
      </c>
    </row>
    <row r="9" spans="1:12" ht="21" customHeight="1" x14ac:dyDescent="0.45">
      <c r="A9" s="1" t="s">
        <v>32</v>
      </c>
      <c r="B9" s="15" t="s">
        <v>34</v>
      </c>
      <c r="C9" s="1" t="str">
        <f>IFERROR(VLOOKUP(B9,'DATABASE-DRIFT_LATENT_HP_ERROR'!$A$143:$B$160,2,FALSE()),"")</f>
        <v>Work at Height</v>
      </c>
      <c r="D9" s="27" t="s">
        <v>639</v>
      </c>
      <c r="E9" s="18" t="s">
        <v>640</v>
      </c>
      <c r="F9" s="1" t="str">
        <f>IFERROR(VLOOKUP(E9,'DATABASE-DRIFT_LATENT_HP_ERROR'!$A$4:$B$13,2,FALSE()),"")</f>
        <v>Drift.4</v>
      </c>
      <c r="G9" s="18" t="s">
        <v>641</v>
      </c>
      <c r="H9" s="3" t="str">
        <f>IFERROR(VLOOKUP(G9,'DATABASE-DRIFT_LATENT_HP_ERROR'!$B$16:$D$76,3,FALSE()),"")</f>
        <v>Checklist hanya diparaf sebagai formalitas administratif.</v>
      </c>
      <c r="I9" s="1">
        <f>IF($A9="","",IFERROR(INDEX('INPUT-SIF_Questions'!$B$2:$B$300,MATCH($A9,'INPUT-SIF_Questions'!$A$2:$A$300,0)),""))</f>
        <v>1</v>
      </c>
      <c r="J9" s="1" t="str">
        <f>IF($A9="","",IFERROR(INDEX('INPUT-SIF_Questions'!$F$2:$F$300,MATCH($A9,'INPUT-SIF_Questions'!$A$2:$A$300,0)),""))</f>
        <v>Baseline</v>
      </c>
      <c r="K9" s="1" t="str">
        <f>IF($A9="","",IFERROR(INDEX('INPUT-SIF_Questions'!$G$2:$G$300,MATCH($A9,'INPUT-SIF_Questions'!$A$2:$A$300,0)),""))</f>
        <v>Y</v>
      </c>
      <c r="L9" s="1">
        <f>IF($A9="","",IFERROR(INDEX('INPUT-SIF_Questions'!$E$2:$E$300,MATCH($A9,'INPUT-SIF_Questions'!$A$2:$A$300,0)),""))</f>
        <v>0</v>
      </c>
    </row>
    <row r="10" spans="1:12" ht="35.25" customHeight="1" x14ac:dyDescent="0.45">
      <c r="A10" s="1" t="s">
        <v>32</v>
      </c>
      <c r="B10" s="15" t="s">
        <v>34</v>
      </c>
      <c r="C10" s="1" t="str">
        <f>IFERROR(VLOOKUP(B10,'DATABASE-DRIFT_LATENT_HP_ERROR'!$A$143:$B$160,2,FALSE()),"")</f>
        <v>Work at Height</v>
      </c>
      <c r="D10" s="27" t="s">
        <v>642</v>
      </c>
      <c r="E10" s="18" t="s">
        <v>640</v>
      </c>
      <c r="F10" s="1" t="str">
        <f>IFERROR(VLOOKUP(E10,'DATABASE-DRIFT_LATENT_HP_ERROR'!$A$4:$B$13,2,FALSE()),"")</f>
        <v>Drift.4</v>
      </c>
      <c r="G10" s="18" t="s">
        <v>643</v>
      </c>
      <c r="H10" s="3" t="str">
        <f>IFERROR(VLOOKUP(G10,'DATABASE-DRIFT_LATENT_HP_ERROR'!$B$16:$D$76,3,FALSE()),"")</f>
        <v>SWC tidak digunakan sebagai critical thinking tool.</v>
      </c>
      <c r="I10" s="1">
        <f>IF($A10="","",IFERROR(INDEX('INPUT-SIF_Questions'!$B$2:$B$300,MATCH($A10,'INPUT-SIF_Questions'!$A$2:$A$300,0)),""))</f>
        <v>1</v>
      </c>
      <c r="J10" s="1" t="str">
        <f>IF($A10="","",IFERROR(INDEX('INPUT-SIF_Questions'!$F$2:$F$300,MATCH($A10,'INPUT-SIF_Questions'!$A$2:$A$300,0)),""))</f>
        <v>Baseline</v>
      </c>
      <c r="K10" s="1" t="str">
        <f>IF($A10="","",IFERROR(INDEX('INPUT-SIF_Questions'!$G$2:$G$300,MATCH($A10,'INPUT-SIF_Questions'!$A$2:$A$300,0)),""))</f>
        <v>Y</v>
      </c>
      <c r="L10" s="1">
        <f>IF($A10="","",IFERROR(INDEX('INPUT-SIF_Questions'!$E$2:$E$300,MATCH($A10,'INPUT-SIF_Questions'!$A$2:$A$300,0)),""))</f>
        <v>0</v>
      </c>
    </row>
    <row r="11" spans="1:12" ht="21" customHeight="1" x14ac:dyDescent="0.45">
      <c r="A11" s="1" t="s">
        <v>91</v>
      </c>
      <c r="B11" s="15" t="s">
        <v>92</v>
      </c>
      <c r="C11" s="1" t="str">
        <f>IFERROR(VLOOKUP(B11,'DATABASE-DRIFT_LATENT_HP_ERROR'!$A$143:$B$160,2,FALSE()),"")</f>
        <v>Powered System / Isolation of Hazardous Energy</v>
      </c>
      <c r="D11" s="27" t="s">
        <v>644</v>
      </c>
      <c r="E11" s="18" t="s">
        <v>640</v>
      </c>
      <c r="F11" s="1" t="str">
        <f>IFERROR(VLOOKUP(E11,'DATABASE-DRIFT_LATENT_HP_ERROR'!$A$4:$B$13,2,FALSE()),"")</f>
        <v>Drift.4</v>
      </c>
      <c r="G11" s="18" t="s">
        <v>641</v>
      </c>
      <c r="H11" s="3" t="str">
        <f>IFERROR(VLOOKUP(G11,'DATABASE-DRIFT_LATENT_HP_ERROR'!$B$16:$D$76,3,FALSE()),"")</f>
        <v>Checklist hanya diparaf sebagai formalitas administratif.</v>
      </c>
      <c r="I11" s="1">
        <f>IF($A11="","",IFERROR(INDEX('INPUT-SIF_Questions'!$B$2:$B$300,MATCH($A11,'INPUT-SIF_Questions'!$A$2:$A$300,0)),""))</f>
        <v>1</v>
      </c>
      <c r="J11" s="1" t="str">
        <f>IF($A11="","",IFERROR(INDEX('INPUT-SIF_Questions'!$F$2:$F$300,MATCH($A11,'INPUT-SIF_Questions'!$A$2:$A$300,0)),""))</f>
        <v>Baseline</v>
      </c>
      <c r="K11" s="1" t="str">
        <f>IF($A11="","",IFERROR(INDEX('INPUT-SIF_Questions'!$G$2:$G$300,MATCH($A11,'INPUT-SIF_Questions'!$A$2:$A$300,0)),""))</f>
        <v>Y</v>
      </c>
      <c r="L11" s="1">
        <f>IF($A11="","",IFERROR(INDEX('INPUT-SIF_Questions'!$E$2:$E$300,MATCH($A11,'INPUT-SIF_Questions'!$A$2:$A$300,0)),""))</f>
        <v>0</v>
      </c>
    </row>
    <row r="12" spans="1:12" ht="21" customHeight="1" x14ac:dyDescent="0.45">
      <c r="A12" s="1" t="s">
        <v>91</v>
      </c>
      <c r="B12" s="15" t="s">
        <v>92</v>
      </c>
      <c r="C12" s="1" t="str">
        <f>IFERROR(VLOOKUP(B12,'DATABASE-DRIFT_LATENT_HP_ERROR'!$A$143:$B$160,2,FALSE()),"")</f>
        <v>Powered System / Isolation of Hazardous Energy</v>
      </c>
      <c r="D12" s="27" t="s">
        <v>645</v>
      </c>
      <c r="E12" s="18" t="s">
        <v>635</v>
      </c>
      <c r="F12" s="1" t="str">
        <f>IFERROR(VLOOKUP(E12,'DATABASE-DRIFT_LATENT_HP_ERROR'!$A$4:$B$13,2,FALSE()),"")</f>
        <v>Drift.7</v>
      </c>
      <c r="G12" s="18" t="s">
        <v>638</v>
      </c>
      <c r="H12" s="3" t="str">
        <f>IFERROR(VLOOKUP(G12,'DATABASE-DRIFT_LATENT_HP_ERROR'!$B$16:$D$76,3,FALSE()),"")</f>
        <v>Risiko engineering tidak dianalisa secara teknikal.</v>
      </c>
      <c r="I12" s="1">
        <f>IF($A12="","",IFERROR(INDEX('INPUT-SIF_Questions'!$B$2:$B$300,MATCH($A12,'INPUT-SIF_Questions'!$A$2:$A$300,0)),""))</f>
        <v>1</v>
      </c>
      <c r="J12" s="1" t="str">
        <f>IF($A12="","",IFERROR(INDEX('INPUT-SIF_Questions'!$F$2:$F$300,MATCH($A12,'INPUT-SIF_Questions'!$A$2:$A$300,0)),""))</f>
        <v>Baseline</v>
      </c>
      <c r="K12" s="1" t="str">
        <f>IF($A12="","",IFERROR(INDEX('INPUT-SIF_Questions'!$G$2:$G$300,MATCH($A12,'INPUT-SIF_Questions'!$A$2:$A$300,0)),""))</f>
        <v>Y</v>
      </c>
      <c r="L12" s="1">
        <f>IF($A12="","",IFERROR(INDEX('INPUT-SIF_Questions'!$E$2:$E$300,MATCH($A12,'INPUT-SIF_Questions'!$A$2:$A$300,0)),""))</f>
        <v>0</v>
      </c>
    </row>
    <row r="13" spans="1:12" ht="28.5" customHeight="1" x14ac:dyDescent="0.45">
      <c r="A13" s="1" t="s">
        <v>91</v>
      </c>
      <c r="B13" s="15" t="s">
        <v>92</v>
      </c>
      <c r="C13" s="1" t="str">
        <f>IFERROR(VLOOKUP(B13,'DATABASE-DRIFT_LATENT_HP_ERROR'!$A$143:$B$160,2,FALSE()),"")</f>
        <v>Powered System / Isolation of Hazardous Energy</v>
      </c>
      <c r="D13" s="27" t="s">
        <v>646</v>
      </c>
      <c r="E13" s="18" t="s">
        <v>640</v>
      </c>
      <c r="F13" s="1" t="str">
        <f>IFERROR(VLOOKUP(E13,'DATABASE-DRIFT_LATENT_HP_ERROR'!$A$4:$B$13,2,FALSE()),"")</f>
        <v>Drift.4</v>
      </c>
      <c r="G13" s="18" t="s">
        <v>643</v>
      </c>
      <c r="H13" s="3" t="str">
        <f>IFERROR(VLOOKUP(G13,'DATABASE-DRIFT_LATENT_HP_ERROR'!$B$16:$D$76,3,FALSE()),"")</f>
        <v>SWC tidak digunakan sebagai critical thinking tool.</v>
      </c>
      <c r="I13" s="1">
        <f>IF($A13="","",IFERROR(INDEX('INPUT-SIF_Questions'!$B$2:$B$300,MATCH($A13,'INPUT-SIF_Questions'!$A$2:$A$300,0)),""))</f>
        <v>1</v>
      </c>
      <c r="J13" s="1" t="str">
        <f>IF($A13="","",IFERROR(INDEX('INPUT-SIF_Questions'!$F$2:$F$300,MATCH($A13,'INPUT-SIF_Questions'!$A$2:$A$300,0)),""))</f>
        <v>Baseline</v>
      </c>
      <c r="K13" s="1" t="str">
        <f>IF($A13="","",IFERROR(INDEX('INPUT-SIF_Questions'!$G$2:$G$300,MATCH($A13,'INPUT-SIF_Questions'!$A$2:$A$300,0)),""))</f>
        <v>Y</v>
      </c>
      <c r="L13" s="1">
        <f>IF($A13="","",IFERROR(INDEX('INPUT-SIF_Questions'!$E$2:$E$300,MATCH($A13,'INPUT-SIF_Questions'!$A$2:$A$300,0)),""))</f>
        <v>0</v>
      </c>
    </row>
    <row r="14" spans="1:12" ht="28.5" customHeight="1" x14ac:dyDescent="0.45">
      <c r="A14" s="1" t="s">
        <v>91</v>
      </c>
      <c r="B14" s="15" t="s">
        <v>92</v>
      </c>
      <c r="C14" s="1" t="str">
        <f>IFERROR(VLOOKUP(B14,'DATABASE-DRIFT_LATENT_HP_ERROR'!$A$143:$B$160,2,FALSE()),"")</f>
        <v>Powered System / Isolation of Hazardous Energy</v>
      </c>
      <c r="D14" s="27" t="s">
        <v>647</v>
      </c>
      <c r="E14" s="18" t="s">
        <v>648</v>
      </c>
      <c r="F14" s="1" t="str">
        <f>IFERROR(VLOOKUP(E14,'DATABASE-DRIFT_LATENT_HP_ERROR'!$A$4:$B$13,2,FALSE()),"")</f>
        <v>Drift.10</v>
      </c>
      <c r="G14" s="18" t="s">
        <v>649</v>
      </c>
      <c r="H14" s="3" t="str">
        <f>IFERROR(VLOOKUP(G14,'DATABASE-DRIFT_LATENT_HP_ERROR'!$B$16:$D$76,3,FALSE()),"")</f>
        <v>Equipment digunakan di luar batas desain normal.</v>
      </c>
      <c r="I14" s="1">
        <f>IF($A14="","",IFERROR(INDEX('INPUT-SIF_Questions'!$B$2:$B$300,MATCH($A14,'INPUT-SIF_Questions'!$A$2:$A$300,0)),""))</f>
        <v>1</v>
      </c>
      <c r="J14" s="1" t="str">
        <f>IF($A14="","",IFERROR(INDEX('INPUT-SIF_Questions'!$F$2:$F$300,MATCH($A14,'INPUT-SIF_Questions'!$A$2:$A$300,0)),""))</f>
        <v>Baseline</v>
      </c>
      <c r="K14" s="1" t="str">
        <f>IF($A14="","",IFERROR(INDEX('INPUT-SIF_Questions'!$G$2:$G$300,MATCH($A14,'INPUT-SIF_Questions'!$A$2:$A$300,0)),""))</f>
        <v>Y</v>
      </c>
      <c r="L14" s="1">
        <f>IF($A14="","",IFERROR(INDEX('INPUT-SIF_Questions'!$E$2:$E$300,MATCH($A14,'INPUT-SIF_Questions'!$A$2:$A$300,0)),""))</f>
        <v>0</v>
      </c>
    </row>
    <row r="15" spans="1:12" ht="21" customHeight="1" x14ac:dyDescent="0.45">
      <c r="A15" s="1" t="s">
        <v>91</v>
      </c>
      <c r="B15" s="15" t="s">
        <v>92</v>
      </c>
      <c r="C15" s="1" t="str">
        <f>IFERROR(VLOOKUP(B15,'DATABASE-DRIFT_LATENT_HP_ERROR'!$A$143:$B$160,2,FALSE()),"")</f>
        <v>Powered System / Isolation of Hazardous Energy</v>
      </c>
      <c r="D15" s="27" t="s">
        <v>650</v>
      </c>
      <c r="E15" s="18" t="s">
        <v>651</v>
      </c>
      <c r="F15" s="1" t="str">
        <f>IFERROR(VLOOKUP(E15,'DATABASE-DRIFT_LATENT_HP_ERROR'!$A$4:$B$13,2,FALSE()),"")</f>
        <v>Drift.2</v>
      </c>
      <c r="G15" s="18" t="s">
        <v>652</v>
      </c>
      <c r="H15" s="3" t="str">
        <f>IFERROR(VLOOKUP(G15,'DATABASE-DRIFT_LATENT_HP_ERROR'!$B$16:$D$76,3,FALSE()),"")</f>
        <v>Solusi sementara digunakan terus menerus tanpa perbaikan permanen.</v>
      </c>
      <c r="I15" s="1">
        <f>IF($A15="","",IFERROR(INDEX('INPUT-SIF_Questions'!$B$2:$B$300,MATCH($A15,'INPUT-SIF_Questions'!$A$2:$A$300,0)),""))</f>
        <v>1</v>
      </c>
      <c r="J15" s="1" t="str">
        <f>IF($A15="","",IFERROR(INDEX('INPUT-SIF_Questions'!$F$2:$F$300,MATCH($A15,'INPUT-SIF_Questions'!$A$2:$A$300,0)),""))</f>
        <v>Baseline</v>
      </c>
      <c r="K15" s="1" t="str">
        <f>IF($A15="","",IFERROR(INDEX('INPUT-SIF_Questions'!$G$2:$G$300,MATCH($A15,'INPUT-SIF_Questions'!$A$2:$A$300,0)),""))</f>
        <v>Y</v>
      </c>
      <c r="L15" s="1">
        <f>IF($A15="","",IFERROR(INDEX('INPUT-SIF_Questions'!$E$2:$E$300,MATCH($A15,'INPUT-SIF_Questions'!$A$2:$A$300,0)),""))</f>
        <v>0</v>
      </c>
    </row>
    <row r="16" spans="1:12" ht="28.5" customHeight="1" x14ac:dyDescent="0.45">
      <c r="A16" s="1" t="s">
        <v>91</v>
      </c>
      <c r="B16" s="15" t="s">
        <v>92</v>
      </c>
      <c r="C16" s="1" t="str">
        <f>IFERROR(VLOOKUP(B16,'DATABASE-DRIFT_LATENT_HP_ERROR'!$A$143:$B$160,2,FALSE()),"")</f>
        <v>Powered System / Isolation of Hazardous Energy</v>
      </c>
      <c r="D16" s="27" t="s">
        <v>653</v>
      </c>
      <c r="E16" s="18" t="s">
        <v>635</v>
      </c>
      <c r="F16" s="1" t="str">
        <f>IFERROR(VLOOKUP(E16,'DATABASE-DRIFT_LATENT_HP_ERROR'!$A$4:$B$13,2,FALSE()),"")</f>
        <v>Drift.7</v>
      </c>
      <c r="G16" s="18" t="s">
        <v>636</v>
      </c>
      <c r="H16" s="3" t="str">
        <f>IFERROR(VLOOKUP(G16,'DATABASE-DRIFT_LATENT_HP_ERROR'!$B$16:$D$76,3,FALSE()),"")</f>
        <v>Tingkat risiko diremehkan dibanding exposure aktual.</v>
      </c>
      <c r="I16" s="1">
        <f>IF($A16="","",IFERROR(INDEX('INPUT-SIF_Questions'!$B$2:$B$300,MATCH($A16,'INPUT-SIF_Questions'!$A$2:$A$300,0)),""))</f>
        <v>1</v>
      </c>
      <c r="J16" s="1" t="str">
        <f>IF($A16="","",IFERROR(INDEX('INPUT-SIF_Questions'!$F$2:$F$300,MATCH($A16,'INPUT-SIF_Questions'!$A$2:$A$300,0)),""))</f>
        <v>Baseline</v>
      </c>
      <c r="K16" s="1" t="str">
        <f>IF($A16="","",IFERROR(INDEX('INPUT-SIF_Questions'!$G$2:$G$300,MATCH($A16,'INPUT-SIF_Questions'!$A$2:$A$300,0)),""))</f>
        <v>Y</v>
      </c>
      <c r="L16" s="1">
        <f>IF($A16="","",IFERROR(INDEX('INPUT-SIF_Questions'!$E$2:$E$300,MATCH($A16,'INPUT-SIF_Questions'!$A$2:$A$300,0)),""))</f>
        <v>0</v>
      </c>
    </row>
    <row r="17" spans="1:12" ht="21" customHeight="1" x14ac:dyDescent="0.45">
      <c r="A17" s="1" t="s">
        <v>91</v>
      </c>
      <c r="B17" s="15" t="s">
        <v>92</v>
      </c>
      <c r="C17" s="1" t="str">
        <f>IFERROR(VLOOKUP(B17,'DATABASE-DRIFT_LATENT_HP_ERROR'!$A$143:$B$160,2,FALSE()),"")</f>
        <v>Powered System / Isolation of Hazardous Energy</v>
      </c>
      <c r="D17" s="27" t="s">
        <v>654</v>
      </c>
      <c r="E17" s="18" t="s">
        <v>630</v>
      </c>
      <c r="F17" s="1" t="str">
        <f>IFERROR(VLOOKUP(E17,'DATABASE-DRIFT_LATENT_HP_ERROR'!$A$4:$B$13,2,FALSE()),"")</f>
        <v>Drift.5</v>
      </c>
      <c r="G17" s="18" t="s">
        <v>655</v>
      </c>
      <c r="H17" s="3" t="str">
        <f>IFERROR(VLOOKUP(G17,'DATABASE-DRIFT_LATENT_HP_ERROR'!$B$16:$D$76,3,FALSE()),"")</f>
        <v>Verifikasi isolasi energi tidak dilakukan secara menyeluruh.</v>
      </c>
      <c r="I17" s="1">
        <f>IF($A17="","",IFERROR(INDEX('INPUT-SIF_Questions'!$B$2:$B$300,MATCH($A17,'INPUT-SIF_Questions'!$A$2:$A$300,0)),""))</f>
        <v>1</v>
      </c>
      <c r="J17" s="1" t="str">
        <f>IF($A17="","",IFERROR(INDEX('INPUT-SIF_Questions'!$F$2:$F$300,MATCH($A17,'INPUT-SIF_Questions'!$A$2:$A$300,0)),""))</f>
        <v>Baseline</v>
      </c>
      <c r="K17" s="1" t="str">
        <f>IF($A17="","",IFERROR(INDEX('INPUT-SIF_Questions'!$G$2:$G$300,MATCH($A17,'INPUT-SIF_Questions'!$A$2:$A$300,0)),""))</f>
        <v>Y</v>
      </c>
      <c r="L17" s="1">
        <f>IF($A17="","",IFERROR(INDEX('INPUT-SIF_Questions'!$E$2:$E$300,MATCH($A17,'INPUT-SIF_Questions'!$A$2:$A$300,0)),""))</f>
        <v>0</v>
      </c>
    </row>
    <row r="18" spans="1:12" ht="14.25" customHeight="1" x14ac:dyDescent="0.45">
      <c r="A18" s="1" t="s">
        <v>91</v>
      </c>
      <c r="B18" s="15" t="s">
        <v>92</v>
      </c>
      <c r="C18" s="1" t="str">
        <f>IFERROR(VLOOKUP(B18,'DATABASE-DRIFT_LATENT_HP_ERROR'!$A$143:$B$160,2,FALSE()),"")</f>
        <v>Powered System / Isolation of Hazardous Energy</v>
      </c>
      <c r="D18" s="27" t="s">
        <v>656</v>
      </c>
      <c r="E18" s="18" t="s">
        <v>651</v>
      </c>
      <c r="F18" s="1" t="str">
        <f>IFERROR(VLOOKUP(E18,'DATABASE-DRIFT_LATENT_HP_ERROR'!$A$4:$B$13,2,FALSE()),"")</f>
        <v>Drift.2</v>
      </c>
      <c r="G18" s="18" t="s">
        <v>657</v>
      </c>
      <c r="H18" s="3" t="str">
        <f>IFERROR(VLOOKUP(G18,'DATABASE-DRIFT_LATENT_HP_ERROR'!$B$16:$D$76,3,FALSE()),"")</f>
        <v>Exposure terhadap hazard dianggap masih dapat diterima tanpa dasar engineering.</v>
      </c>
      <c r="I18" s="1">
        <f>IF($A18="","",IFERROR(INDEX('INPUT-SIF_Questions'!$B$2:$B$300,MATCH($A18,'INPUT-SIF_Questions'!$A$2:$A$300,0)),""))</f>
        <v>1</v>
      </c>
      <c r="J18" s="1" t="str">
        <f>IF($A18="","",IFERROR(INDEX('INPUT-SIF_Questions'!$F$2:$F$300,MATCH($A18,'INPUT-SIF_Questions'!$A$2:$A$300,0)),""))</f>
        <v>Baseline</v>
      </c>
      <c r="K18" s="1" t="str">
        <f>IF($A18="","",IFERROR(INDEX('INPUT-SIF_Questions'!$G$2:$G$300,MATCH($A18,'INPUT-SIF_Questions'!$A$2:$A$300,0)),""))</f>
        <v>Y</v>
      </c>
      <c r="L18" s="1">
        <f>IF($A18="","",IFERROR(INDEX('INPUT-SIF_Questions'!$E$2:$E$300,MATCH($A18,'INPUT-SIF_Questions'!$A$2:$A$300,0)),""))</f>
        <v>0</v>
      </c>
    </row>
    <row r="19" spans="1:12" ht="21" customHeight="1" x14ac:dyDescent="0.45">
      <c r="A19" s="1" t="s">
        <v>91</v>
      </c>
      <c r="B19" s="15" t="s">
        <v>92</v>
      </c>
      <c r="C19" s="1" t="str">
        <f>IFERROR(VLOOKUP(B19,'DATABASE-DRIFT_LATENT_HP_ERROR'!$A$143:$B$160,2,FALSE()),"")</f>
        <v>Powered System / Isolation of Hazardous Energy</v>
      </c>
      <c r="D19" s="27" t="s">
        <v>658</v>
      </c>
      <c r="E19" s="18" t="s">
        <v>630</v>
      </c>
      <c r="F19" s="1" t="str">
        <f>IFERROR(VLOOKUP(E19,'DATABASE-DRIFT_LATENT_HP_ERROR'!$A$4:$B$13,2,FALSE()),"")</f>
        <v>Drift.5</v>
      </c>
      <c r="G19" s="18" t="s">
        <v>659</v>
      </c>
      <c r="H19" s="3" t="str">
        <f>IFERROR(VLOOKUP(G19,'DATABASE-DRIFT_LATENT_HP_ERROR'!$B$16:$D$76,3,FALSE()),"")</f>
        <v>Critical safeguard mulai kehilangan efektivitasnya.</v>
      </c>
      <c r="I19" s="1">
        <f>IF($A19="","",IFERROR(INDEX('INPUT-SIF_Questions'!$B$2:$B$300,MATCH($A19,'INPUT-SIF_Questions'!$A$2:$A$300,0)),""))</f>
        <v>1</v>
      </c>
      <c r="J19" s="1" t="str">
        <f>IF($A19="","",IFERROR(INDEX('INPUT-SIF_Questions'!$F$2:$F$300,MATCH($A19,'INPUT-SIF_Questions'!$A$2:$A$300,0)),""))</f>
        <v>Baseline</v>
      </c>
      <c r="K19" s="1" t="str">
        <f>IF($A19="","",IFERROR(INDEX('INPUT-SIF_Questions'!$G$2:$G$300,MATCH($A19,'INPUT-SIF_Questions'!$A$2:$A$300,0)),""))</f>
        <v>Y</v>
      </c>
      <c r="L19" s="1">
        <f>IF($A19="","",IFERROR(INDEX('INPUT-SIF_Questions'!$E$2:$E$300,MATCH($A19,'INPUT-SIF_Questions'!$A$2:$A$300,0)),""))</f>
        <v>0</v>
      </c>
    </row>
    <row r="20" spans="1:12" ht="21" customHeight="1" x14ac:dyDescent="0.45">
      <c r="A20" s="1" t="s">
        <v>132</v>
      </c>
      <c r="B20" s="15" t="s">
        <v>92</v>
      </c>
      <c r="C20" s="1" t="str">
        <f>IFERROR(VLOOKUP(B20,'DATABASE-DRIFT_LATENT_HP_ERROR'!$A$143:$B$160,2,FALSE()),"")</f>
        <v>Powered System / Isolation of Hazardous Energy</v>
      </c>
      <c r="D20" s="18" t="s">
        <v>644</v>
      </c>
      <c r="E20" s="3" t="s">
        <v>640</v>
      </c>
      <c r="F20" s="1" t="str">
        <f>IFERROR(VLOOKUP(E20,'DATABASE-DRIFT_LATENT_HP_ERROR'!$A$4:$B$13,2,FALSE()),"")</f>
        <v>Drift.4</v>
      </c>
      <c r="G20" s="18" t="s">
        <v>641</v>
      </c>
      <c r="H20" s="3" t="str">
        <f>IFERROR(VLOOKUP(G20,'DATABASE-DRIFT_LATENT_HP_ERROR'!$B$16:$D$76,3,FALSE()),"")</f>
        <v>Checklist hanya diparaf sebagai formalitas administratif.</v>
      </c>
      <c r="I20" s="1">
        <f>IF($A20="","",IFERROR(INDEX('INPUT-SIF_Questions'!$B$2:$B$300,MATCH($A20,'INPUT-SIF_Questions'!$A$2:$A$300,0)),""))</f>
        <v>1</v>
      </c>
      <c r="J20" s="1" t="str">
        <f>IF($A20="","",IFERROR(INDEX('INPUT-SIF_Questions'!$F$2:$F$300,MATCH($A20,'INPUT-SIF_Questions'!$A$2:$A$300,0)),""))</f>
        <v>Baseline</v>
      </c>
      <c r="K20" s="1" t="str">
        <f>IF($A20="","",IFERROR(INDEX('INPUT-SIF_Questions'!$G$2:$G$300,MATCH($A20,'INPUT-SIF_Questions'!$A$2:$A$300,0)),""))</f>
        <v>Y</v>
      </c>
      <c r="L20" s="1">
        <f>IF($A20="","",IFERROR(INDEX('INPUT-SIF_Questions'!$E$2:$E$300,MATCH($A20,'INPUT-SIF_Questions'!$A$2:$A$300,0)),""))</f>
        <v>0</v>
      </c>
    </row>
    <row r="21" spans="1:12" ht="21" customHeight="1" x14ac:dyDescent="0.45">
      <c r="A21" s="1" t="s">
        <v>132</v>
      </c>
      <c r="B21" s="15" t="s">
        <v>92</v>
      </c>
      <c r="C21" s="1" t="str">
        <f>IFERROR(VLOOKUP(B21,'DATABASE-DRIFT_LATENT_HP_ERROR'!$A$143:$B$160,2,FALSE()),"")</f>
        <v>Powered System / Isolation of Hazardous Energy</v>
      </c>
      <c r="D21" s="18" t="s">
        <v>645</v>
      </c>
      <c r="E21" s="3" t="s">
        <v>635</v>
      </c>
      <c r="F21" s="1" t="str">
        <f>IFERROR(VLOOKUP(E21,'DATABASE-DRIFT_LATENT_HP_ERROR'!$A$4:$B$13,2,FALSE()),"")</f>
        <v>Drift.7</v>
      </c>
      <c r="G21" s="18" t="s">
        <v>638</v>
      </c>
      <c r="H21" s="3" t="str">
        <f>IFERROR(VLOOKUP(G21,'DATABASE-DRIFT_LATENT_HP_ERROR'!$B$16:$D$76,3,FALSE()),"")</f>
        <v>Risiko engineering tidak dianalisa secara teknikal.</v>
      </c>
      <c r="I21" s="1">
        <f>IF($A21="","",IFERROR(INDEX('INPUT-SIF_Questions'!$B$2:$B$300,MATCH($A21,'INPUT-SIF_Questions'!$A$2:$A$300,0)),""))</f>
        <v>1</v>
      </c>
      <c r="J21" s="1" t="str">
        <f>IF($A21="","",IFERROR(INDEX('INPUT-SIF_Questions'!$F$2:$F$300,MATCH($A21,'INPUT-SIF_Questions'!$A$2:$A$300,0)),""))</f>
        <v>Baseline</v>
      </c>
      <c r="K21" s="1" t="str">
        <f>IF($A21="","",IFERROR(INDEX('INPUT-SIF_Questions'!$G$2:$G$300,MATCH($A21,'INPUT-SIF_Questions'!$A$2:$A$300,0)),""))</f>
        <v>Y</v>
      </c>
      <c r="L21" s="1">
        <f>IF($A21="","",IFERROR(INDEX('INPUT-SIF_Questions'!$E$2:$E$300,MATCH($A21,'INPUT-SIF_Questions'!$A$2:$A$300,0)),""))</f>
        <v>0</v>
      </c>
    </row>
    <row r="22" spans="1:12" ht="28.5" customHeight="1" x14ac:dyDescent="0.45">
      <c r="A22" s="1" t="s">
        <v>132</v>
      </c>
      <c r="B22" s="15" t="s">
        <v>92</v>
      </c>
      <c r="C22" s="1" t="str">
        <f>IFERROR(VLOOKUP(B22,'DATABASE-DRIFT_LATENT_HP_ERROR'!$A$143:$B$160,2,FALSE()),"")</f>
        <v>Powered System / Isolation of Hazardous Energy</v>
      </c>
      <c r="D22" s="18" t="s">
        <v>646</v>
      </c>
      <c r="E22" s="3" t="s">
        <v>640</v>
      </c>
      <c r="F22" s="1" t="str">
        <f>IFERROR(VLOOKUP(E22,'DATABASE-DRIFT_LATENT_HP_ERROR'!$A$4:$B$13,2,FALSE()),"")</f>
        <v>Drift.4</v>
      </c>
      <c r="G22" s="18" t="s">
        <v>641</v>
      </c>
      <c r="H22" s="3" t="str">
        <f>IFERROR(VLOOKUP(G22,'DATABASE-DRIFT_LATENT_HP_ERROR'!$B$16:$D$76,3,FALSE()),"")</f>
        <v>Checklist hanya diparaf sebagai formalitas administratif.</v>
      </c>
      <c r="I22" s="1">
        <f>IF($A22="","",IFERROR(INDEX('INPUT-SIF_Questions'!$B$2:$B$300,MATCH($A22,'INPUT-SIF_Questions'!$A$2:$A$300,0)),""))</f>
        <v>1</v>
      </c>
      <c r="J22" s="1" t="str">
        <f>IF($A22="","",IFERROR(INDEX('INPUT-SIF_Questions'!$F$2:$F$300,MATCH($A22,'INPUT-SIF_Questions'!$A$2:$A$300,0)),""))</f>
        <v>Baseline</v>
      </c>
      <c r="K22" s="1" t="str">
        <f>IF($A22="","",IFERROR(INDEX('INPUT-SIF_Questions'!$G$2:$G$300,MATCH($A22,'INPUT-SIF_Questions'!$A$2:$A$300,0)),""))</f>
        <v>Y</v>
      </c>
      <c r="L22" s="1">
        <f>IF($A22="","",IFERROR(INDEX('INPUT-SIF_Questions'!$E$2:$E$300,MATCH($A22,'INPUT-SIF_Questions'!$A$2:$A$300,0)),""))</f>
        <v>0</v>
      </c>
    </row>
    <row r="23" spans="1:12" ht="28.5" customHeight="1" x14ac:dyDescent="0.45">
      <c r="A23" s="1" t="s">
        <v>132</v>
      </c>
      <c r="B23" s="15" t="s">
        <v>92</v>
      </c>
      <c r="C23" s="1" t="str">
        <f>IFERROR(VLOOKUP(B23,'DATABASE-DRIFT_LATENT_HP_ERROR'!$A$143:$B$160,2,FALSE()),"")</f>
        <v>Powered System / Isolation of Hazardous Energy</v>
      </c>
      <c r="D23" s="18" t="s">
        <v>647</v>
      </c>
      <c r="E23" s="18" t="s">
        <v>648</v>
      </c>
      <c r="F23" s="1" t="str">
        <f>IFERROR(VLOOKUP(E23,'DATABASE-DRIFT_LATENT_HP_ERROR'!$A$4:$B$13,2,FALSE()),"")</f>
        <v>Drift.10</v>
      </c>
      <c r="G23" s="18" t="s">
        <v>649</v>
      </c>
      <c r="H23" s="3" t="str">
        <f>IFERROR(VLOOKUP(G23,'DATABASE-DRIFT_LATENT_HP_ERROR'!$B$16:$D$76,3,FALSE()),"")</f>
        <v>Equipment digunakan di luar batas desain normal.</v>
      </c>
      <c r="I23" s="1">
        <f>IF($A23="","",IFERROR(INDEX('INPUT-SIF_Questions'!$B$2:$B$300,MATCH($A23,'INPUT-SIF_Questions'!$A$2:$A$300,0)),""))</f>
        <v>1</v>
      </c>
      <c r="J23" s="1" t="str">
        <f>IF($A23="","",IFERROR(INDEX('INPUT-SIF_Questions'!$F$2:$F$300,MATCH($A23,'INPUT-SIF_Questions'!$A$2:$A$300,0)),""))</f>
        <v>Baseline</v>
      </c>
      <c r="K23" s="1" t="str">
        <f>IF($A23="","",IFERROR(INDEX('INPUT-SIF_Questions'!$G$2:$G$300,MATCH($A23,'INPUT-SIF_Questions'!$A$2:$A$300,0)),""))</f>
        <v>Y</v>
      </c>
      <c r="L23" s="1">
        <f>IF($A23="","",IFERROR(INDEX('INPUT-SIF_Questions'!$E$2:$E$300,MATCH($A23,'INPUT-SIF_Questions'!$A$2:$A$300,0)),""))</f>
        <v>0</v>
      </c>
    </row>
    <row r="24" spans="1:12" ht="21" customHeight="1" x14ac:dyDescent="0.45">
      <c r="A24" s="1" t="s">
        <v>132</v>
      </c>
      <c r="B24" s="15" t="s">
        <v>92</v>
      </c>
      <c r="C24" s="1" t="str">
        <f>IFERROR(VLOOKUP(B24,'DATABASE-DRIFT_LATENT_HP_ERROR'!$A$143:$B$160,2,FALSE()),"")</f>
        <v>Powered System / Isolation of Hazardous Energy</v>
      </c>
      <c r="D24" s="18" t="s">
        <v>650</v>
      </c>
      <c r="E24" s="18" t="s">
        <v>651</v>
      </c>
      <c r="F24" s="1" t="str">
        <f>IFERROR(VLOOKUP(E24,'DATABASE-DRIFT_LATENT_HP_ERROR'!$A$4:$B$13,2,FALSE()),"")</f>
        <v>Drift.2</v>
      </c>
      <c r="G24" s="18" t="s">
        <v>652</v>
      </c>
      <c r="H24" s="3" t="str">
        <f>IFERROR(VLOOKUP(G24,'DATABASE-DRIFT_LATENT_HP_ERROR'!$B$16:$D$76,3,FALSE()),"")</f>
        <v>Solusi sementara digunakan terus menerus tanpa perbaikan permanen.</v>
      </c>
      <c r="I24" s="1">
        <f>IF($A24="","",IFERROR(INDEX('INPUT-SIF_Questions'!$B$2:$B$300,MATCH($A24,'INPUT-SIF_Questions'!$A$2:$A$300,0)),""))</f>
        <v>1</v>
      </c>
      <c r="J24" s="1" t="str">
        <f>IF($A24="","",IFERROR(INDEX('INPUT-SIF_Questions'!$F$2:$F$300,MATCH($A24,'INPUT-SIF_Questions'!$A$2:$A$300,0)),""))</f>
        <v>Baseline</v>
      </c>
      <c r="K24" s="1" t="str">
        <f>IF($A24="","",IFERROR(INDEX('INPUT-SIF_Questions'!$G$2:$G$300,MATCH($A24,'INPUT-SIF_Questions'!$A$2:$A$300,0)),""))</f>
        <v>Y</v>
      </c>
      <c r="L24" s="1">
        <f>IF($A24="","",IFERROR(INDEX('INPUT-SIF_Questions'!$E$2:$E$300,MATCH($A24,'INPUT-SIF_Questions'!$A$2:$A$300,0)),""))</f>
        <v>0</v>
      </c>
    </row>
    <row r="25" spans="1:12" ht="28.5" customHeight="1" x14ac:dyDescent="0.45">
      <c r="A25" s="1" t="s">
        <v>132</v>
      </c>
      <c r="B25" s="15" t="s">
        <v>92</v>
      </c>
      <c r="C25" s="1" t="str">
        <f>IFERROR(VLOOKUP(B25,'DATABASE-DRIFT_LATENT_HP_ERROR'!$A$143:$B$160,2,FALSE()),"")</f>
        <v>Powered System / Isolation of Hazardous Energy</v>
      </c>
      <c r="D25" s="18" t="s">
        <v>653</v>
      </c>
      <c r="E25" s="18" t="s">
        <v>635</v>
      </c>
      <c r="F25" s="1" t="str">
        <f>IFERROR(VLOOKUP(E25,'DATABASE-DRIFT_LATENT_HP_ERROR'!$A$4:$B$13,2,FALSE()),"")</f>
        <v>Drift.7</v>
      </c>
      <c r="G25" s="18" t="s">
        <v>660</v>
      </c>
      <c r="H25" s="3" t="str">
        <f>IFERROR(VLOOKUP(G25,'DATABASE-DRIFT_LATENT_HP_ERROR'!$B$16:$D$76,3,FALSE()),"")</f>
        <v>Konflik antar pekerjaan simultan tidak dipertimbangkan memadai.</v>
      </c>
      <c r="I25" s="1">
        <f>IF($A25="","",IFERROR(INDEX('INPUT-SIF_Questions'!$B$2:$B$300,MATCH($A25,'INPUT-SIF_Questions'!$A$2:$A$300,0)),""))</f>
        <v>1</v>
      </c>
      <c r="J25" s="1" t="str">
        <f>IF($A25="","",IFERROR(INDEX('INPUT-SIF_Questions'!$F$2:$F$300,MATCH($A25,'INPUT-SIF_Questions'!$A$2:$A$300,0)),""))</f>
        <v>Baseline</v>
      </c>
      <c r="K25" s="1" t="str">
        <f>IF($A25="","",IFERROR(INDEX('INPUT-SIF_Questions'!$G$2:$G$300,MATCH($A25,'INPUT-SIF_Questions'!$A$2:$A$300,0)),""))</f>
        <v>Y</v>
      </c>
      <c r="L25" s="1">
        <f>IF($A25="","",IFERROR(INDEX('INPUT-SIF_Questions'!$E$2:$E$300,MATCH($A25,'INPUT-SIF_Questions'!$A$2:$A$300,0)),""))</f>
        <v>0</v>
      </c>
    </row>
    <row r="26" spans="1:12" ht="21" customHeight="1" x14ac:dyDescent="0.45">
      <c r="A26" s="1" t="s">
        <v>132</v>
      </c>
      <c r="B26" s="15" t="s">
        <v>92</v>
      </c>
      <c r="C26" s="1" t="str">
        <f>IFERROR(VLOOKUP(B26,'DATABASE-DRIFT_LATENT_HP_ERROR'!$A$143:$B$160,2,FALSE()),"")</f>
        <v>Powered System / Isolation of Hazardous Energy</v>
      </c>
      <c r="D26" s="18" t="s">
        <v>654</v>
      </c>
      <c r="E26" s="18" t="s">
        <v>630</v>
      </c>
      <c r="F26" s="1" t="str">
        <f>IFERROR(VLOOKUP(E26,'DATABASE-DRIFT_LATENT_HP_ERROR'!$A$4:$B$13,2,FALSE()),"")</f>
        <v>Drift.5</v>
      </c>
      <c r="G26" s="18" t="s">
        <v>655</v>
      </c>
      <c r="H26" s="3" t="str">
        <f>IFERROR(VLOOKUP(G26,'DATABASE-DRIFT_LATENT_HP_ERROR'!$B$16:$D$76,3,FALSE()),"")</f>
        <v>Verifikasi isolasi energi tidak dilakukan secara menyeluruh.</v>
      </c>
      <c r="I26" s="1">
        <f>IF($A26="","",IFERROR(INDEX('INPUT-SIF_Questions'!$B$2:$B$300,MATCH($A26,'INPUT-SIF_Questions'!$A$2:$A$300,0)),""))</f>
        <v>1</v>
      </c>
      <c r="J26" s="1" t="str">
        <f>IF($A26="","",IFERROR(INDEX('INPUT-SIF_Questions'!$F$2:$F$300,MATCH($A26,'INPUT-SIF_Questions'!$A$2:$A$300,0)),""))</f>
        <v>Baseline</v>
      </c>
      <c r="K26" s="1" t="str">
        <f>IF($A26="","",IFERROR(INDEX('INPUT-SIF_Questions'!$G$2:$G$300,MATCH($A26,'INPUT-SIF_Questions'!$A$2:$A$300,0)),""))</f>
        <v>Y</v>
      </c>
      <c r="L26" s="1">
        <f>IF($A26="","",IFERROR(INDEX('INPUT-SIF_Questions'!$E$2:$E$300,MATCH($A26,'INPUT-SIF_Questions'!$A$2:$A$300,0)),""))</f>
        <v>0</v>
      </c>
    </row>
    <row r="27" spans="1:12" ht="14.25" customHeight="1" x14ac:dyDescent="0.45">
      <c r="A27" s="1" t="s">
        <v>132</v>
      </c>
      <c r="B27" s="15" t="s">
        <v>92</v>
      </c>
      <c r="C27" s="1" t="str">
        <f>IFERROR(VLOOKUP(B27,'DATABASE-DRIFT_LATENT_HP_ERROR'!$A$143:$B$160,2,FALSE()),"")</f>
        <v>Powered System / Isolation of Hazardous Energy</v>
      </c>
      <c r="D27" s="18" t="s">
        <v>656</v>
      </c>
      <c r="E27" s="18" t="s">
        <v>651</v>
      </c>
      <c r="F27" s="1" t="str">
        <f>IFERROR(VLOOKUP(E27,'DATABASE-DRIFT_LATENT_HP_ERROR'!$A$4:$B$13,2,FALSE()),"")</f>
        <v>Drift.2</v>
      </c>
      <c r="G27" s="18" t="s">
        <v>661</v>
      </c>
      <c r="H27" s="3" t="str">
        <f>IFERROR(VLOOKUP(G27,'DATABASE-DRIFT_LATENT_HP_ERROR'!$B$16:$D$76,3,FALSE()),"")</f>
        <v>Kondisi tidak aman mulai dianggap normal karena sering terjadi tanpa insiden.</v>
      </c>
      <c r="I27" s="1">
        <f>IF($A27="","",IFERROR(INDEX('INPUT-SIF_Questions'!$B$2:$B$300,MATCH($A27,'INPUT-SIF_Questions'!$A$2:$A$300,0)),""))</f>
        <v>1</v>
      </c>
      <c r="J27" s="1" t="str">
        <f>IF($A27="","",IFERROR(INDEX('INPUT-SIF_Questions'!$F$2:$F$300,MATCH($A27,'INPUT-SIF_Questions'!$A$2:$A$300,0)),""))</f>
        <v>Baseline</v>
      </c>
      <c r="K27" s="1" t="str">
        <f>IF($A27="","",IFERROR(INDEX('INPUT-SIF_Questions'!$G$2:$G$300,MATCH($A27,'INPUT-SIF_Questions'!$A$2:$A$300,0)),""))</f>
        <v>Y</v>
      </c>
      <c r="L27" s="1">
        <f>IF($A27="","",IFERROR(INDEX('INPUT-SIF_Questions'!$E$2:$E$300,MATCH($A27,'INPUT-SIF_Questions'!$A$2:$A$300,0)),""))</f>
        <v>0</v>
      </c>
    </row>
    <row r="28" spans="1:12" ht="21" customHeight="1" x14ac:dyDescent="0.45">
      <c r="A28" s="1" t="s">
        <v>132</v>
      </c>
      <c r="B28" s="15" t="s">
        <v>92</v>
      </c>
      <c r="C28" s="1" t="str">
        <f>IFERROR(VLOOKUP(B28,'DATABASE-DRIFT_LATENT_HP_ERROR'!$A$143:$B$160,2,FALSE()),"")</f>
        <v>Powered System / Isolation of Hazardous Energy</v>
      </c>
      <c r="D28" s="18" t="s">
        <v>658</v>
      </c>
      <c r="E28" s="18" t="s">
        <v>630</v>
      </c>
      <c r="F28" s="1" t="str">
        <f>IFERROR(VLOOKUP(E28,'DATABASE-DRIFT_LATENT_HP_ERROR'!$A$4:$B$13,2,FALSE()),"")</f>
        <v>Drift.5</v>
      </c>
      <c r="G28" s="18" t="s">
        <v>659</v>
      </c>
      <c r="H28" s="3" t="str">
        <f>IFERROR(VLOOKUP(G28,'DATABASE-DRIFT_LATENT_HP_ERROR'!$B$16:$D$76,3,FALSE()),"")</f>
        <v>Critical safeguard mulai kehilangan efektivitasnya.</v>
      </c>
      <c r="I28" s="1">
        <f>IF($A28="","",IFERROR(INDEX('INPUT-SIF_Questions'!$B$2:$B$300,MATCH($A28,'INPUT-SIF_Questions'!$A$2:$A$300,0)),""))</f>
        <v>1</v>
      </c>
      <c r="J28" s="1" t="str">
        <f>IF($A28="","",IFERROR(INDEX('INPUT-SIF_Questions'!$F$2:$F$300,MATCH($A28,'INPUT-SIF_Questions'!$A$2:$A$300,0)),""))</f>
        <v>Baseline</v>
      </c>
      <c r="K28" s="1" t="str">
        <f>IF($A28="","",IFERROR(INDEX('INPUT-SIF_Questions'!$G$2:$G$300,MATCH($A28,'INPUT-SIF_Questions'!$A$2:$A$300,0)),""))</f>
        <v>Y</v>
      </c>
      <c r="L28" s="1">
        <f>IF($A28="","",IFERROR(INDEX('INPUT-SIF_Questions'!$E$2:$E$300,MATCH($A28,'INPUT-SIF_Questions'!$A$2:$A$300,0)),""))</f>
        <v>0</v>
      </c>
    </row>
    <row r="29" spans="1:12" ht="28.5" customHeight="1" x14ac:dyDescent="0.45">
      <c r="A29" s="1" t="s">
        <v>142</v>
      </c>
      <c r="B29" s="15" t="s">
        <v>143</v>
      </c>
      <c r="C29" s="1" t="str">
        <f>IFERROR(VLOOKUP(B29,'DATABASE-DRIFT_LATENT_HP_ERROR'!$A$143:$B$160,2,FALSE()),"")</f>
        <v>Ground Disturbance or Excavation</v>
      </c>
      <c r="D29" s="27" t="s">
        <v>662</v>
      </c>
      <c r="E29" s="18" t="s">
        <v>640</v>
      </c>
      <c r="F29" s="1" t="str">
        <f>IFERROR(VLOOKUP(E29,'DATABASE-DRIFT_LATENT_HP_ERROR'!$A$4:$B$13,2,FALSE()),"")</f>
        <v>Drift.4</v>
      </c>
      <c r="G29" s="18" t="s">
        <v>663</v>
      </c>
      <c r="H29" s="3" t="str">
        <f>IFERROR(VLOOKUP(G29,'DATABASE-DRIFT_LATENT_HP_ERROR'!$B$16:$D$76,3,FALSE()),"")</f>
        <v>Persetujuan diberikan tanpa memastikan critical safeguard efektif.</v>
      </c>
      <c r="I29" s="1">
        <f>IF($A29="","",IFERROR(INDEX('INPUT-SIF_Questions'!$B$2:$B$300,MATCH($A29,'INPUT-SIF_Questions'!$A$2:$A$300,0)),""))</f>
        <v>1</v>
      </c>
      <c r="J29" s="1" t="str">
        <f>IF($A29="","",IFERROR(INDEX('INPUT-SIF_Questions'!$F$2:$F$300,MATCH($A29,'INPUT-SIF_Questions'!$A$2:$A$300,0)),""))</f>
        <v>Baseline</v>
      </c>
      <c r="K29" s="1" t="str">
        <f>IF($A29="","",IFERROR(INDEX('INPUT-SIF_Questions'!$G$2:$G$300,MATCH($A29,'INPUT-SIF_Questions'!$A$2:$A$300,0)),""))</f>
        <v>Y</v>
      </c>
      <c r="L29" s="1">
        <f>IF($A29="","",IFERROR(INDEX('INPUT-SIF_Questions'!$E$2:$E$300,MATCH($A29,'INPUT-SIF_Questions'!$A$2:$A$300,0)),""))</f>
        <v>0</v>
      </c>
    </row>
    <row r="30" spans="1:12" ht="21" customHeight="1" x14ac:dyDescent="0.45">
      <c r="A30" s="1" t="s">
        <v>142</v>
      </c>
      <c r="B30" s="15" t="s">
        <v>143</v>
      </c>
      <c r="C30" s="1" t="str">
        <f>IFERROR(VLOOKUP(B30,'DATABASE-DRIFT_LATENT_HP_ERROR'!$A$143:$B$160,2,FALSE()),"")</f>
        <v>Ground Disturbance or Excavation</v>
      </c>
      <c r="D30" s="27" t="s">
        <v>664</v>
      </c>
      <c r="E30" s="18" t="s">
        <v>640</v>
      </c>
      <c r="F30" s="1" t="str">
        <f>IFERROR(VLOOKUP(E30,'DATABASE-DRIFT_LATENT_HP_ERROR'!$A$4:$B$13,2,FALSE()),"")</f>
        <v>Drift.4</v>
      </c>
      <c r="G30" s="18" t="s">
        <v>643</v>
      </c>
      <c r="H30" s="3" t="str">
        <f>IFERROR(VLOOKUP(G30,'DATABASE-DRIFT_LATENT_HP_ERROR'!$B$16:$D$76,3,FALSE()),"")</f>
        <v>SWC tidak digunakan sebagai critical thinking tool.</v>
      </c>
      <c r="I30" s="1">
        <f>IF($A30="","",IFERROR(INDEX('INPUT-SIF_Questions'!$B$2:$B$300,MATCH($A30,'INPUT-SIF_Questions'!$A$2:$A$300,0)),""))</f>
        <v>1</v>
      </c>
      <c r="J30" s="1" t="str">
        <f>IF($A30="","",IFERROR(INDEX('INPUT-SIF_Questions'!$F$2:$F$300,MATCH($A30,'INPUT-SIF_Questions'!$A$2:$A$300,0)),""))</f>
        <v>Baseline</v>
      </c>
      <c r="K30" s="1" t="str">
        <f>IF($A30="","",IFERROR(INDEX('INPUT-SIF_Questions'!$G$2:$G$300,MATCH($A30,'INPUT-SIF_Questions'!$A$2:$A$300,0)),""))</f>
        <v>Y</v>
      </c>
      <c r="L30" s="1">
        <f>IF($A30="","",IFERROR(INDEX('INPUT-SIF_Questions'!$E$2:$E$300,MATCH($A30,'INPUT-SIF_Questions'!$A$2:$A$300,0)),""))</f>
        <v>0</v>
      </c>
    </row>
    <row r="31" spans="1:12" ht="35.25" customHeight="1" x14ac:dyDescent="0.45">
      <c r="A31" s="1" t="s">
        <v>142</v>
      </c>
      <c r="B31" s="15" t="s">
        <v>143</v>
      </c>
      <c r="C31" s="1" t="str">
        <f>IFERROR(VLOOKUP(B31,'DATABASE-DRIFT_LATENT_HP_ERROR'!$A$143:$B$160,2,FALSE()),"")</f>
        <v>Ground Disturbance or Excavation</v>
      </c>
      <c r="D31" s="27" t="s">
        <v>665</v>
      </c>
      <c r="E31" s="18" t="s">
        <v>625</v>
      </c>
      <c r="F31" s="1" t="str">
        <f>IFERROR(VLOOKUP(E31,'DATABASE-DRIFT_LATENT_HP_ERROR'!$A$4:$B$13,2,FALSE()),"")</f>
        <v>Drift.1</v>
      </c>
      <c r="G31" s="18" t="s">
        <v>666</v>
      </c>
      <c r="H31" s="3" t="str">
        <f>IFERROR(VLOOKUP(G31,'DATABASE-DRIFT_LATENT_HP_ERROR'!$B$16:$D$76,3,FALSE()),"")</f>
        <v>Dokumentasi pekerjaan tidak lengkap tetapi pekerjaan tetap dilanjutkan.</v>
      </c>
      <c r="I31" s="1">
        <f>IF($A31="","",IFERROR(INDEX('INPUT-SIF_Questions'!$B$2:$B$300,MATCH($A31,'INPUT-SIF_Questions'!$A$2:$A$300,0)),""))</f>
        <v>1</v>
      </c>
      <c r="J31" s="1" t="str">
        <f>IF($A31="","",IFERROR(INDEX('INPUT-SIF_Questions'!$F$2:$F$300,MATCH($A31,'INPUT-SIF_Questions'!$A$2:$A$300,0)),""))</f>
        <v>Baseline</v>
      </c>
      <c r="K31" s="1" t="str">
        <f>IF($A31="","",IFERROR(INDEX('INPUT-SIF_Questions'!$G$2:$G$300,MATCH($A31,'INPUT-SIF_Questions'!$A$2:$A$300,0)),""))</f>
        <v>Y</v>
      </c>
      <c r="L31" s="1">
        <f>IF($A31="","",IFERROR(INDEX('INPUT-SIF_Questions'!$E$2:$E$300,MATCH($A31,'INPUT-SIF_Questions'!$A$2:$A$300,0)),""))</f>
        <v>0</v>
      </c>
    </row>
    <row r="32" spans="1:12" ht="28.5" customHeight="1" x14ac:dyDescent="0.45">
      <c r="A32" s="1" t="s">
        <v>142</v>
      </c>
      <c r="B32" s="15" t="s">
        <v>143</v>
      </c>
      <c r="C32" s="1" t="str">
        <f>IFERROR(VLOOKUP(B32,'DATABASE-DRIFT_LATENT_HP_ERROR'!$A$143:$B$160,2,FALSE()),"")</f>
        <v>Ground Disturbance or Excavation</v>
      </c>
      <c r="D32" s="27" t="s">
        <v>667</v>
      </c>
      <c r="E32" s="18" t="s">
        <v>635</v>
      </c>
      <c r="F32" s="1" t="str">
        <f>IFERROR(VLOOKUP(E32,'DATABASE-DRIFT_LATENT_HP_ERROR'!$A$4:$B$13,2,FALSE()),"")</f>
        <v>Drift.7</v>
      </c>
      <c r="G32" s="18" t="s">
        <v>636</v>
      </c>
      <c r="H32" s="3" t="str">
        <f>IFERROR(VLOOKUP(G32,'DATABASE-DRIFT_LATENT_HP_ERROR'!$B$16:$D$76,3,FALSE()),"")</f>
        <v>Tingkat risiko diremehkan dibanding exposure aktual.</v>
      </c>
      <c r="I32" s="1">
        <f>IF($A32="","",IFERROR(INDEX('INPUT-SIF_Questions'!$B$2:$B$300,MATCH($A32,'INPUT-SIF_Questions'!$A$2:$A$300,0)),""))</f>
        <v>1</v>
      </c>
      <c r="J32" s="1" t="str">
        <f>IF($A32="","",IFERROR(INDEX('INPUT-SIF_Questions'!$F$2:$F$300,MATCH($A32,'INPUT-SIF_Questions'!$A$2:$A$300,0)),""))</f>
        <v>Baseline</v>
      </c>
      <c r="K32" s="1" t="str">
        <f>IF($A32="","",IFERROR(INDEX('INPUT-SIF_Questions'!$G$2:$G$300,MATCH($A32,'INPUT-SIF_Questions'!$A$2:$A$300,0)),""))</f>
        <v>Y</v>
      </c>
      <c r="L32" s="1">
        <f>IF($A32="","",IFERROR(INDEX('INPUT-SIF_Questions'!$E$2:$E$300,MATCH($A32,'INPUT-SIF_Questions'!$A$2:$A$300,0)),""))</f>
        <v>0</v>
      </c>
    </row>
    <row r="33" spans="1:12" ht="28.5" customHeight="1" x14ac:dyDescent="0.45">
      <c r="A33" s="1" t="s">
        <v>142</v>
      </c>
      <c r="B33" s="15" t="s">
        <v>143</v>
      </c>
      <c r="C33" s="1" t="str">
        <f>IFERROR(VLOOKUP(B33,'DATABASE-DRIFT_LATENT_HP_ERROR'!$A$143:$B$160,2,FALSE()),"")</f>
        <v>Ground Disturbance or Excavation</v>
      </c>
      <c r="D33" s="27" t="s">
        <v>668</v>
      </c>
      <c r="E33" s="18" t="s">
        <v>625</v>
      </c>
      <c r="F33" s="1" t="str">
        <f>IFERROR(VLOOKUP(E33,'DATABASE-DRIFT_LATENT_HP_ERROR'!$A$4:$B$13,2,FALSE()),"")</f>
        <v>Drift.1</v>
      </c>
      <c r="G33" s="18" t="s">
        <v>669</v>
      </c>
      <c r="H33" s="3" t="str">
        <f>IFERROR(VLOOKUP(G33,'DATABASE-DRIFT_LATENT_HP_ERROR'!$B$16:$D$76,3,FALSE()),"")</f>
        <v>Pekerja menggunakan metode kerja tidak resmi berdasarkan kebiasaan lapangan.</v>
      </c>
      <c r="I33" s="1">
        <f>IF($A33="","",IFERROR(INDEX('INPUT-SIF_Questions'!$B$2:$B$300,MATCH($A33,'INPUT-SIF_Questions'!$A$2:$A$300,0)),""))</f>
        <v>1</v>
      </c>
      <c r="J33" s="1" t="str">
        <f>IF($A33="","",IFERROR(INDEX('INPUT-SIF_Questions'!$F$2:$F$300,MATCH($A33,'INPUT-SIF_Questions'!$A$2:$A$300,0)),""))</f>
        <v>Baseline</v>
      </c>
      <c r="K33" s="1" t="str">
        <f>IF($A33="","",IFERROR(INDEX('INPUT-SIF_Questions'!$G$2:$G$300,MATCH($A33,'INPUT-SIF_Questions'!$A$2:$A$300,0)),""))</f>
        <v>Y</v>
      </c>
      <c r="L33" s="1">
        <f>IF($A33="","",IFERROR(INDEX('INPUT-SIF_Questions'!$E$2:$E$300,MATCH($A33,'INPUT-SIF_Questions'!$A$2:$A$300,0)),""))</f>
        <v>0</v>
      </c>
    </row>
    <row r="34" spans="1:12" ht="35.25" customHeight="1" x14ac:dyDescent="0.45">
      <c r="A34" s="1" t="s">
        <v>142</v>
      </c>
      <c r="B34" s="15" t="s">
        <v>143</v>
      </c>
      <c r="C34" s="1" t="str">
        <f>IFERROR(VLOOKUP(B34,'DATABASE-DRIFT_LATENT_HP_ERROR'!$A$143:$B$160,2,FALSE()),"")</f>
        <v>Ground Disturbance or Excavation</v>
      </c>
      <c r="D34" s="27" t="s">
        <v>670</v>
      </c>
      <c r="E34" s="18" t="s">
        <v>671</v>
      </c>
      <c r="F34" s="1" t="str">
        <f>IFERROR(VLOOKUP(E34,'DATABASE-DRIFT_LATENT_HP_ERROR'!$A$4:$B$13,2,FALSE()),"")</f>
        <v>Drift.8</v>
      </c>
      <c r="G34" s="18" t="s">
        <v>672</v>
      </c>
      <c r="H34" s="3" t="str">
        <f>IFERROR(VLOOKUP(G34,'DATABASE-DRIFT_LATENT_HP_ERROR'!$B$16:$D$76,3,FALSE()),"")</f>
        <v>Pengawasan dilakukan berdasarkan asumsi bahwa pekerja sudah memahami risiko.</v>
      </c>
      <c r="I34" s="1">
        <f>IF($A34="","",IFERROR(INDEX('INPUT-SIF_Questions'!$B$2:$B$300,MATCH($A34,'INPUT-SIF_Questions'!$A$2:$A$300,0)),""))</f>
        <v>1</v>
      </c>
      <c r="J34" s="1" t="str">
        <f>IF($A34="","",IFERROR(INDEX('INPUT-SIF_Questions'!$F$2:$F$300,MATCH($A34,'INPUT-SIF_Questions'!$A$2:$A$300,0)),""))</f>
        <v>Baseline</v>
      </c>
      <c r="K34" s="1" t="str">
        <f>IF($A34="","",IFERROR(INDEX('INPUT-SIF_Questions'!$G$2:$G$300,MATCH($A34,'INPUT-SIF_Questions'!$A$2:$A$300,0)),""))</f>
        <v>Y</v>
      </c>
      <c r="L34" s="1">
        <f>IF($A34="","",IFERROR(INDEX('INPUT-SIF_Questions'!$E$2:$E$300,MATCH($A34,'INPUT-SIF_Questions'!$A$2:$A$300,0)),""))</f>
        <v>0</v>
      </c>
    </row>
    <row r="35" spans="1:12" ht="21" customHeight="1" x14ac:dyDescent="0.45">
      <c r="A35" s="1" t="s">
        <v>142</v>
      </c>
      <c r="B35" s="15" t="s">
        <v>143</v>
      </c>
      <c r="C35" s="1" t="str">
        <f>IFERROR(VLOOKUP(B35,'DATABASE-DRIFT_LATENT_HP_ERROR'!$A$143:$B$160,2,FALSE()),"")</f>
        <v>Ground Disturbance or Excavation</v>
      </c>
      <c r="D35" s="27" t="s">
        <v>673</v>
      </c>
      <c r="E35" s="18" t="s">
        <v>674</v>
      </c>
      <c r="F35" s="1" t="str">
        <f>IFERROR(VLOOKUP(E35,'DATABASE-DRIFT_LATENT_HP_ERROR'!$A$4:$B$13,2,FALSE()),"")</f>
        <v>Drift.9</v>
      </c>
      <c r="G35" s="18" t="s">
        <v>675</v>
      </c>
      <c r="H35" s="3" t="str">
        <f>IFERROR(VLOOKUP(G35,'DATABASE-DRIFT_LATENT_HP_ERROR'!$B$16:$D$76,3,FALSE()),"")</f>
        <v>Stop Work Authority tidak digunakan saat trigger hazard muncul.</v>
      </c>
      <c r="I35" s="1">
        <f>IF($A35="","",IFERROR(INDEX('INPUT-SIF_Questions'!$B$2:$B$300,MATCH($A35,'INPUT-SIF_Questions'!$A$2:$A$300,0)),""))</f>
        <v>1</v>
      </c>
      <c r="J35" s="1" t="str">
        <f>IF($A35="","",IFERROR(INDEX('INPUT-SIF_Questions'!$F$2:$F$300,MATCH($A35,'INPUT-SIF_Questions'!$A$2:$A$300,0)),""))</f>
        <v>Baseline</v>
      </c>
      <c r="K35" s="1" t="str">
        <f>IF($A35="","",IFERROR(INDEX('INPUT-SIF_Questions'!$G$2:$G$300,MATCH($A35,'INPUT-SIF_Questions'!$A$2:$A$300,0)),""))</f>
        <v>Y</v>
      </c>
      <c r="L35" s="1">
        <f>IF($A35="","",IFERROR(INDEX('INPUT-SIF_Questions'!$E$2:$E$300,MATCH($A35,'INPUT-SIF_Questions'!$A$2:$A$300,0)),""))</f>
        <v>0</v>
      </c>
    </row>
    <row r="36" spans="1:12" ht="35.25" customHeight="1" x14ac:dyDescent="0.45">
      <c r="A36" s="1" t="s">
        <v>142</v>
      </c>
      <c r="B36" s="15" t="s">
        <v>143</v>
      </c>
      <c r="C36" s="1" t="str">
        <f>IFERROR(VLOOKUP(B36,'DATABASE-DRIFT_LATENT_HP_ERROR'!$A$143:$B$160,2,FALSE()),"")</f>
        <v>Ground Disturbance or Excavation</v>
      </c>
      <c r="D36" s="27" t="s">
        <v>676</v>
      </c>
      <c r="E36" s="18" t="s">
        <v>635</v>
      </c>
      <c r="F36" s="1" t="str">
        <f>IFERROR(VLOOKUP(E36,'DATABASE-DRIFT_LATENT_HP_ERROR'!$A$4:$B$13,2,FALSE()),"")</f>
        <v>Drift.7</v>
      </c>
      <c r="G36" s="18" t="s">
        <v>677</v>
      </c>
      <c r="H36" s="3" t="str">
        <f>IFERROR(VLOOKUP(G36,'DATABASE-DRIFT_LATENT_HP_ERROR'!$B$16:$D$76,3,FALSE()),"")</f>
        <v>JSA generic digunakan tanpa penyesuaian kondisi aktual.</v>
      </c>
      <c r="I36" s="1">
        <f>IF($A36="","",IFERROR(INDEX('INPUT-SIF_Questions'!$B$2:$B$300,MATCH($A36,'INPUT-SIF_Questions'!$A$2:$A$300,0)),""))</f>
        <v>1</v>
      </c>
      <c r="J36" s="1" t="str">
        <f>IF($A36="","",IFERROR(INDEX('INPUT-SIF_Questions'!$F$2:$F$300,MATCH($A36,'INPUT-SIF_Questions'!$A$2:$A$300,0)),""))</f>
        <v>Baseline</v>
      </c>
      <c r="K36" s="1" t="str">
        <f>IF($A36="","",IFERROR(INDEX('INPUT-SIF_Questions'!$G$2:$G$300,MATCH($A36,'INPUT-SIF_Questions'!$A$2:$A$300,0)),""))</f>
        <v>Y</v>
      </c>
      <c r="L36" s="1">
        <f>IF($A36="","",IFERROR(INDEX('INPUT-SIF_Questions'!$E$2:$E$300,MATCH($A36,'INPUT-SIF_Questions'!$A$2:$A$300,0)),""))</f>
        <v>0</v>
      </c>
    </row>
    <row r="37" spans="1:12" ht="35.25" customHeight="1" x14ac:dyDescent="0.45">
      <c r="A37" s="1" t="s">
        <v>142</v>
      </c>
      <c r="B37" s="15" t="s">
        <v>143</v>
      </c>
      <c r="C37" s="1" t="str">
        <f>IFERROR(VLOOKUP(B37,'DATABASE-DRIFT_LATENT_HP_ERROR'!$A$143:$B$160,2,FALSE()),"")</f>
        <v>Ground Disturbance or Excavation</v>
      </c>
      <c r="D37" s="27" t="s">
        <v>678</v>
      </c>
      <c r="E37" s="18" t="s">
        <v>635</v>
      </c>
      <c r="F37" s="1" t="str">
        <f>IFERROR(VLOOKUP(E37,'DATABASE-DRIFT_LATENT_HP_ERROR'!$A$4:$B$13,2,FALSE()),"")</f>
        <v>Drift.7</v>
      </c>
      <c r="G37" s="18" t="s">
        <v>679</v>
      </c>
      <c r="H37" s="3" t="str">
        <f>IFERROR(VLOOKUP(G37,'DATABASE-DRIFT_LATENT_HP_ERROR'!$B$16:$D$76,3,FALSE()),"")</f>
        <v>Perubahan hazard selama pekerjaan tidak dianalisa ulang.</v>
      </c>
      <c r="I37" s="1">
        <f>IF($A37="","",IFERROR(INDEX('INPUT-SIF_Questions'!$B$2:$B$300,MATCH($A37,'INPUT-SIF_Questions'!$A$2:$A$300,0)),""))</f>
        <v>1</v>
      </c>
      <c r="J37" s="1" t="str">
        <f>IF($A37="","",IFERROR(INDEX('INPUT-SIF_Questions'!$F$2:$F$300,MATCH($A37,'INPUT-SIF_Questions'!$A$2:$A$300,0)),""))</f>
        <v>Baseline</v>
      </c>
      <c r="K37" s="1" t="str">
        <f>IF($A37="","",IFERROR(INDEX('INPUT-SIF_Questions'!$G$2:$G$300,MATCH($A37,'INPUT-SIF_Questions'!$A$2:$A$300,0)),""))</f>
        <v>Y</v>
      </c>
      <c r="L37" s="1">
        <f>IF($A37="","",IFERROR(INDEX('INPUT-SIF_Questions'!$E$2:$E$300,MATCH($A37,'INPUT-SIF_Questions'!$A$2:$A$300,0)),""))</f>
        <v>0</v>
      </c>
    </row>
    <row r="38" spans="1:12" ht="21" customHeight="1" x14ac:dyDescent="0.45">
      <c r="A38" s="1" t="s">
        <v>170</v>
      </c>
      <c r="B38" s="15" t="s">
        <v>34</v>
      </c>
      <c r="C38" s="1" t="str">
        <f>IFERROR(VLOOKUP(B38,'DATABASE-DRIFT_LATENT_HP_ERROR'!$A$143:$B$160,2,FALSE()),"")</f>
        <v>Work at Height</v>
      </c>
      <c r="D38" s="27" t="s">
        <v>680</v>
      </c>
      <c r="E38" s="18" t="s">
        <v>635</v>
      </c>
      <c r="F38" s="1" t="str">
        <f>IFERROR(VLOOKUP(E38,'DATABASE-DRIFT_LATENT_HP_ERROR'!$A$4:$B$13,2,FALSE()),"")</f>
        <v>Drift.7</v>
      </c>
      <c r="G38" s="18" t="s">
        <v>636</v>
      </c>
      <c r="H38" s="3" t="str">
        <f>IFERROR(VLOOKUP(G38,'DATABASE-DRIFT_LATENT_HP_ERROR'!$B$16:$D$76,3,FALSE()),"")</f>
        <v>Tingkat risiko diremehkan dibanding exposure aktual.</v>
      </c>
      <c r="I38" s="1">
        <f>IF($A38="","",IFERROR(INDEX('INPUT-SIF_Questions'!$B$2:$B$300,MATCH($A38,'INPUT-SIF_Questions'!$A$2:$A$300,0)),""))</f>
        <v>1</v>
      </c>
      <c r="J38" s="1" t="str">
        <f>IF($A38="","",IFERROR(INDEX('INPUT-SIF_Questions'!$F$2:$F$300,MATCH($A38,'INPUT-SIF_Questions'!$A$2:$A$300,0)),""))</f>
        <v>Baseline</v>
      </c>
      <c r="K38" s="1" t="str">
        <f>IF($A38="","",IFERROR(INDEX('INPUT-SIF_Questions'!$G$2:$G$300,MATCH($A38,'INPUT-SIF_Questions'!$A$2:$A$300,0)),""))</f>
        <v>Y</v>
      </c>
      <c r="L38" s="1">
        <f>IF($A38="","",IFERROR(INDEX('INPUT-SIF_Questions'!$E$2:$E$300,MATCH($A38,'INPUT-SIF_Questions'!$A$2:$A$300,0)),""))</f>
        <v>0</v>
      </c>
    </row>
    <row r="39" spans="1:12" ht="21" customHeight="1" x14ac:dyDescent="0.45">
      <c r="A39" s="1" t="s">
        <v>170</v>
      </c>
      <c r="B39" s="15" t="s">
        <v>34</v>
      </c>
      <c r="C39" s="1" t="str">
        <f>IFERROR(VLOOKUP(B39,'DATABASE-DRIFT_LATENT_HP_ERROR'!$A$143:$B$160,2,FALSE()),"")</f>
        <v>Work at Height</v>
      </c>
      <c r="D39" s="27" t="s">
        <v>681</v>
      </c>
      <c r="E39" s="18" t="s">
        <v>640</v>
      </c>
      <c r="F39" s="1" t="str">
        <f>IFERROR(VLOOKUP(E39,'DATABASE-DRIFT_LATENT_HP_ERROR'!$A$4:$B$13,2,FALSE()),"")</f>
        <v>Drift.4</v>
      </c>
      <c r="G39" s="18" t="s">
        <v>643</v>
      </c>
      <c r="H39" s="3" t="str">
        <f>IFERROR(VLOOKUP(G39,'DATABASE-DRIFT_LATENT_HP_ERROR'!$B$16:$D$76,3,FALSE()),"")</f>
        <v>SWC tidak digunakan sebagai critical thinking tool.</v>
      </c>
      <c r="I39" s="1">
        <f>IF($A39="","",IFERROR(INDEX('INPUT-SIF_Questions'!$B$2:$B$300,MATCH($A39,'INPUT-SIF_Questions'!$A$2:$A$300,0)),""))</f>
        <v>1</v>
      </c>
      <c r="J39" s="1" t="str">
        <f>IF($A39="","",IFERROR(INDEX('INPUT-SIF_Questions'!$F$2:$F$300,MATCH($A39,'INPUT-SIF_Questions'!$A$2:$A$300,0)),""))</f>
        <v>Baseline</v>
      </c>
      <c r="K39" s="1" t="str">
        <f>IF($A39="","",IFERROR(INDEX('INPUT-SIF_Questions'!$G$2:$G$300,MATCH($A39,'INPUT-SIF_Questions'!$A$2:$A$300,0)),""))</f>
        <v>Y</v>
      </c>
      <c r="L39" s="1">
        <f>IF($A39="","",IFERROR(INDEX('INPUT-SIF_Questions'!$E$2:$E$300,MATCH($A39,'INPUT-SIF_Questions'!$A$2:$A$300,0)),""))</f>
        <v>0</v>
      </c>
    </row>
    <row r="40" spans="1:12" ht="21" customHeight="1" x14ac:dyDescent="0.45">
      <c r="A40" s="1" t="s">
        <v>170</v>
      </c>
      <c r="B40" s="15" t="s">
        <v>34</v>
      </c>
      <c r="C40" s="1" t="str">
        <f>IFERROR(VLOOKUP(B40,'DATABASE-DRIFT_LATENT_HP_ERROR'!$A$143:$B$160,2,FALSE()),"")</f>
        <v>Work at Height</v>
      </c>
      <c r="D40" s="27" t="s">
        <v>682</v>
      </c>
      <c r="E40" s="18" t="s">
        <v>630</v>
      </c>
      <c r="F40" s="1" t="str">
        <f>IFERROR(VLOOKUP(E40,'DATABASE-DRIFT_LATENT_HP_ERROR'!$A$4:$B$13,2,FALSE()),"")</f>
        <v>Drift.5</v>
      </c>
      <c r="G40" s="18" t="s">
        <v>659</v>
      </c>
      <c r="H40" s="3" t="str">
        <f>IFERROR(VLOOKUP(G40,'DATABASE-DRIFT_LATENT_HP_ERROR'!$B$16:$D$76,3,FALSE()),"")</f>
        <v>Critical safeguard mulai kehilangan efektivitasnya.</v>
      </c>
      <c r="I40" s="1">
        <f>IF($A40="","",IFERROR(INDEX('INPUT-SIF_Questions'!$B$2:$B$300,MATCH($A40,'INPUT-SIF_Questions'!$A$2:$A$300,0)),""))</f>
        <v>1</v>
      </c>
      <c r="J40" s="1" t="str">
        <f>IF($A40="","",IFERROR(INDEX('INPUT-SIF_Questions'!$F$2:$F$300,MATCH($A40,'INPUT-SIF_Questions'!$A$2:$A$300,0)),""))</f>
        <v>Baseline</v>
      </c>
      <c r="K40" s="1" t="str">
        <f>IF($A40="","",IFERROR(INDEX('INPUT-SIF_Questions'!$G$2:$G$300,MATCH($A40,'INPUT-SIF_Questions'!$A$2:$A$300,0)),""))</f>
        <v>Y</v>
      </c>
      <c r="L40" s="1">
        <f>IF($A40="","",IFERROR(INDEX('INPUT-SIF_Questions'!$E$2:$E$300,MATCH($A40,'INPUT-SIF_Questions'!$A$2:$A$300,0)),""))</f>
        <v>0</v>
      </c>
    </row>
    <row r="41" spans="1:12" ht="21" customHeight="1" x14ac:dyDescent="0.45">
      <c r="A41" s="1" t="s">
        <v>170</v>
      </c>
      <c r="B41" s="15" t="s">
        <v>34</v>
      </c>
      <c r="C41" s="1" t="str">
        <f>IFERROR(VLOOKUP(B41,'DATABASE-DRIFT_LATENT_HP_ERROR'!$A$143:$B$160,2,FALSE()),"")</f>
        <v>Work at Height</v>
      </c>
      <c r="D41" s="27" t="s">
        <v>683</v>
      </c>
      <c r="E41" s="18" t="s">
        <v>630</v>
      </c>
      <c r="F41" s="1" t="str">
        <f>IFERROR(VLOOKUP(E41,'DATABASE-DRIFT_LATENT_HP_ERROR'!$A$4:$B$13,2,FALSE()),"")</f>
        <v>Drift.5</v>
      </c>
      <c r="G41" s="18" t="s">
        <v>659</v>
      </c>
      <c r="H41" s="3" t="str">
        <f>IFERROR(VLOOKUP(G41,'DATABASE-DRIFT_LATENT_HP_ERROR'!$B$16:$D$76,3,FALSE()),"")</f>
        <v>Critical safeguard mulai kehilangan efektivitasnya.</v>
      </c>
      <c r="I41" s="1">
        <f>IF($A41="","",IFERROR(INDEX('INPUT-SIF_Questions'!$B$2:$B$300,MATCH($A41,'INPUT-SIF_Questions'!$A$2:$A$300,0)),""))</f>
        <v>1</v>
      </c>
      <c r="J41" s="1" t="str">
        <f>IF($A41="","",IFERROR(INDEX('INPUT-SIF_Questions'!$F$2:$F$300,MATCH($A41,'INPUT-SIF_Questions'!$A$2:$A$300,0)),""))</f>
        <v>Baseline</v>
      </c>
      <c r="K41" s="1" t="str">
        <f>IF($A41="","",IFERROR(INDEX('INPUT-SIF_Questions'!$G$2:$G$300,MATCH($A41,'INPUT-SIF_Questions'!$A$2:$A$300,0)),""))</f>
        <v>Y</v>
      </c>
      <c r="L41" s="1">
        <f>IF($A41="","",IFERROR(INDEX('INPUT-SIF_Questions'!$E$2:$E$300,MATCH($A41,'INPUT-SIF_Questions'!$A$2:$A$300,0)),""))</f>
        <v>0</v>
      </c>
    </row>
    <row r="42" spans="1:12" ht="21" customHeight="1" x14ac:dyDescent="0.45">
      <c r="A42" s="1" t="s">
        <v>170</v>
      </c>
      <c r="B42" s="15" t="s">
        <v>34</v>
      </c>
      <c r="C42" s="1" t="str">
        <f>IFERROR(VLOOKUP(B42,'DATABASE-DRIFT_LATENT_HP_ERROR'!$A$143:$B$160,2,FALSE()),"")</f>
        <v>Work at Height</v>
      </c>
      <c r="D42" s="27" t="s">
        <v>684</v>
      </c>
      <c r="E42" s="18" t="s">
        <v>625</v>
      </c>
      <c r="F42" s="1" t="str">
        <f>IFERROR(VLOOKUP(E42,'DATABASE-DRIFT_LATENT_HP_ERROR'!$A$4:$B$13,2,FALSE()),"")</f>
        <v>Drift.1</v>
      </c>
      <c r="G42" s="18" t="s">
        <v>628</v>
      </c>
      <c r="H42" s="3" t="str">
        <f>IFERROR(VLOOKUP(G42,'DATABASE-DRIFT_LATENT_HP_ERROR'!$B$16:$D$76,3,FALSE()),"")</f>
        <v>Procedure not detailed atau Prosedur kerja disederhanakan tanpa evaluasi risiko formal.</v>
      </c>
      <c r="I42" s="1">
        <f>IF($A42="","",IFERROR(INDEX('INPUT-SIF_Questions'!$B$2:$B$300,MATCH($A42,'INPUT-SIF_Questions'!$A$2:$A$300,0)),""))</f>
        <v>1</v>
      </c>
      <c r="J42" s="1" t="str">
        <f>IF($A42="","",IFERROR(INDEX('INPUT-SIF_Questions'!$F$2:$F$300,MATCH($A42,'INPUT-SIF_Questions'!$A$2:$A$300,0)),""))</f>
        <v>Baseline</v>
      </c>
      <c r="K42" s="1" t="str">
        <f>IF($A42="","",IFERROR(INDEX('INPUT-SIF_Questions'!$G$2:$G$300,MATCH($A42,'INPUT-SIF_Questions'!$A$2:$A$300,0)),""))</f>
        <v>Y</v>
      </c>
      <c r="L42" s="1">
        <f>IF($A42="","",IFERROR(INDEX('INPUT-SIF_Questions'!$E$2:$E$300,MATCH($A42,'INPUT-SIF_Questions'!$A$2:$A$300,0)),""))</f>
        <v>0</v>
      </c>
    </row>
    <row r="43" spans="1:12" ht="21" customHeight="1" x14ac:dyDescent="0.45">
      <c r="A43" s="1" t="s">
        <v>170</v>
      </c>
      <c r="B43" s="15" t="s">
        <v>34</v>
      </c>
      <c r="C43" s="1" t="str">
        <f>IFERROR(VLOOKUP(B43,'DATABASE-DRIFT_LATENT_HP_ERROR'!$A$143:$B$160,2,FALSE()),"")</f>
        <v>Work at Height</v>
      </c>
      <c r="D43" s="27" t="s">
        <v>685</v>
      </c>
      <c r="E43" s="18" t="s">
        <v>635</v>
      </c>
      <c r="F43" s="1" t="str">
        <f>IFERROR(VLOOKUP(E43,'DATABASE-DRIFT_LATENT_HP_ERROR'!$A$4:$B$13,2,FALSE()),"")</f>
        <v>Drift.7</v>
      </c>
      <c r="G43" s="18" t="s">
        <v>638</v>
      </c>
      <c r="H43" s="3" t="str">
        <f>IFERROR(VLOOKUP(G43,'DATABASE-DRIFT_LATENT_HP_ERROR'!$B$16:$D$76,3,FALSE()),"")</f>
        <v>Risiko engineering tidak dianalisa secara teknikal.</v>
      </c>
      <c r="I43" s="1">
        <f>IF($A43="","",IFERROR(INDEX('INPUT-SIF_Questions'!$B$2:$B$300,MATCH($A43,'INPUT-SIF_Questions'!$A$2:$A$300,0)),""))</f>
        <v>1</v>
      </c>
      <c r="J43" s="1" t="str">
        <f>IF($A43="","",IFERROR(INDEX('INPUT-SIF_Questions'!$F$2:$F$300,MATCH($A43,'INPUT-SIF_Questions'!$A$2:$A$300,0)),""))</f>
        <v>Baseline</v>
      </c>
      <c r="K43" s="1" t="str">
        <f>IF($A43="","",IFERROR(INDEX('INPUT-SIF_Questions'!$G$2:$G$300,MATCH($A43,'INPUT-SIF_Questions'!$A$2:$A$300,0)),""))</f>
        <v>Y</v>
      </c>
      <c r="L43" s="1">
        <f>IF($A43="","",IFERROR(INDEX('INPUT-SIF_Questions'!$E$2:$E$300,MATCH($A43,'INPUT-SIF_Questions'!$A$2:$A$300,0)),""))</f>
        <v>0</v>
      </c>
    </row>
    <row r="44" spans="1:12" ht="21" customHeight="1" x14ac:dyDescent="0.45">
      <c r="A44" s="1" t="s">
        <v>170</v>
      </c>
      <c r="B44" s="15" t="s">
        <v>34</v>
      </c>
      <c r="C44" s="1" t="str">
        <f>IFERROR(VLOOKUP(B44,'DATABASE-DRIFT_LATENT_HP_ERROR'!$A$143:$B$160,2,FALSE()),"")</f>
        <v>Work at Height</v>
      </c>
      <c r="D44" s="27" t="s">
        <v>686</v>
      </c>
      <c r="E44" s="18" t="s">
        <v>640</v>
      </c>
      <c r="F44" s="1" t="str">
        <f>IFERROR(VLOOKUP(E44,'DATABASE-DRIFT_LATENT_HP_ERROR'!$A$4:$B$13,2,FALSE()),"")</f>
        <v>Drift.4</v>
      </c>
      <c r="G44" s="18" t="s">
        <v>687</v>
      </c>
      <c r="H44" s="3" t="str">
        <f>IFERROR(VLOOKUP(G44,'DATABASE-DRIFT_LATENT_HP_ERROR'!$B$16:$D$76,3,FALSE()),"")</f>
        <v>Fokus lebih besar pada kelengkapan dokumen dibanding efektivitas safeguard di lapangan.</v>
      </c>
      <c r="I44" s="1">
        <f>IF($A44="","",IFERROR(INDEX('INPUT-SIF_Questions'!$B$2:$B$300,MATCH($A44,'INPUT-SIF_Questions'!$A$2:$A$300,0)),""))</f>
        <v>1</v>
      </c>
      <c r="J44" s="1" t="str">
        <f>IF($A44="","",IFERROR(INDEX('INPUT-SIF_Questions'!$F$2:$F$300,MATCH($A44,'INPUT-SIF_Questions'!$A$2:$A$300,0)),""))</f>
        <v>Baseline</v>
      </c>
      <c r="K44" s="1" t="str">
        <f>IF($A44="","",IFERROR(INDEX('INPUT-SIF_Questions'!$G$2:$G$300,MATCH($A44,'INPUT-SIF_Questions'!$A$2:$A$300,0)),""))</f>
        <v>Y</v>
      </c>
      <c r="L44" s="1">
        <f>IF($A44="","",IFERROR(INDEX('INPUT-SIF_Questions'!$E$2:$E$300,MATCH($A44,'INPUT-SIF_Questions'!$A$2:$A$300,0)),""))</f>
        <v>0</v>
      </c>
    </row>
    <row r="45" spans="1:12" ht="21" customHeight="1" x14ac:dyDescent="0.45">
      <c r="A45" s="1" t="s">
        <v>170</v>
      </c>
      <c r="B45" s="15" t="s">
        <v>34</v>
      </c>
      <c r="C45" s="1" t="str">
        <f>IFERROR(VLOOKUP(B45,'DATABASE-DRIFT_LATENT_HP_ERROR'!$A$143:$B$160,2,FALSE()),"")</f>
        <v>Work at Height</v>
      </c>
      <c r="D45" s="27" t="s">
        <v>688</v>
      </c>
      <c r="E45" s="18" t="s">
        <v>625</v>
      </c>
      <c r="F45" s="1" t="str">
        <f>IFERROR(VLOOKUP(E45,'DATABASE-DRIFT_LATENT_HP_ERROR'!$A$4:$B$13,2,FALSE()),"")</f>
        <v>Drift.1</v>
      </c>
      <c r="G45" s="18" t="s">
        <v>689</v>
      </c>
      <c r="H45" s="3" t="str">
        <f>IFERROR(VLOOKUP(G45,'DATABASE-DRIFT_LATENT_HP_ERROR'!$B$16:$D$76,3,FALSE()),"")</f>
        <v>Langkah kerja penting dilewati sebagian atau seluruhnya saat pekerjaan dilakukan.</v>
      </c>
      <c r="I45" s="1">
        <f>IF($A45="","",IFERROR(INDEX('INPUT-SIF_Questions'!$B$2:$B$300,MATCH($A45,'INPUT-SIF_Questions'!$A$2:$A$300,0)),""))</f>
        <v>1</v>
      </c>
      <c r="J45" s="1" t="str">
        <f>IF($A45="","",IFERROR(INDEX('INPUT-SIF_Questions'!$F$2:$F$300,MATCH($A45,'INPUT-SIF_Questions'!$A$2:$A$300,0)),""))</f>
        <v>Baseline</v>
      </c>
      <c r="K45" s="1" t="str">
        <f>IF($A45="","",IFERROR(INDEX('INPUT-SIF_Questions'!$G$2:$G$300,MATCH($A45,'INPUT-SIF_Questions'!$A$2:$A$300,0)),""))</f>
        <v>Y</v>
      </c>
      <c r="L45" s="1">
        <f>IF($A45="","",IFERROR(INDEX('INPUT-SIF_Questions'!$E$2:$E$300,MATCH($A45,'INPUT-SIF_Questions'!$A$2:$A$300,0)),""))</f>
        <v>0</v>
      </c>
    </row>
    <row r="46" spans="1:12" ht="21" customHeight="1" x14ac:dyDescent="0.45">
      <c r="A46" s="1" t="s">
        <v>170</v>
      </c>
      <c r="B46" s="15" t="s">
        <v>34</v>
      </c>
      <c r="C46" s="1" t="str">
        <f>IFERROR(VLOOKUP(B46,'DATABASE-DRIFT_LATENT_HP_ERROR'!$A$143:$B$160,2,FALSE()),"")</f>
        <v>Work at Height</v>
      </c>
      <c r="D46" s="27" t="s">
        <v>690</v>
      </c>
      <c r="E46" s="18" t="s">
        <v>630</v>
      </c>
      <c r="F46" s="1" t="str">
        <f>IFERROR(VLOOKUP(E46,'DATABASE-DRIFT_LATENT_HP_ERROR'!$A$4:$B$13,2,FALSE()),"")</f>
        <v>Drift.5</v>
      </c>
      <c r="G46" s="18" t="s">
        <v>631</v>
      </c>
      <c r="H46" s="3" t="str">
        <f>IFERROR(VLOOKUP(G46,'DATABASE-DRIFT_LATENT_HP_ERROR'!$B$16:$D$76,3,FALSE()),"")</f>
        <v>Proses verifikasi safeguard tidak mampu mendeteksi kelemahan barrier.</v>
      </c>
      <c r="I46" s="1">
        <f>IF($A46="","",IFERROR(INDEX('INPUT-SIF_Questions'!$B$2:$B$300,MATCH($A46,'INPUT-SIF_Questions'!$A$2:$A$300,0)),""))</f>
        <v>1</v>
      </c>
      <c r="J46" s="1" t="str">
        <f>IF($A46="","",IFERROR(INDEX('INPUT-SIF_Questions'!$F$2:$F$300,MATCH($A46,'INPUT-SIF_Questions'!$A$2:$A$300,0)),""))</f>
        <v>Baseline</v>
      </c>
      <c r="K46" s="1" t="str">
        <f>IF($A46="","",IFERROR(INDEX('INPUT-SIF_Questions'!$G$2:$G$300,MATCH($A46,'INPUT-SIF_Questions'!$A$2:$A$300,0)),""))</f>
        <v>Y</v>
      </c>
      <c r="L46" s="1">
        <f>IF($A46="","",IFERROR(INDEX('INPUT-SIF_Questions'!$E$2:$E$300,MATCH($A46,'INPUT-SIF_Questions'!$A$2:$A$300,0)),""))</f>
        <v>0</v>
      </c>
    </row>
    <row r="47" spans="1:12" ht="21" customHeight="1" x14ac:dyDescent="0.45">
      <c r="A47" s="23" t="s">
        <v>189</v>
      </c>
      <c r="B47" s="23" t="s">
        <v>34</v>
      </c>
      <c r="C47" s="23" t="str">
        <f>IFERROR(VLOOKUP(B47,'DATABASE-DRIFT_LATENT_HP_ERROR'!$A$143:$B$160,2,FALSE()),"")</f>
        <v>Work at Height</v>
      </c>
      <c r="D47" s="23" t="s">
        <v>691</v>
      </c>
      <c r="E47" s="28" t="s">
        <v>635</v>
      </c>
      <c r="F47" s="23" t="str">
        <f>IFERROR(VLOOKUP(E47,'DATABASE-DRIFT_LATENT_HP_ERROR'!$A$4:$B$13,2,FALSE()),"")</f>
        <v>Drift.7</v>
      </c>
      <c r="G47" s="28" t="s">
        <v>636</v>
      </c>
      <c r="H47" s="23" t="str">
        <f>IFERROR(VLOOKUP(G47,'DATABASE-DRIFT_LATENT_HP_ERROR'!$B$16:$D$76,3,FALSE()),"")</f>
        <v>Tingkat risiko diremehkan dibanding exposure aktual.</v>
      </c>
      <c r="I47" s="1">
        <f>IF($A47="","",IFERROR(INDEX('INPUT-SIF_Questions'!$B$2:$B$300,MATCH($A47,'INPUT-SIF_Questions'!$A$2:$A$300,0)),""))</f>
        <v>1</v>
      </c>
      <c r="J47" s="1" t="str">
        <f>IF($A47="","",IFERROR(INDEX('INPUT-SIF_Questions'!$F$2:$F$300,MATCH($A47,'INPUT-SIF_Questions'!$A$2:$A$300,0)),""))</f>
        <v>Baseline</v>
      </c>
      <c r="K47" s="1" t="str">
        <f>IF($A47="","",IFERROR(INDEX('INPUT-SIF_Questions'!$G$2:$G$300,MATCH($A47,'INPUT-SIF_Questions'!$A$2:$A$300,0)),""))</f>
        <v>Y</v>
      </c>
      <c r="L47" s="1">
        <f>IF($A47="","",IFERROR(INDEX('INPUT-SIF_Questions'!$E$2:$E$300,MATCH($A47,'INPUT-SIF_Questions'!$A$2:$A$300,0)),""))</f>
        <v>0</v>
      </c>
    </row>
    <row r="48" spans="1:12" ht="21" customHeight="1" x14ac:dyDescent="0.45">
      <c r="A48" s="23" t="s">
        <v>189</v>
      </c>
      <c r="B48" s="23" t="s">
        <v>34</v>
      </c>
      <c r="C48" s="23" t="str">
        <f>IFERROR(VLOOKUP(B48,'DATABASE-DRIFT_LATENT_HP_ERROR'!$A$143:$B$160,2,FALSE()),"")</f>
        <v>Work at Height</v>
      </c>
      <c r="D48" s="23" t="s">
        <v>692</v>
      </c>
      <c r="E48" s="28" t="s">
        <v>640</v>
      </c>
      <c r="F48" s="23" t="str">
        <f>IFERROR(VLOOKUP(E48,'DATABASE-DRIFT_LATENT_HP_ERROR'!$A$4:$B$13,2,FALSE()),"")</f>
        <v>Drift.4</v>
      </c>
      <c r="G48" s="23" t="s">
        <v>643</v>
      </c>
      <c r="H48" s="23" t="str">
        <f>IFERROR(VLOOKUP(G48,'DATABASE-DRIFT_LATENT_HP_ERROR'!$B$16:$D$76,3,FALSE()),"")</f>
        <v>SWC tidak digunakan sebagai critical thinking tool.</v>
      </c>
      <c r="I48" s="1">
        <f>IF($A48="","",IFERROR(INDEX('INPUT-SIF_Questions'!$B$2:$B$300,MATCH($A48,'INPUT-SIF_Questions'!$A$2:$A$300,0)),""))</f>
        <v>1</v>
      </c>
      <c r="J48" s="1" t="str">
        <f>IF($A48="","",IFERROR(INDEX('INPUT-SIF_Questions'!$F$2:$F$300,MATCH($A48,'INPUT-SIF_Questions'!$A$2:$A$300,0)),""))</f>
        <v>Baseline</v>
      </c>
      <c r="K48" s="1" t="str">
        <f>IF($A48="","",IFERROR(INDEX('INPUT-SIF_Questions'!$G$2:$G$300,MATCH($A48,'INPUT-SIF_Questions'!$A$2:$A$300,0)),""))</f>
        <v>Y</v>
      </c>
      <c r="L48" s="1">
        <f>IF($A48="","",IFERROR(INDEX('INPUT-SIF_Questions'!$E$2:$E$300,MATCH($A48,'INPUT-SIF_Questions'!$A$2:$A$300,0)),""))</f>
        <v>0</v>
      </c>
    </row>
    <row r="49" spans="1:12" ht="14.25" customHeight="1" x14ac:dyDescent="0.45">
      <c r="A49" s="23" t="s">
        <v>189</v>
      </c>
      <c r="B49" s="23" t="s">
        <v>34</v>
      </c>
      <c r="C49" s="23" t="str">
        <f>IFERROR(VLOOKUP(B49,'DATABASE-DRIFT_LATENT_HP_ERROR'!$A$143:$B$160,2,FALSE()),"")</f>
        <v>Work at Height</v>
      </c>
      <c r="D49" s="23" t="s">
        <v>693</v>
      </c>
      <c r="E49" s="28" t="s">
        <v>630</v>
      </c>
      <c r="F49" s="23" t="str">
        <f>IFERROR(VLOOKUP(E49,'DATABASE-DRIFT_LATENT_HP_ERROR'!$A$4:$B$13,2,FALSE()),"")</f>
        <v>Drift.5</v>
      </c>
      <c r="G49" s="23" t="s">
        <v>659</v>
      </c>
      <c r="H49" s="23" t="str">
        <f>IFERROR(VLOOKUP(G49,'DATABASE-DRIFT_LATENT_HP_ERROR'!$B$16:$D$76,3,FALSE()),"")</f>
        <v>Critical safeguard mulai kehilangan efektivitasnya.</v>
      </c>
      <c r="I49" s="1">
        <f>IF($A49="","",IFERROR(INDEX('INPUT-SIF_Questions'!$B$2:$B$300,MATCH($A49,'INPUT-SIF_Questions'!$A$2:$A$300,0)),""))</f>
        <v>1</v>
      </c>
      <c r="J49" s="1" t="str">
        <f>IF($A49="","",IFERROR(INDEX('INPUT-SIF_Questions'!$F$2:$F$300,MATCH($A49,'INPUT-SIF_Questions'!$A$2:$A$300,0)),""))</f>
        <v>Baseline</v>
      </c>
      <c r="K49" s="1" t="str">
        <f>IF($A49="","",IFERROR(INDEX('INPUT-SIF_Questions'!$G$2:$G$300,MATCH($A49,'INPUT-SIF_Questions'!$A$2:$A$300,0)),""))</f>
        <v>Y</v>
      </c>
      <c r="L49" s="1">
        <f>IF($A49="","",IFERROR(INDEX('INPUT-SIF_Questions'!$E$2:$E$300,MATCH($A49,'INPUT-SIF_Questions'!$A$2:$A$300,0)),""))</f>
        <v>0</v>
      </c>
    </row>
    <row r="50" spans="1:12" ht="21" customHeight="1" x14ac:dyDescent="0.45">
      <c r="A50" s="23" t="s">
        <v>189</v>
      </c>
      <c r="B50" s="23" t="s">
        <v>34</v>
      </c>
      <c r="C50" s="23" t="str">
        <f>IFERROR(VLOOKUP(B50,'DATABASE-DRIFT_LATENT_HP_ERROR'!$A$143:$B$160,2,FALSE()),"")</f>
        <v>Work at Height</v>
      </c>
      <c r="D50" s="23" t="s">
        <v>694</v>
      </c>
      <c r="E50" s="28" t="s">
        <v>630</v>
      </c>
      <c r="F50" s="23" t="str">
        <f>IFERROR(VLOOKUP(E50,'DATABASE-DRIFT_LATENT_HP_ERROR'!$A$4:$B$13,2,FALSE()),"")</f>
        <v>Drift.5</v>
      </c>
      <c r="G50" s="23" t="s">
        <v>659</v>
      </c>
      <c r="H50" s="23" t="str">
        <f>IFERROR(VLOOKUP(G50,'DATABASE-DRIFT_LATENT_HP_ERROR'!$B$16:$D$76,3,FALSE()),"")</f>
        <v>Critical safeguard mulai kehilangan efektivitasnya.</v>
      </c>
      <c r="I50" s="1">
        <f>IF($A50="","",IFERROR(INDEX('INPUT-SIF_Questions'!$B$2:$B$300,MATCH($A50,'INPUT-SIF_Questions'!$A$2:$A$300,0)),""))</f>
        <v>1</v>
      </c>
      <c r="J50" s="1" t="str">
        <f>IF($A50="","",IFERROR(INDEX('INPUT-SIF_Questions'!$F$2:$F$300,MATCH($A50,'INPUT-SIF_Questions'!$A$2:$A$300,0)),""))</f>
        <v>Baseline</v>
      </c>
      <c r="K50" s="1" t="str">
        <f>IF($A50="","",IFERROR(INDEX('INPUT-SIF_Questions'!$G$2:$G$300,MATCH($A50,'INPUT-SIF_Questions'!$A$2:$A$300,0)),""))</f>
        <v>Y</v>
      </c>
      <c r="L50" s="1">
        <f>IF($A50="","",IFERROR(INDEX('INPUT-SIF_Questions'!$E$2:$E$300,MATCH($A50,'INPUT-SIF_Questions'!$A$2:$A$300,0)),""))</f>
        <v>0</v>
      </c>
    </row>
    <row r="51" spans="1:12" ht="21" customHeight="1" x14ac:dyDescent="0.45">
      <c r="A51" s="23" t="s">
        <v>189</v>
      </c>
      <c r="B51" s="23" t="s">
        <v>34</v>
      </c>
      <c r="C51" s="23" t="str">
        <f>IFERROR(VLOOKUP(B51,'DATABASE-DRIFT_LATENT_HP_ERROR'!$A$143:$B$160,2,FALSE()),"")</f>
        <v>Work at Height</v>
      </c>
      <c r="D51" s="23" t="s">
        <v>695</v>
      </c>
      <c r="E51" s="28" t="s">
        <v>625</v>
      </c>
      <c r="F51" s="23" t="str">
        <f>IFERROR(VLOOKUP(E51,'DATABASE-DRIFT_LATENT_HP_ERROR'!$A$4:$B$13,2,FALSE()),"")</f>
        <v>Drift.1</v>
      </c>
      <c r="G51" s="23" t="s">
        <v>626</v>
      </c>
      <c r="H51" s="23" t="str">
        <f>IFERROR(VLOOKUP(G51,'DATABASE-DRIFT_LATENT_HP_ERROR'!$B$16:$D$76,3,FALSE()),"")</f>
        <v>Interpretasi prosedur berbeda antar personel atau departemen.</v>
      </c>
      <c r="I51" s="1">
        <f>IF($A51="","",IFERROR(INDEX('INPUT-SIF_Questions'!$B$2:$B$300,MATCH($A51,'INPUT-SIF_Questions'!$A$2:$A$300,0)),""))</f>
        <v>1</v>
      </c>
      <c r="J51" s="1" t="str">
        <f>IF($A51="","",IFERROR(INDEX('INPUT-SIF_Questions'!$F$2:$F$300,MATCH($A51,'INPUT-SIF_Questions'!$A$2:$A$300,0)),""))</f>
        <v>Baseline</v>
      </c>
      <c r="K51" s="1" t="str">
        <f>IF($A51="","",IFERROR(INDEX('INPUT-SIF_Questions'!$G$2:$G$300,MATCH($A51,'INPUT-SIF_Questions'!$A$2:$A$300,0)),""))</f>
        <v>Y</v>
      </c>
      <c r="L51" s="1">
        <f>IF($A51="","",IFERROR(INDEX('INPUT-SIF_Questions'!$E$2:$E$300,MATCH($A51,'INPUT-SIF_Questions'!$A$2:$A$300,0)),""))</f>
        <v>0</v>
      </c>
    </row>
    <row r="52" spans="1:12" ht="14.25" customHeight="1" x14ac:dyDescent="0.45">
      <c r="A52" s="23" t="s">
        <v>189</v>
      </c>
      <c r="B52" s="23" t="s">
        <v>34</v>
      </c>
      <c r="C52" s="23" t="str">
        <f>IFERROR(VLOOKUP(B52,'DATABASE-DRIFT_LATENT_HP_ERROR'!$A$143:$B$160,2,FALSE()),"")</f>
        <v>Work at Height</v>
      </c>
      <c r="D52" s="23" t="s">
        <v>696</v>
      </c>
      <c r="E52" s="28" t="s">
        <v>635</v>
      </c>
      <c r="F52" s="23" t="str">
        <f>IFERROR(VLOOKUP(E52,'DATABASE-DRIFT_LATENT_HP_ERROR'!$A$4:$B$13,2,FALSE()),"")</f>
        <v>Drift.7</v>
      </c>
      <c r="G52" s="23" t="s">
        <v>638</v>
      </c>
      <c r="H52" s="23" t="str">
        <f>IFERROR(VLOOKUP(G52,'DATABASE-DRIFT_LATENT_HP_ERROR'!$B$16:$D$76,3,FALSE()),"")</f>
        <v>Risiko engineering tidak dianalisa secara teknikal.</v>
      </c>
      <c r="I52" s="1">
        <f>IF($A52="","",IFERROR(INDEX('INPUT-SIF_Questions'!$B$2:$B$300,MATCH($A52,'INPUT-SIF_Questions'!$A$2:$A$300,0)),""))</f>
        <v>1</v>
      </c>
      <c r="J52" s="1" t="str">
        <f>IF($A52="","",IFERROR(INDEX('INPUT-SIF_Questions'!$F$2:$F$300,MATCH($A52,'INPUT-SIF_Questions'!$A$2:$A$300,0)),""))</f>
        <v>Baseline</v>
      </c>
      <c r="K52" s="1" t="str">
        <f>IF($A52="","",IFERROR(INDEX('INPUT-SIF_Questions'!$G$2:$G$300,MATCH($A52,'INPUT-SIF_Questions'!$A$2:$A$300,0)),""))</f>
        <v>Y</v>
      </c>
      <c r="L52" s="1">
        <f>IF($A52="","",IFERROR(INDEX('INPUT-SIF_Questions'!$E$2:$E$300,MATCH($A52,'INPUT-SIF_Questions'!$A$2:$A$300,0)),""))</f>
        <v>0</v>
      </c>
    </row>
    <row r="53" spans="1:12" ht="14.25" customHeight="1" x14ac:dyDescent="0.45">
      <c r="A53" s="23" t="s">
        <v>189</v>
      </c>
      <c r="B53" s="23" t="s">
        <v>34</v>
      </c>
      <c r="C53" s="23" t="str">
        <f>IFERROR(VLOOKUP(B53,'DATABASE-DRIFT_LATENT_HP_ERROR'!$A$143:$B$160,2,FALSE()),"")</f>
        <v>Work at Height</v>
      </c>
      <c r="D53" s="23" t="s">
        <v>697</v>
      </c>
      <c r="E53" s="28" t="s">
        <v>640</v>
      </c>
      <c r="F53" s="23" t="str">
        <f>IFERROR(VLOOKUP(E53,'DATABASE-DRIFT_LATENT_HP_ERROR'!$A$4:$B$13,2,FALSE()),"")</f>
        <v>Drift.4</v>
      </c>
      <c r="G53" s="23" t="s">
        <v>687</v>
      </c>
      <c r="H53" s="23" t="str">
        <f>IFERROR(VLOOKUP(G53,'DATABASE-DRIFT_LATENT_HP_ERROR'!$B$16:$D$76,3,FALSE()),"")</f>
        <v>Fokus lebih besar pada kelengkapan dokumen dibanding efektivitas safeguard di lapangan.</v>
      </c>
      <c r="I53" s="1">
        <f>IF($A53="","",IFERROR(INDEX('INPUT-SIF_Questions'!$B$2:$B$300,MATCH($A53,'INPUT-SIF_Questions'!$A$2:$A$300,0)),""))</f>
        <v>1</v>
      </c>
      <c r="J53" s="1" t="str">
        <f>IF($A53="","",IFERROR(INDEX('INPUT-SIF_Questions'!$F$2:$F$300,MATCH($A53,'INPUT-SIF_Questions'!$A$2:$A$300,0)),""))</f>
        <v>Baseline</v>
      </c>
      <c r="K53" s="1" t="str">
        <f>IF($A53="","",IFERROR(INDEX('INPUT-SIF_Questions'!$G$2:$G$300,MATCH($A53,'INPUT-SIF_Questions'!$A$2:$A$300,0)),""))</f>
        <v>Y</v>
      </c>
      <c r="L53" s="1">
        <f>IF($A53="","",IFERROR(INDEX('INPUT-SIF_Questions'!$E$2:$E$300,MATCH($A53,'INPUT-SIF_Questions'!$A$2:$A$300,0)),""))</f>
        <v>0</v>
      </c>
    </row>
    <row r="54" spans="1:12" ht="14.25" customHeight="1" x14ac:dyDescent="0.45">
      <c r="A54" s="23" t="s">
        <v>189</v>
      </c>
      <c r="B54" s="23" t="s">
        <v>34</v>
      </c>
      <c r="C54" s="23" t="str">
        <f>IFERROR(VLOOKUP(B54,'DATABASE-DRIFT_LATENT_HP_ERROR'!$A$143:$B$160,2,FALSE()),"")</f>
        <v>Work at Height</v>
      </c>
      <c r="D54" s="23" t="s">
        <v>698</v>
      </c>
      <c r="E54" s="28" t="s">
        <v>651</v>
      </c>
      <c r="F54" s="23" t="str">
        <f>IFERROR(VLOOKUP(E54,'DATABASE-DRIFT_LATENT_HP_ERROR'!$A$4:$B$13,2,FALSE()),"")</f>
        <v>Drift.2</v>
      </c>
      <c r="G54" s="23" t="s">
        <v>661</v>
      </c>
      <c r="H54" s="23" t="str">
        <f>IFERROR(VLOOKUP(G54,'DATABASE-DRIFT_LATENT_HP_ERROR'!$B$16:$D$76,3,FALSE()),"")</f>
        <v>Kondisi tidak aman mulai dianggap normal karena sering terjadi tanpa insiden.</v>
      </c>
      <c r="I54" s="1">
        <f>IF($A54="","",IFERROR(INDEX('INPUT-SIF_Questions'!$B$2:$B$300,MATCH($A54,'INPUT-SIF_Questions'!$A$2:$A$300,0)),""))</f>
        <v>1</v>
      </c>
      <c r="J54" s="1" t="str">
        <f>IF($A54="","",IFERROR(INDEX('INPUT-SIF_Questions'!$F$2:$F$300,MATCH($A54,'INPUT-SIF_Questions'!$A$2:$A$300,0)),""))</f>
        <v>Baseline</v>
      </c>
      <c r="K54" s="1" t="str">
        <f>IF($A54="","",IFERROR(INDEX('INPUT-SIF_Questions'!$G$2:$G$300,MATCH($A54,'INPUT-SIF_Questions'!$A$2:$A$300,0)),""))</f>
        <v>Y</v>
      </c>
      <c r="L54" s="1">
        <f>IF($A54="","",IFERROR(INDEX('INPUT-SIF_Questions'!$E$2:$E$300,MATCH($A54,'INPUT-SIF_Questions'!$A$2:$A$300,0)),""))</f>
        <v>0</v>
      </c>
    </row>
    <row r="55" spans="1:12" ht="14.25" customHeight="1" x14ac:dyDescent="0.45">
      <c r="A55" s="23" t="s">
        <v>189</v>
      </c>
      <c r="B55" s="23" t="s">
        <v>34</v>
      </c>
      <c r="C55" s="23" t="str">
        <f>IFERROR(VLOOKUP(B55,'DATABASE-DRIFT_LATENT_HP_ERROR'!$A$143:$B$160,2,FALSE()),"")</f>
        <v>Work at Height</v>
      </c>
      <c r="D55" s="23" t="s">
        <v>699</v>
      </c>
      <c r="E55" s="28" t="s">
        <v>630</v>
      </c>
      <c r="F55" s="23" t="str">
        <f>IFERROR(VLOOKUP(E55,'DATABASE-DRIFT_LATENT_HP_ERROR'!$A$4:$B$13,2,FALSE()),"")</f>
        <v>Drift.5</v>
      </c>
      <c r="G55" s="23" t="s">
        <v>631</v>
      </c>
      <c r="H55" s="23" t="str">
        <f>IFERROR(VLOOKUP(G55,'DATABASE-DRIFT_LATENT_HP_ERROR'!$B$16:$D$76,3,FALSE()),"")</f>
        <v>Proses verifikasi safeguard tidak mampu mendeteksi kelemahan barrier.</v>
      </c>
      <c r="I55" s="1">
        <f>IF($A55="","",IFERROR(INDEX('INPUT-SIF_Questions'!$B$2:$B$300,MATCH($A55,'INPUT-SIF_Questions'!$A$2:$A$300,0)),""))</f>
        <v>1</v>
      </c>
      <c r="J55" s="1" t="str">
        <f>IF($A55="","",IFERROR(INDEX('INPUT-SIF_Questions'!$F$2:$F$300,MATCH($A55,'INPUT-SIF_Questions'!$A$2:$A$300,0)),""))</f>
        <v>Baseline</v>
      </c>
      <c r="K55" s="1" t="str">
        <f>IF($A55="","",IFERROR(INDEX('INPUT-SIF_Questions'!$G$2:$G$300,MATCH($A55,'INPUT-SIF_Questions'!$A$2:$A$300,0)),""))</f>
        <v>Y</v>
      </c>
      <c r="L55" s="1">
        <f>IF($A55="","",IFERROR(INDEX('INPUT-SIF_Questions'!$E$2:$E$300,MATCH($A55,'INPUT-SIF_Questions'!$A$2:$A$300,0)),""))</f>
        <v>0</v>
      </c>
    </row>
    <row r="56" spans="1:12" ht="14.25" customHeight="1" x14ac:dyDescent="0.45">
      <c r="A56" s="23" t="s">
        <v>206</v>
      </c>
      <c r="B56" s="23" t="s">
        <v>207</v>
      </c>
      <c r="C56" s="23" t="str">
        <f>IFERROR(VLOOKUP(B56,'DATABASE-DRIFT_LATENT_HP_ERROR'!$A$143:$B$160,2,FALSE()),"")</f>
        <v>Confined Space Entry</v>
      </c>
      <c r="D56" s="23" t="s">
        <v>700</v>
      </c>
      <c r="E56" s="28" t="s">
        <v>635</v>
      </c>
      <c r="F56" s="23" t="str">
        <f>IFERROR(VLOOKUP(E56,'DATABASE-DRIFT_LATENT_HP_ERROR'!$A$4:$B$13,2,FALSE()),"")</f>
        <v>Drift.7</v>
      </c>
      <c r="G56" s="23" t="s">
        <v>636</v>
      </c>
      <c r="H56" s="23" t="str">
        <f>IFERROR(VLOOKUP(G56,'DATABASE-DRIFT_LATENT_HP_ERROR'!$B$16:$D$76,3,FALSE()),"")</f>
        <v>Tingkat risiko diremehkan dibanding exposure aktual.</v>
      </c>
      <c r="I56" s="1">
        <f>IF($A56="","",IFERROR(INDEX('INPUT-SIF_Questions'!$B$2:$B$300,MATCH($A56,'INPUT-SIF_Questions'!$A$2:$A$300,0)),""))</f>
        <v>1</v>
      </c>
      <c r="J56" s="1" t="str">
        <f>IF($A56="","",IFERROR(INDEX('INPUT-SIF_Questions'!$F$2:$F$300,MATCH($A56,'INPUT-SIF_Questions'!$A$2:$A$300,0)),""))</f>
        <v>Baseline</v>
      </c>
      <c r="K56" s="1" t="str">
        <f>IF($A56="","",IFERROR(INDEX('INPUT-SIF_Questions'!$G$2:$G$300,MATCH($A56,'INPUT-SIF_Questions'!$A$2:$A$300,0)),""))</f>
        <v>Y</v>
      </c>
      <c r="L56" s="1">
        <f>IF($A56="","",IFERROR(INDEX('INPUT-SIF_Questions'!$E$2:$E$300,MATCH($A56,'INPUT-SIF_Questions'!$A$2:$A$300,0)),""))</f>
        <v>0</v>
      </c>
    </row>
    <row r="57" spans="1:12" ht="21" customHeight="1" x14ac:dyDescent="0.45">
      <c r="A57" s="23" t="s">
        <v>206</v>
      </c>
      <c r="B57" s="23" t="s">
        <v>207</v>
      </c>
      <c r="C57" s="23" t="str">
        <f>IFERROR(VLOOKUP(B57,'DATABASE-DRIFT_LATENT_HP_ERROR'!$A$143:$B$160,2,FALSE()),"")</f>
        <v>Confined Space Entry</v>
      </c>
      <c r="D57" s="23" t="s">
        <v>701</v>
      </c>
      <c r="E57" s="23" t="s">
        <v>640</v>
      </c>
      <c r="F57" s="23" t="str">
        <f>IFERROR(VLOOKUP(E57,'DATABASE-DRIFT_LATENT_HP_ERROR'!$A$4:$B$13,2,FALSE()),"")</f>
        <v>Drift.4</v>
      </c>
      <c r="G57" s="23" t="s">
        <v>643</v>
      </c>
      <c r="H57" s="23" t="str">
        <f>IFERROR(VLOOKUP(G57,'DATABASE-DRIFT_LATENT_HP_ERROR'!$B$16:$D$76,3,FALSE()),"")</f>
        <v>SWC tidak digunakan sebagai critical thinking tool.</v>
      </c>
      <c r="I57" s="1">
        <f>IF($A57="","",IFERROR(INDEX('INPUT-SIF_Questions'!$B$2:$B$300,MATCH($A57,'INPUT-SIF_Questions'!$A$2:$A$300,0)),""))</f>
        <v>1</v>
      </c>
      <c r="J57" s="1" t="str">
        <f>IF($A57="","",IFERROR(INDEX('INPUT-SIF_Questions'!$F$2:$F$300,MATCH($A57,'INPUT-SIF_Questions'!$A$2:$A$300,0)),""))</f>
        <v>Baseline</v>
      </c>
      <c r="K57" s="1" t="str">
        <f>IF($A57="","",IFERROR(INDEX('INPUT-SIF_Questions'!$G$2:$G$300,MATCH($A57,'INPUT-SIF_Questions'!$A$2:$A$300,0)),""))</f>
        <v>Y</v>
      </c>
      <c r="L57" s="1">
        <f>IF($A57="","",IFERROR(INDEX('INPUT-SIF_Questions'!$E$2:$E$300,MATCH($A57,'INPUT-SIF_Questions'!$A$2:$A$300,0)),""))</f>
        <v>0</v>
      </c>
    </row>
    <row r="58" spans="1:12" ht="14.25" customHeight="1" x14ac:dyDescent="0.45">
      <c r="A58" s="23" t="s">
        <v>206</v>
      </c>
      <c r="B58" s="23" t="s">
        <v>207</v>
      </c>
      <c r="C58" s="23" t="str">
        <f>IFERROR(VLOOKUP(B58,'DATABASE-DRIFT_LATENT_HP_ERROR'!$A$143:$B$160,2,FALSE()),"")</f>
        <v>Confined Space Entry</v>
      </c>
      <c r="D58" s="23" t="s">
        <v>702</v>
      </c>
      <c r="E58" s="23" t="s">
        <v>630</v>
      </c>
      <c r="F58" s="23" t="str">
        <f>IFERROR(VLOOKUP(E58,'DATABASE-DRIFT_LATENT_HP_ERROR'!$A$4:$B$13,2,FALSE()),"")</f>
        <v>Drift.5</v>
      </c>
      <c r="G58" s="23" t="s">
        <v>659</v>
      </c>
      <c r="H58" s="23" t="str">
        <f>IFERROR(VLOOKUP(G58,'DATABASE-DRIFT_LATENT_HP_ERROR'!$B$16:$D$76,3,FALSE()),"")</f>
        <v>Critical safeguard mulai kehilangan efektivitasnya.</v>
      </c>
      <c r="I58" s="1">
        <f>IF($A58="","",IFERROR(INDEX('INPUT-SIF_Questions'!$B$2:$B$300,MATCH($A58,'INPUT-SIF_Questions'!$A$2:$A$300,0)),""))</f>
        <v>1</v>
      </c>
      <c r="J58" s="1" t="str">
        <f>IF($A58="","",IFERROR(INDEX('INPUT-SIF_Questions'!$F$2:$F$300,MATCH($A58,'INPUT-SIF_Questions'!$A$2:$A$300,0)),""))</f>
        <v>Baseline</v>
      </c>
      <c r="K58" s="1" t="str">
        <f>IF($A58="","",IFERROR(INDEX('INPUT-SIF_Questions'!$G$2:$G$300,MATCH($A58,'INPUT-SIF_Questions'!$A$2:$A$300,0)),""))</f>
        <v>Y</v>
      </c>
      <c r="L58" s="1">
        <f>IF($A58="","",IFERROR(INDEX('INPUT-SIF_Questions'!$E$2:$E$300,MATCH($A58,'INPUT-SIF_Questions'!$A$2:$A$300,0)),""))</f>
        <v>0</v>
      </c>
    </row>
    <row r="59" spans="1:12" ht="14.25" customHeight="1" x14ac:dyDescent="0.45">
      <c r="A59" s="23" t="s">
        <v>206</v>
      </c>
      <c r="B59" s="23" t="s">
        <v>207</v>
      </c>
      <c r="C59" s="23" t="str">
        <f>IFERROR(VLOOKUP(B59,'DATABASE-DRIFT_LATENT_HP_ERROR'!$A$143:$B$160,2,FALSE()),"")</f>
        <v>Confined Space Entry</v>
      </c>
      <c r="D59" s="23" t="s">
        <v>703</v>
      </c>
      <c r="E59" s="23" t="s">
        <v>630</v>
      </c>
      <c r="F59" s="23" t="str">
        <f>IFERROR(VLOOKUP(E59,'DATABASE-DRIFT_LATENT_HP_ERROR'!$A$4:$B$13,2,FALSE()),"")</f>
        <v>Drift.5</v>
      </c>
      <c r="G59" s="23" t="s">
        <v>659</v>
      </c>
      <c r="H59" s="23" t="str">
        <f>IFERROR(VLOOKUP(G59,'DATABASE-DRIFT_LATENT_HP_ERROR'!$B$16:$D$76,3,FALSE()),"")</f>
        <v>Critical safeguard mulai kehilangan efektivitasnya.</v>
      </c>
      <c r="I59" s="1">
        <f>IF($A59="","",IFERROR(INDEX('INPUT-SIF_Questions'!$B$2:$B$300,MATCH($A59,'INPUT-SIF_Questions'!$A$2:$A$300,0)),""))</f>
        <v>1</v>
      </c>
      <c r="J59" s="1" t="str">
        <f>IF($A59="","",IFERROR(INDEX('INPUT-SIF_Questions'!$F$2:$F$300,MATCH($A59,'INPUT-SIF_Questions'!$A$2:$A$300,0)),""))</f>
        <v>Baseline</v>
      </c>
      <c r="K59" s="1" t="str">
        <f>IF($A59="","",IFERROR(INDEX('INPUT-SIF_Questions'!$G$2:$G$300,MATCH($A59,'INPUT-SIF_Questions'!$A$2:$A$300,0)),""))</f>
        <v>Y</v>
      </c>
      <c r="L59" s="1">
        <f>IF($A59="","",IFERROR(INDEX('INPUT-SIF_Questions'!$E$2:$E$300,MATCH($A59,'INPUT-SIF_Questions'!$A$2:$A$300,0)),""))</f>
        <v>0</v>
      </c>
    </row>
    <row r="60" spans="1:12" ht="14.25" customHeight="1" x14ac:dyDescent="0.45">
      <c r="A60" s="23" t="s">
        <v>206</v>
      </c>
      <c r="B60" s="23" t="s">
        <v>207</v>
      </c>
      <c r="C60" s="23" t="str">
        <f>IFERROR(VLOOKUP(B60,'DATABASE-DRIFT_LATENT_HP_ERROR'!$A$143:$B$160,2,FALSE()),"")</f>
        <v>Confined Space Entry</v>
      </c>
      <c r="D60" s="23" t="s">
        <v>704</v>
      </c>
      <c r="E60" s="23" t="s">
        <v>625</v>
      </c>
      <c r="F60" s="23" t="str">
        <f>IFERROR(VLOOKUP(E60,'DATABASE-DRIFT_LATENT_HP_ERROR'!$A$4:$B$13,2,FALSE()),"")</f>
        <v>Drift.1</v>
      </c>
      <c r="G60" s="23" t="s">
        <v>626</v>
      </c>
      <c r="H60" s="23" t="str">
        <f>IFERROR(VLOOKUP(G60,'DATABASE-DRIFT_LATENT_HP_ERROR'!$B$16:$D$76,3,FALSE()),"")</f>
        <v>Interpretasi prosedur berbeda antar personel atau departemen.</v>
      </c>
      <c r="I60" s="1">
        <f>IF($A60="","",IFERROR(INDEX('INPUT-SIF_Questions'!$B$2:$B$300,MATCH($A60,'INPUT-SIF_Questions'!$A$2:$A$300,0)),""))</f>
        <v>1</v>
      </c>
      <c r="J60" s="1" t="str">
        <f>IF($A60="","",IFERROR(INDEX('INPUT-SIF_Questions'!$F$2:$F$300,MATCH($A60,'INPUT-SIF_Questions'!$A$2:$A$300,0)),""))</f>
        <v>Baseline</v>
      </c>
      <c r="K60" s="1" t="str">
        <f>IF($A60="","",IFERROR(INDEX('INPUT-SIF_Questions'!$G$2:$G$300,MATCH($A60,'INPUT-SIF_Questions'!$A$2:$A$300,0)),""))</f>
        <v>Y</v>
      </c>
      <c r="L60" s="1">
        <f>IF($A60="","",IFERROR(INDEX('INPUT-SIF_Questions'!$E$2:$E$300,MATCH($A60,'INPUT-SIF_Questions'!$A$2:$A$300,0)),""))</f>
        <v>0</v>
      </c>
    </row>
    <row r="61" spans="1:12" ht="14.25" customHeight="1" x14ac:dyDescent="0.45">
      <c r="A61" s="23" t="s">
        <v>206</v>
      </c>
      <c r="B61" s="23" t="s">
        <v>207</v>
      </c>
      <c r="C61" s="23" t="str">
        <f>IFERROR(VLOOKUP(B61,'DATABASE-DRIFT_LATENT_HP_ERROR'!$A$143:$B$160,2,FALSE()),"")</f>
        <v>Confined Space Entry</v>
      </c>
      <c r="D61" s="23" t="s">
        <v>705</v>
      </c>
      <c r="E61" s="23" t="s">
        <v>635</v>
      </c>
      <c r="F61" s="23" t="str">
        <f>IFERROR(VLOOKUP(E61,'DATABASE-DRIFT_LATENT_HP_ERROR'!$A$4:$B$13,2,FALSE()),"")</f>
        <v>Drift.7</v>
      </c>
      <c r="G61" s="23" t="s">
        <v>636</v>
      </c>
      <c r="H61" s="23" t="str">
        <f>IFERROR(VLOOKUP(G61,'DATABASE-DRIFT_LATENT_HP_ERROR'!$B$16:$D$76,3,FALSE()),"")</f>
        <v>Tingkat risiko diremehkan dibanding exposure aktual.</v>
      </c>
      <c r="I61" s="1">
        <f>IF($A61="","",IFERROR(INDEX('INPUT-SIF_Questions'!$B$2:$B$300,MATCH($A61,'INPUT-SIF_Questions'!$A$2:$A$300,0)),""))</f>
        <v>1</v>
      </c>
      <c r="J61" s="1" t="str">
        <f>IF($A61="","",IFERROR(INDEX('INPUT-SIF_Questions'!$F$2:$F$300,MATCH($A61,'INPUT-SIF_Questions'!$A$2:$A$300,0)),""))</f>
        <v>Baseline</v>
      </c>
      <c r="K61" s="1" t="str">
        <f>IF($A61="","",IFERROR(INDEX('INPUT-SIF_Questions'!$G$2:$G$300,MATCH($A61,'INPUT-SIF_Questions'!$A$2:$A$300,0)),""))</f>
        <v>Y</v>
      </c>
      <c r="L61" s="1">
        <f>IF($A61="","",IFERROR(INDEX('INPUT-SIF_Questions'!$E$2:$E$300,MATCH($A61,'INPUT-SIF_Questions'!$A$2:$A$300,0)),""))</f>
        <v>0</v>
      </c>
    </row>
    <row r="62" spans="1:12" ht="14.25" customHeight="1" x14ac:dyDescent="0.45">
      <c r="A62" s="23" t="s">
        <v>206</v>
      </c>
      <c r="B62" s="23" t="s">
        <v>207</v>
      </c>
      <c r="C62" s="23" t="str">
        <f>IFERROR(VLOOKUP(B62,'DATABASE-DRIFT_LATENT_HP_ERROR'!$A$143:$B$160,2,FALSE()),"")</f>
        <v>Confined Space Entry</v>
      </c>
      <c r="D62" s="23" t="s">
        <v>706</v>
      </c>
      <c r="E62" s="23" t="s">
        <v>640</v>
      </c>
      <c r="F62" s="23" t="str">
        <f>IFERROR(VLOOKUP(E62,'DATABASE-DRIFT_LATENT_HP_ERROR'!$A$4:$B$13,2,FALSE()),"")</f>
        <v>Drift.4</v>
      </c>
      <c r="G62" s="23" t="s">
        <v>687</v>
      </c>
      <c r="H62" s="23" t="str">
        <f>IFERROR(VLOOKUP(G62,'DATABASE-DRIFT_LATENT_HP_ERROR'!$B$16:$D$76,3,FALSE()),"")</f>
        <v>Fokus lebih besar pada kelengkapan dokumen dibanding efektivitas safeguard di lapangan.</v>
      </c>
      <c r="I62" s="1">
        <f>IF($A62="","",IFERROR(INDEX('INPUT-SIF_Questions'!$B$2:$B$300,MATCH($A62,'INPUT-SIF_Questions'!$A$2:$A$300,0)),""))</f>
        <v>1</v>
      </c>
      <c r="J62" s="1" t="str">
        <f>IF($A62="","",IFERROR(INDEX('INPUT-SIF_Questions'!$F$2:$F$300,MATCH($A62,'INPUT-SIF_Questions'!$A$2:$A$300,0)),""))</f>
        <v>Baseline</v>
      </c>
      <c r="K62" s="1" t="str">
        <f>IF($A62="","",IFERROR(INDEX('INPUT-SIF_Questions'!$G$2:$G$300,MATCH($A62,'INPUT-SIF_Questions'!$A$2:$A$300,0)),""))</f>
        <v>Y</v>
      </c>
      <c r="L62" s="1">
        <f>IF($A62="","",IFERROR(INDEX('INPUT-SIF_Questions'!$E$2:$E$300,MATCH($A62,'INPUT-SIF_Questions'!$A$2:$A$300,0)),""))</f>
        <v>0</v>
      </c>
    </row>
    <row r="63" spans="1:12" ht="14.25" customHeight="1" x14ac:dyDescent="0.45">
      <c r="A63" s="23" t="s">
        <v>206</v>
      </c>
      <c r="B63" s="23" t="s">
        <v>207</v>
      </c>
      <c r="C63" s="23" t="str">
        <f>IFERROR(VLOOKUP(B63,'DATABASE-DRIFT_LATENT_HP_ERROR'!$A$143:$B$160,2,FALSE()),"")</f>
        <v>Confined Space Entry</v>
      </c>
      <c r="D63" s="23" t="s">
        <v>707</v>
      </c>
      <c r="E63" s="23" t="s">
        <v>630</v>
      </c>
      <c r="F63" s="23" t="str">
        <f>IFERROR(VLOOKUP(E63,'DATABASE-DRIFT_LATENT_HP_ERROR'!$A$4:$B$13,2,FALSE()),"")</f>
        <v>Drift.5</v>
      </c>
      <c r="G63" s="23" t="s">
        <v>631</v>
      </c>
      <c r="H63" s="23" t="str">
        <f>IFERROR(VLOOKUP(G63,'DATABASE-DRIFT_LATENT_HP_ERROR'!$B$16:$D$76,3,FALSE()),"")</f>
        <v>Proses verifikasi safeguard tidak mampu mendeteksi kelemahan barrier.</v>
      </c>
      <c r="I63" s="1">
        <f>IF($A63="","",IFERROR(INDEX('INPUT-SIF_Questions'!$B$2:$B$300,MATCH($A63,'INPUT-SIF_Questions'!$A$2:$A$300,0)),""))</f>
        <v>1</v>
      </c>
      <c r="J63" s="1" t="str">
        <f>IF($A63="","",IFERROR(INDEX('INPUT-SIF_Questions'!$F$2:$F$300,MATCH($A63,'INPUT-SIF_Questions'!$A$2:$A$300,0)),""))</f>
        <v>Baseline</v>
      </c>
      <c r="K63" s="1" t="str">
        <f>IF($A63="","",IFERROR(INDEX('INPUT-SIF_Questions'!$G$2:$G$300,MATCH($A63,'INPUT-SIF_Questions'!$A$2:$A$300,0)),""))</f>
        <v>Y</v>
      </c>
      <c r="L63" s="1">
        <f>IF($A63="","",IFERROR(INDEX('INPUT-SIF_Questions'!$E$2:$E$300,MATCH($A63,'INPUT-SIF_Questions'!$A$2:$A$300,0)),""))</f>
        <v>0</v>
      </c>
    </row>
    <row r="64" spans="1:12" ht="14.25" customHeight="1" x14ac:dyDescent="0.45">
      <c r="A64" s="23" t="s">
        <v>245</v>
      </c>
      <c r="B64" s="23" t="s">
        <v>207</v>
      </c>
      <c r="C64" s="23" t="str">
        <f>IFERROR(VLOOKUP(B64,'DATABASE-DRIFT_LATENT_HP_ERROR'!$A$143:$B$160,2,FALSE()),"")</f>
        <v>Confined Space Entry</v>
      </c>
      <c r="D64" s="23" t="s">
        <v>708</v>
      </c>
      <c r="E64" s="23" t="s">
        <v>635</v>
      </c>
      <c r="F64" s="23" t="str">
        <f>IFERROR(VLOOKUP(E64,'DATABASE-DRIFT_LATENT_HP_ERROR'!$A$4:$B$13,2,FALSE()),"")</f>
        <v>Drift.7</v>
      </c>
      <c r="G64" s="23" t="s">
        <v>636</v>
      </c>
      <c r="H64" s="23" t="str">
        <f>IFERROR(VLOOKUP(G64,'DATABASE-DRIFT_LATENT_HP_ERROR'!$B$16:$D$76,3,FALSE()),"")</f>
        <v>Tingkat risiko diremehkan dibanding exposure aktual.</v>
      </c>
      <c r="I64" s="1">
        <f>IF($A64="","",IFERROR(INDEX('INPUT-SIF_Questions'!$B$2:$B$300,MATCH($A64,'INPUT-SIF_Questions'!$A$2:$A$300,0)),""))</f>
        <v>1</v>
      </c>
      <c r="J64" s="1" t="str">
        <f>IF($A64="","",IFERROR(INDEX('INPUT-SIF_Questions'!$F$2:$F$300,MATCH($A64,'INPUT-SIF_Questions'!$A$2:$A$300,0)),""))</f>
        <v>Baseline</v>
      </c>
      <c r="K64" s="1" t="str">
        <f>IF($A64="","",IFERROR(INDEX('INPUT-SIF_Questions'!$G$2:$G$300,MATCH($A64,'INPUT-SIF_Questions'!$A$2:$A$300,0)),""))</f>
        <v>Y</v>
      </c>
      <c r="L64" s="1">
        <f>IF($A64="","",IFERROR(INDEX('INPUT-SIF_Questions'!$E$2:$E$300,MATCH($A64,'INPUT-SIF_Questions'!$A$2:$A$300,0)),""))</f>
        <v>0</v>
      </c>
    </row>
    <row r="65" spans="1:12" ht="14.25" customHeight="1" x14ac:dyDescent="0.45">
      <c r="A65" s="23" t="s">
        <v>245</v>
      </c>
      <c r="B65" s="23" t="s">
        <v>207</v>
      </c>
      <c r="C65" s="23" t="str">
        <f>IFERROR(VLOOKUP(B65,'DATABASE-DRIFT_LATENT_HP_ERROR'!$A$143:$B$160,2,FALSE()),"")</f>
        <v>Confined Space Entry</v>
      </c>
      <c r="D65" s="23" t="s">
        <v>709</v>
      </c>
      <c r="E65" s="23" t="s">
        <v>640</v>
      </c>
      <c r="F65" s="23" t="str">
        <f>IFERROR(VLOOKUP(E65,'DATABASE-DRIFT_LATENT_HP_ERROR'!$A$4:$B$13,2,FALSE()),"")</f>
        <v>Drift.4</v>
      </c>
      <c r="G65" s="23" t="s">
        <v>643</v>
      </c>
      <c r="H65" s="23" t="str">
        <f>IFERROR(VLOOKUP(G65,'DATABASE-DRIFT_LATENT_HP_ERROR'!$B$16:$D$76,3,FALSE()),"")</f>
        <v>SWC tidak digunakan sebagai critical thinking tool.</v>
      </c>
      <c r="I65" s="1">
        <f>IF($A65="","",IFERROR(INDEX('INPUT-SIF_Questions'!$B$2:$B$300,MATCH($A65,'INPUT-SIF_Questions'!$A$2:$A$300,0)),""))</f>
        <v>1</v>
      </c>
      <c r="J65" s="1" t="str">
        <f>IF($A65="","",IFERROR(INDEX('INPUT-SIF_Questions'!$F$2:$F$300,MATCH($A65,'INPUT-SIF_Questions'!$A$2:$A$300,0)),""))</f>
        <v>Baseline</v>
      </c>
      <c r="K65" s="1" t="str">
        <f>IF($A65="","",IFERROR(INDEX('INPUT-SIF_Questions'!$G$2:$G$300,MATCH($A65,'INPUT-SIF_Questions'!$A$2:$A$300,0)),""))</f>
        <v>Y</v>
      </c>
      <c r="L65" s="1">
        <f>IF($A65="","",IFERROR(INDEX('INPUT-SIF_Questions'!$E$2:$E$300,MATCH($A65,'INPUT-SIF_Questions'!$A$2:$A$300,0)),""))</f>
        <v>0</v>
      </c>
    </row>
    <row r="66" spans="1:12" ht="14.25" customHeight="1" x14ac:dyDescent="0.45">
      <c r="A66" s="23" t="s">
        <v>245</v>
      </c>
      <c r="B66" s="23" t="s">
        <v>207</v>
      </c>
      <c r="C66" s="23" t="str">
        <f>IFERROR(VLOOKUP(B66,'DATABASE-DRIFT_LATENT_HP_ERROR'!$A$143:$B$160,2,FALSE()),"")</f>
        <v>Confined Space Entry</v>
      </c>
      <c r="D66" s="23" t="s">
        <v>710</v>
      </c>
      <c r="E66" s="23" t="s">
        <v>630</v>
      </c>
      <c r="F66" s="23" t="str">
        <f>IFERROR(VLOOKUP(E66,'DATABASE-DRIFT_LATENT_HP_ERROR'!$A$4:$B$13,2,FALSE()),"")</f>
        <v>Drift.5</v>
      </c>
      <c r="G66" s="23" t="s">
        <v>659</v>
      </c>
      <c r="H66" s="23" t="str">
        <f>IFERROR(VLOOKUP(G66,'DATABASE-DRIFT_LATENT_HP_ERROR'!$B$16:$D$76,3,FALSE()),"")</f>
        <v>Critical safeguard mulai kehilangan efektivitasnya.</v>
      </c>
      <c r="I66" s="1">
        <f>IF($A66="","",IFERROR(INDEX('INPUT-SIF_Questions'!$B$2:$B$300,MATCH($A66,'INPUT-SIF_Questions'!$A$2:$A$300,0)),""))</f>
        <v>1</v>
      </c>
      <c r="J66" s="1" t="str">
        <f>IF($A66="","",IFERROR(INDEX('INPUT-SIF_Questions'!$F$2:$F$300,MATCH($A66,'INPUT-SIF_Questions'!$A$2:$A$300,0)),""))</f>
        <v>Baseline</v>
      </c>
      <c r="K66" s="1" t="str">
        <f>IF($A66="","",IFERROR(INDEX('INPUT-SIF_Questions'!$G$2:$G$300,MATCH($A66,'INPUT-SIF_Questions'!$A$2:$A$300,0)),""))</f>
        <v>Y</v>
      </c>
      <c r="L66" s="1">
        <f>IF($A66="","",IFERROR(INDEX('INPUT-SIF_Questions'!$E$2:$E$300,MATCH($A66,'INPUT-SIF_Questions'!$A$2:$A$300,0)),""))</f>
        <v>0</v>
      </c>
    </row>
    <row r="67" spans="1:12" ht="14.25" customHeight="1" x14ac:dyDescent="0.45">
      <c r="A67" s="23" t="s">
        <v>245</v>
      </c>
      <c r="B67" s="23" t="s">
        <v>207</v>
      </c>
      <c r="C67" s="23" t="str">
        <f>IFERROR(VLOOKUP(B67,'DATABASE-DRIFT_LATENT_HP_ERROR'!$A$143:$B$160,2,FALSE()),"")</f>
        <v>Confined Space Entry</v>
      </c>
      <c r="D67" s="23" t="s">
        <v>711</v>
      </c>
      <c r="E67" s="23" t="s">
        <v>630</v>
      </c>
      <c r="F67" s="23" t="str">
        <f>IFERROR(VLOOKUP(E67,'DATABASE-DRIFT_LATENT_HP_ERROR'!$A$4:$B$13,2,FALSE()),"")</f>
        <v>Drift.5</v>
      </c>
      <c r="G67" s="23" t="s">
        <v>659</v>
      </c>
      <c r="H67" s="23" t="str">
        <f>IFERROR(VLOOKUP(G67,'DATABASE-DRIFT_LATENT_HP_ERROR'!$B$16:$D$76,3,FALSE()),"")</f>
        <v>Critical safeguard mulai kehilangan efektivitasnya.</v>
      </c>
      <c r="I67" s="1">
        <f>IF($A67="","",IFERROR(INDEX('INPUT-SIF_Questions'!$B$2:$B$300,MATCH($A67,'INPUT-SIF_Questions'!$A$2:$A$300,0)),""))</f>
        <v>1</v>
      </c>
      <c r="J67" s="1" t="str">
        <f>IF($A67="","",IFERROR(INDEX('INPUT-SIF_Questions'!$F$2:$F$300,MATCH($A67,'INPUT-SIF_Questions'!$A$2:$A$300,0)),""))</f>
        <v>Baseline</v>
      </c>
      <c r="K67" s="1" t="str">
        <f>IF($A67="","",IFERROR(INDEX('INPUT-SIF_Questions'!$G$2:$G$300,MATCH($A67,'INPUT-SIF_Questions'!$A$2:$A$300,0)),""))</f>
        <v>Y</v>
      </c>
      <c r="L67" s="1">
        <f>IF($A67="","",IFERROR(INDEX('INPUT-SIF_Questions'!$E$2:$E$300,MATCH($A67,'INPUT-SIF_Questions'!$A$2:$A$300,0)),""))</f>
        <v>0</v>
      </c>
    </row>
    <row r="68" spans="1:12" ht="14.25" customHeight="1" x14ac:dyDescent="0.45">
      <c r="A68" s="23" t="s">
        <v>245</v>
      </c>
      <c r="B68" s="23" t="s">
        <v>207</v>
      </c>
      <c r="C68" s="23" t="str">
        <f>IFERROR(VLOOKUP(B68,'DATABASE-DRIFT_LATENT_HP_ERROR'!$A$143:$B$160,2,FALSE()),"")</f>
        <v>Confined Space Entry</v>
      </c>
      <c r="D68" s="23" t="s">
        <v>712</v>
      </c>
      <c r="E68" s="23" t="s">
        <v>625</v>
      </c>
      <c r="F68" s="23" t="str">
        <f>IFERROR(VLOOKUP(E68,'DATABASE-DRIFT_LATENT_HP_ERROR'!$A$4:$B$13,2,FALSE()),"")</f>
        <v>Drift.1</v>
      </c>
      <c r="G68" s="23" t="s">
        <v>626</v>
      </c>
      <c r="H68" s="23" t="str">
        <f>IFERROR(VLOOKUP(G68,'DATABASE-DRIFT_LATENT_HP_ERROR'!$B$16:$D$76,3,FALSE()),"")</f>
        <v>Interpretasi prosedur berbeda antar personel atau departemen.</v>
      </c>
      <c r="I68" s="1">
        <f>IF($A68="","",IFERROR(INDEX('INPUT-SIF_Questions'!$B$2:$B$300,MATCH($A68,'INPUT-SIF_Questions'!$A$2:$A$300,0)),""))</f>
        <v>1</v>
      </c>
      <c r="J68" s="1" t="str">
        <f>IF($A68="","",IFERROR(INDEX('INPUT-SIF_Questions'!$F$2:$F$300,MATCH($A68,'INPUT-SIF_Questions'!$A$2:$A$300,0)),""))</f>
        <v>Baseline</v>
      </c>
      <c r="K68" s="1" t="str">
        <f>IF($A68="","",IFERROR(INDEX('INPUT-SIF_Questions'!$G$2:$G$300,MATCH($A68,'INPUT-SIF_Questions'!$A$2:$A$300,0)),""))</f>
        <v>Y</v>
      </c>
      <c r="L68" s="1">
        <f>IF($A68="","",IFERROR(INDEX('INPUT-SIF_Questions'!$E$2:$E$300,MATCH($A68,'INPUT-SIF_Questions'!$A$2:$A$300,0)),""))</f>
        <v>0</v>
      </c>
    </row>
    <row r="69" spans="1:12" ht="14.25" customHeight="1" x14ac:dyDescent="0.45">
      <c r="A69" s="23" t="s">
        <v>245</v>
      </c>
      <c r="B69" s="23" t="s">
        <v>207</v>
      </c>
      <c r="C69" s="23" t="str">
        <f>IFERROR(VLOOKUP(B69,'DATABASE-DRIFT_LATENT_HP_ERROR'!$A$143:$B$160,2,FALSE()),"")</f>
        <v>Confined Space Entry</v>
      </c>
      <c r="D69" s="23" t="s">
        <v>713</v>
      </c>
      <c r="E69" s="23" t="s">
        <v>625</v>
      </c>
      <c r="F69" s="23" t="str">
        <f>IFERROR(VLOOKUP(E69,'DATABASE-DRIFT_LATENT_HP_ERROR'!$A$4:$B$13,2,FALSE()),"")</f>
        <v>Drift.1</v>
      </c>
      <c r="G69" s="23" t="s">
        <v>626</v>
      </c>
      <c r="H69" s="23" t="str">
        <f>IFERROR(VLOOKUP(G69,'DATABASE-DRIFT_LATENT_HP_ERROR'!$B$16:$D$76,3,FALSE()),"")</f>
        <v>Interpretasi prosedur berbeda antar personel atau departemen.</v>
      </c>
      <c r="I69" s="1">
        <f>IF($A69="","",IFERROR(INDEX('INPUT-SIF_Questions'!$B$2:$B$300,MATCH($A69,'INPUT-SIF_Questions'!$A$2:$A$300,0)),""))</f>
        <v>1</v>
      </c>
      <c r="J69" s="1" t="str">
        <f>IF($A69="","",IFERROR(INDEX('INPUT-SIF_Questions'!$F$2:$F$300,MATCH($A69,'INPUT-SIF_Questions'!$A$2:$A$300,0)),""))</f>
        <v>Baseline</v>
      </c>
      <c r="K69" s="1" t="str">
        <f>IF($A69="","",IFERROR(INDEX('INPUT-SIF_Questions'!$G$2:$G$300,MATCH($A69,'INPUT-SIF_Questions'!$A$2:$A$300,0)),""))</f>
        <v>Y</v>
      </c>
      <c r="L69" s="1">
        <f>IF($A69="","",IFERROR(INDEX('INPUT-SIF_Questions'!$E$2:$E$300,MATCH($A69,'INPUT-SIF_Questions'!$A$2:$A$300,0)),""))</f>
        <v>0</v>
      </c>
    </row>
    <row r="70" spans="1:12" ht="14.25" customHeight="1" x14ac:dyDescent="0.45">
      <c r="A70" s="23" t="s">
        <v>245</v>
      </c>
      <c r="B70" s="23" t="s">
        <v>207</v>
      </c>
      <c r="C70" s="23" t="str">
        <f>IFERROR(VLOOKUP(B70,'DATABASE-DRIFT_LATENT_HP_ERROR'!$A$143:$B$160,2,FALSE()),"")</f>
        <v>Confined Space Entry</v>
      </c>
      <c r="D70" s="23" t="s">
        <v>714</v>
      </c>
      <c r="E70" s="23" t="s">
        <v>625</v>
      </c>
      <c r="F70" s="23" t="str">
        <f>IFERROR(VLOOKUP(E70,'DATABASE-DRIFT_LATENT_HP_ERROR'!$A$4:$B$13,2,FALSE()),"")</f>
        <v>Drift.1</v>
      </c>
      <c r="G70" s="23" t="s">
        <v>626</v>
      </c>
      <c r="H70" s="23" t="str">
        <f>IFERROR(VLOOKUP(G70,'DATABASE-DRIFT_LATENT_HP_ERROR'!$B$16:$D$76,3,FALSE()),"")</f>
        <v>Interpretasi prosedur berbeda antar personel atau departemen.</v>
      </c>
      <c r="I70" s="1">
        <f>IF($A70="","",IFERROR(INDEX('INPUT-SIF_Questions'!$B$2:$B$300,MATCH($A70,'INPUT-SIF_Questions'!$A$2:$A$300,0)),""))</f>
        <v>1</v>
      </c>
      <c r="J70" s="1" t="str">
        <f>IF($A70="","",IFERROR(INDEX('INPUT-SIF_Questions'!$F$2:$F$300,MATCH($A70,'INPUT-SIF_Questions'!$A$2:$A$300,0)),""))</f>
        <v>Baseline</v>
      </c>
      <c r="K70" s="1" t="str">
        <f>IF($A70="","",IFERROR(INDEX('INPUT-SIF_Questions'!$G$2:$G$300,MATCH($A70,'INPUT-SIF_Questions'!$A$2:$A$300,0)),""))</f>
        <v>Y</v>
      </c>
      <c r="L70" s="1">
        <f>IF($A70="","",IFERROR(INDEX('INPUT-SIF_Questions'!$E$2:$E$300,MATCH($A70,'INPUT-SIF_Questions'!$A$2:$A$300,0)),""))</f>
        <v>0</v>
      </c>
    </row>
    <row r="71" spans="1:12" ht="21" customHeight="1" x14ac:dyDescent="0.45">
      <c r="A71" s="23" t="s">
        <v>245</v>
      </c>
      <c r="B71" s="23" t="s">
        <v>207</v>
      </c>
      <c r="C71" s="23" t="str">
        <f>IFERROR(VLOOKUP(B71,'DATABASE-DRIFT_LATENT_HP_ERROR'!$A$143:$B$160,2,FALSE()),"")</f>
        <v>Confined Space Entry</v>
      </c>
      <c r="D71" s="23" t="s">
        <v>715</v>
      </c>
      <c r="E71" s="23" t="s">
        <v>640</v>
      </c>
      <c r="F71" s="23" t="str">
        <f>IFERROR(VLOOKUP(E71,'DATABASE-DRIFT_LATENT_HP_ERROR'!$A$4:$B$13,2,FALSE()),"")</f>
        <v>Drift.4</v>
      </c>
      <c r="G71" s="23" t="s">
        <v>687</v>
      </c>
      <c r="H71" s="23" t="str">
        <f>IFERROR(VLOOKUP(G71,'DATABASE-DRIFT_LATENT_HP_ERROR'!$B$16:$D$76,3,FALSE()),"")</f>
        <v>Fokus lebih besar pada kelengkapan dokumen dibanding efektivitas safeguard di lapangan.</v>
      </c>
      <c r="I71" s="1">
        <f>IF($A71="","",IFERROR(INDEX('INPUT-SIF_Questions'!$B$2:$B$300,MATCH($A71,'INPUT-SIF_Questions'!$A$2:$A$300,0)),""))</f>
        <v>1</v>
      </c>
      <c r="J71" s="1" t="str">
        <f>IF($A71="","",IFERROR(INDEX('INPUT-SIF_Questions'!$F$2:$F$300,MATCH($A71,'INPUT-SIF_Questions'!$A$2:$A$300,0)),""))</f>
        <v>Baseline</v>
      </c>
      <c r="K71" s="1" t="str">
        <f>IF($A71="","",IFERROR(INDEX('INPUT-SIF_Questions'!$G$2:$G$300,MATCH($A71,'INPUT-SIF_Questions'!$A$2:$A$300,0)),""))</f>
        <v>Y</v>
      </c>
      <c r="L71" s="1">
        <f>IF($A71="","",IFERROR(INDEX('INPUT-SIF_Questions'!$E$2:$E$300,MATCH($A71,'INPUT-SIF_Questions'!$A$2:$A$300,0)),""))</f>
        <v>0</v>
      </c>
    </row>
    <row r="72" spans="1:12" ht="14.25" customHeight="1" x14ac:dyDescent="0.45">
      <c r="A72" s="23" t="s">
        <v>245</v>
      </c>
      <c r="B72" s="23" t="s">
        <v>207</v>
      </c>
      <c r="C72" s="23" t="str">
        <f>IFERROR(VLOOKUP(B72,'DATABASE-DRIFT_LATENT_HP_ERROR'!$A$143:$B$160,2,FALSE()),"")</f>
        <v>Confined Space Entry</v>
      </c>
      <c r="D72" s="23" t="s">
        <v>716</v>
      </c>
      <c r="E72" s="23" t="s">
        <v>630</v>
      </c>
      <c r="F72" s="23" t="str">
        <f>IFERROR(VLOOKUP(E72,'DATABASE-DRIFT_LATENT_HP_ERROR'!$A$4:$B$13,2,FALSE()),"")</f>
        <v>Drift.5</v>
      </c>
      <c r="G72" s="23" t="s">
        <v>631</v>
      </c>
      <c r="H72" s="23" t="str">
        <f>IFERROR(VLOOKUP(G72,'DATABASE-DRIFT_LATENT_HP_ERROR'!$B$16:$D$76,3,FALSE()),"")</f>
        <v>Proses verifikasi safeguard tidak mampu mendeteksi kelemahan barrier.</v>
      </c>
      <c r="I72" s="1">
        <f>IF($A72="","",IFERROR(INDEX('INPUT-SIF_Questions'!$B$2:$B$300,MATCH($A72,'INPUT-SIF_Questions'!$A$2:$A$300,0)),""))</f>
        <v>1</v>
      </c>
      <c r="J72" s="1" t="str">
        <f>IF($A72="","",IFERROR(INDEX('INPUT-SIF_Questions'!$F$2:$F$300,MATCH($A72,'INPUT-SIF_Questions'!$A$2:$A$300,0)),""))</f>
        <v>Baseline</v>
      </c>
      <c r="K72" s="1" t="str">
        <f>IF($A72="","",IFERROR(INDEX('INPUT-SIF_Questions'!$G$2:$G$300,MATCH($A72,'INPUT-SIF_Questions'!$A$2:$A$300,0)),""))</f>
        <v>Y</v>
      </c>
      <c r="L72" s="1">
        <f>IF($A72="","",IFERROR(INDEX('INPUT-SIF_Questions'!$E$2:$E$300,MATCH($A72,'INPUT-SIF_Questions'!$A$2:$A$300,0)),""))</f>
        <v>0</v>
      </c>
    </row>
    <row r="73" spans="1:12" ht="14.25" customHeight="1" x14ac:dyDescent="0.45">
      <c r="A73" s="23" t="s">
        <v>264</v>
      </c>
      <c r="B73" s="23" t="s">
        <v>207</v>
      </c>
      <c r="C73" s="23" t="str">
        <f>IFERROR(VLOOKUP(B73,'DATABASE-DRIFT_LATENT_HP_ERROR'!$A$143:$B$160,2,FALSE()),"")</f>
        <v>Confined Space Entry</v>
      </c>
      <c r="D73" s="23" t="s">
        <v>708</v>
      </c>
      <c r="E73" s="23" t="s">
        <v>635</v>
      </c>
      <c r="F73" s="23" t="str">
        <f>IFERROR(VLOOKUP(E73,'DATABASE-DRIFT_LATENT_HP_ERROR'!$A$4:$B$13,2,FALSE()),"")</f>
        <v>Drift.7</v>
      </c>
      <c r="G73" s="23" t="s">
        <v>636</v>
      </c>
      <c r="H73" s="23" t="str">
        <f>IFERROR(VLOOKUP(G73,'DATABASE-DRIFT_LATENT_HP_ERROR'!$B$16:$D$76,3,FALSE()),"")</f>
        <v>Tingkat risiko diremehkan dibanding exposure aktual.</v>
      </c>
      <c r="I73" s="1">
        <f>IF($A73="","",IFERROR(INDEX('INPUT-SIF_Questions'!$B$2:$B$300,MATCH($A73,'INPUT-SIF_Questions'!$A$2:$A$300,0)),""))</f>
        <v>1</v>
      </c>
      <c r="J73" s="1" t="str">
        <f>IF($A73="","",IFERROR(INDEX('INPUT-SIF_Questions'!$F$2:$F$300,MATCH($A73,'INPUT-SIF_Questions'!$A$2:$A$300,0)),""))</f>
        <v>Baseline</v>
      </c>
      <c r="K73" s="1" t="str">
        <f>IF($A73="","",IFERROR(INDEX('INPUT-SIF_Questions'!$G$2:$G$300,MATCH($A73,'INPUT-SIF_Questions'!$A$2:$A$300,0)),""))</f>
        <v>Y</v>
      </c>
      <c r="L73" s="1">
        <f>IF($A73="","",IFERROR(INDEX('INPUT-SIF_Questions'!$E$2:$E$300,MATCH($A73,'INPUT-SIF_Questions'!$A$2:$A$300,0)),""))</f>
        <v>0</v>
      </c>
    </row>
    <row r="74" spans="1:12" ht="14.25" customHeight="1" x14ac:dyDescent="0.45">
      <c r="A74" s="23" t="s">
        <v>264</v>
      </c>
      <c r="B74" s="23" t="s">
        <v>207</v>
      </c>
      <c r="C74" s="23" t="str">
        <f>IFERROR(VLOOKUP(B74,'DATABASE-DRIFT_LATENT_HP_ERROR'!$A$143:$B$160,2,FALSE()),"")</f>
        <v>Confined Space Entry</v>
      </c>
      <c r="D74" s="23" t="s">
        <v>709</v>
      </c>
      <c r="E74" s="23" t="s">
        <v>640</v>
      </c>
      <c r="F74" s="23" t="str">
        <f>IFERROR(VLOOKUP(E74,'DATABASE-DRIFT_LATENT_HP_ERROR'!$A$4:$B$13,2,FALSE()),"")</f>
        <v>Drift.4</v>
      </c>
      <c r="G74" s="23" t="s">
        <v>643</v>
      </c>
      <c r="H74" s="23" t="str">
        <f>IFERROR(VLOOKUP(G74,'DATABASE-DRIFT_LATENT_HP_ERROR'!$B$16:$D$76,3,FALSE()),"")</f>
        <v>SWC tidak digunakan sebagai critical thinking tool.</v>
      </c>
      <c r="I74" s="1">
        <f>IF($A74="","",IFERROR(INDEX('INPUT-SIF_Questions'!$B$2:$B$300,MATCH($A74,'INPUT-SIF_Questions'!$A$2:$A$300,0)),""))</f>
        <v>1</v>
      </c>
      <c r="J74" s="1" t="str">
        <f>IF($A74="","",IFERROR(INDEX('INPUT-SIF_Questions'!$F$2:$F$300,MATCH($A74,'INPUT-SIF_Questions'!$A$2:$A$300,0)),""))</f>
        <v>Baseline</v>
      </c>
      <c r="K74" s="1" t="str">
        <f>IF($A74="","",IFERROR(INDEX('INPUT-SIF_Questions'!$G$2:$G$300,MATCH($A74,'INPUT-SIF_Questions'!$A$2:$A$300,0)),""))</f>
        <v>Y</v>
      </c>
      <c r="L74" s="1">
        <f>IF($A74="","",IFERROR(INDEX('INPUT-SIF_Questions'!$E$2:$E$300,MATCH($A74,'INPUT-SIF_Questions'!$A$2:$A$300,0)),""))</f>
        <v>0</v>
      </c>
    </row>
    <row r="75" spans="1:12" ht="14.25" customHeight="1" x14ac:dyDescent="0.45">
      <c r="A75" s="23" t="s">
        <v>264</v>
      </c>
      <c r="B75" s="23" t="s">
        <v>207</v>
      </c>
      <c r="C75" s="23" t="str">
        <f>IFERROR(VLOOKUP(B75,'DATABASE-DRIFT_LATENT_HP_ERROR'!$A$143:$B$160,2,FALSE()),"")</f>
        <v>Confined Space Entry</v>
      </c>
      <c r="D75" s="23" t="s">
        <v>710</v>
      </c>
      <c r="E75" s="23" t="s">
        <v>630</v>
      </c>
      <c r="F75" s="23" t="str">
        <f>IFERROR(VLOOKUP(E75,'DATABASE-DRIFT_LATENT_HP_ERROR'!$A$4:$B$13,2,FALSE()),"")</f>
        <v>Drift.5</v>
      </c>
      <c r="G75" s="23" t="s">
        <v>659</v>
      </c>
      <c r="H75" s="23" t="str">
        <f>IFERROR(VLOOKUP(G75,'DATABASE-DRIFT_LATENT_HP_ERROR'!$B$16:$D$76,3,FALSE()),"")</f>
        <v>Critical safeguard mulai kehilangan efektivitasnya.</v>
      </c>
      <c r="I75" s="1">
        <f>IF($A75="","",IFERROR(INDEX('INPUT-SIF_Questions'!$B$2:$B$300,MATCH($A75,'INPUT-SIF_Questions'!$A$2:$A$300,0)),""))</f>
        <v>1</v>
      </c>
      <c r="J75" s="1" t="str">
        <f>IF($A75="","",IFERROR(INDEX('INPUT-SIF_Questions'!$F$2:$F$300,MATCH($A75,'INPUT-SIF_Questions'!$A$2:$A$300,0)),""))</f>
        <v>Baseline</v>
      </c>
      <c r="K75" s="1" t="str">
        <f>IF($A75="","",IFERROR(INDEX('INPUT-SIF_Questions'!$G$2:$G$300,MATCH($A75,'INPUT-SIF_Questions'!$A$2:$A$300,0)),""))</f>
        <v>Y</v>
      </c>
      <c r="L75" s="1">
        <f>IF($A75="","",IFERROR(INDEX('INPUT-SIF_Questions'!$E$2:$E$300,MATCH($A75,'INPUT-SIF_Questions'!$A$2:$A$300,0)),""))</f>
        <v>0</v>
      </c>
    </row>
    <row r="76" spans="1:12" ht="14.25" customHeight="1" x14ac:dyDescent="0.45">
      <c r="A76" s="23" t="s">
        <v>264</v>
      </c>
      <c r="B76" s="23" t="s">
        <v>207</v>
      </c>
      <c r="C76" s="23" t="str">
        <f>IFERROR(VLOOKUP(B76,'DATABASE-DRIFT_LATENT_HP_ERROR'!$A$143:$B$160,2,FALSE()),"")</f>
        <v>Confined Space Entry</v>
      </c>
      <c r="D76" s="23" t="s">
        <v>711</v>
      </c>
      <c r="E76" s="23" t="s">
        <v>630</v>
      </c>
      <c r="F76" s="23" t="str">
        <f>IFERROR(VLOOKUP(E76,'DATABASE-DRIFT_LATENT_HP_ERROR'!$A$4:$B$13,2,FALSE()),"")</f>
        <v>Drift.5</v>
      </c>
      <c r="G76" s="23" t="s">
        <v>659</v>
      </c>
      <c r="H76" s="23" t="str">
        <f>IFERROR(VLOOKUP(G76,'DATABASE-DRIFT_LATENT_HP_ERROR'!$B$16:$D$76,3,FALSE()),"")</f>
        <v>Critical safeguard mulai kehilangan efektivitasnya.</v>
      </c>
      <c r="I76" s="1">
        <f>IF($A76="","",IFERROR(INDEX('INPUT-SIF_Questions'!$B$2:$B$300,MATCH($A76,'INPUT-SIF_Questions'!$A$2:$A$300,0)),""))</f>
        <v>1</v>
      </c>
      <c r="J76" s="1" t="str">
        <f>IF($A76="","",IFERROR(INDEX('INPUT-SIF_Questions'!$F$2:$F$300,MATCH($A76,'INPUT-SIF_Questions'!$A$2:$A$300,0)),""))</f>
        <v>Baseline</v>
      </c>
      <c r="K76" s="1" t="str">
        <f>IF($A76="","",IFERROR(INDEX('INPUT-SIF_Questions'!$G$2:$G$300,MATCH($A76,'INPUT-SIF_Questions'!$A$2:$A$300,0)),""))</f>
        <v>Y</v>
      </c>
      <c r="L76" s="1">
        <f>IF($A76="","",IFERROR(INDEX('INPUT-SIF_Questions'!$E$2:$E$300,MATCH($A76,'INPUT-SIF_Questions'!$A$2:$A$300,0)),""))</f>
        <v>0</v>
      </c>
    </row>
    <row r="77" spans="1:12" ht="14.25" customHeight="1" x14ac:dyDescent="0.45">
      <c r="A77" s="23" t="s">
        <v>264</v>
      </c>
      <c r="B77" s="23" t="s">
        <v>207</v>
      </c>
      <c r="C77" s="23" t="str">
        <f>IFERROR(VLOOKUP(B77,'DATABASE-DRIFT_LATENT_HP_ERROR'!$A$143:$B$160,2,FALSE()),"")</f>
        <v>Confined Space Entry</v>
      </c>
      <c r="D77" s="23" t="s">
        <v>712</v>
      </c>
      <c r="E77" s="23" t="s">
        <v>625</v>
      </c>
      <c r="F77" s="23" t="str">
        <f>IFERROR(VLOOKUP(E77,'DATABASE-DRIFT_LATENT_HP_ERROR'!$A$4:$B$13,2,FALSE()),"")</f>
        <v>Drift.1</v>
      </c>
      <c r="G77" s="23" t="s">
        <v>626</v>
      </c>
      <c r="H77" s="23" t="str">
        <f>IFERROR(VLOOKUP(G77,'DATABASE-DRIFT_LATENT_HP_ERROR'!$B$16:$D$76,3,FALSE()),"")</f>
        <v>Interpretasi prosedur berbeda antar personel atau departemen.</v>
      </c>
      <c r="I77" s="1">
        <f>IF($A77="","",IFERROR(INDEX('INPUT-SIF_Questions'!$B$2:$B$300,MATCH($A77,'INPUT-SIF_Questions'!$A$2:$A$300,0)),""))</f>
        <v>1</v>
      </c>
      <c r="J77" s="1" t="str">
        <f>IF($A77="","",IFERROR(INDEX('INPUT-SIF_Questions'!$F$2:$F$300,MATCH($A77,'INPUT-SIF_Questions'!$A$2:$A$300,0)),""))</f>
        <v>Baseline</v>
      </c>
      <c r="K77" s="1" t="str">
        <f>IF($A77="","",IFERROR(INDEX('INPUT-SIF_Questions'!$G$2:$G$300,MATCH($A77,'INPUT-SIF_Questions'!$A$2:$A$300,0)),""))</f>
        <v>Y</v>
      </c>
      <c r="L77" s="1">
        <f>IF($A77="","",IFERROR(INDEX('INPUT-SIF_Questions'!$E$2:$E$300,MATCH($A77,'INPUT-SIF_Questions'!$A$2:$A$300,0)),""))</f>
        <v>0</v>
      </c>
    </row>
    <row r="78" spans="1:12" ht="14.25" customHeight="1" x14ac:dyDescent="0.45">
      <c r="A78" s="23" t="s">
        <v>264</v>
      </c>
      <c r="B78" s="23" t="s">
        <v>207</v>
      </c>
      <c r="C78" s="23" t="str">
        <f>IFERROR(VLOOKUP(B78,'DATABASE-DRIFT_LATENT_HP_ERROR'!$A$143:$B$160,2,FALSE()),"")</f>
        <v>Confined Space Entry</v>
      </c>
      <c r="D78" s="23" t="s">
        <v>713</v>
      </c>
      <c r="E78" s="23" t="s">
        <v>625</v>
      </c>
      <c r="F78" s="23" t="str">
        <f>IFERROR(VLOOKUP(E78,'DATABASE-DRIFT_LATENT_HP_ERROR'!$A$4:$B$13,2,FALSE()),"")</f>
        <v>Drift.1</v>
      </c>
      <c r="G78" s="23" t="s">
        <v>626</v>
      </c>
      <c r="H78" s="23" t="str">
        <f>IFERROR(VLOOKUP(G78,'DATABASE-DRIFT_LATENT_HP_ERROR'!$B$16:$D$76,3,FALSE()),"")</f>
        <v>Interpretasi prosedur berbeda antar personel atau departemen.</v>
      </c>
      <c r="I78" s="1">
        <f>IF($A78="","",IFERROR(INDEX('INPUT-SIF_Questions'!$B$2:$B$300,MATCH($A78,'INPUT-SIF_Questions'!$A$2:$A$300,0)),""))</f>
        <v>1</v>
      </c>
      <c r="J78" s="1" t="str">
        <f>IF($A78="","",IFERROR(INDEX('INPUT-SIF_Questions'!$F$2:$F$300,MATCH($A78,'INPUT-SIF_Questions'!$A$2:$A$300,0)),""))</f>
        <v>Baseline</v>
      </c>
      <c r="K78" s="1" t="str">
        <f>IF($A78="","",IFERROR(INDEX('INPUT-SIF_Questions'!$G$2:$G$300,MATCH($A78,'INPUT-SIF_Questions'!$A$2:$A$300,0)),""))</f>
        <v>Y</v>
      </c>
      <c r="L78" s="1">
        <f>IF($A78="","",IFERROR(INDEX('INPUT-SIF_Questions'!$E$2:$E$300,MATCH($A78,'INPUT-SIF_Questions'!$A$2:$A$300,0)),""))</f>
        <v>0</v>
      </c>
    </row>
    <row r="79" spans="1:12" ht="14.25" customHeight="1" x14ac:dyDescent="0.45">
      <c r="A79" s="23" t="s">
        <v>264</v>
      </c>
      <c r="B79" s="23" t="s">
        <v>207</v>
      </c>
      <c r="C79" s="23" t="str">
        <f>IFERROR(VLOOKUP(B79,'DATABASE-DRIFT_LATENT_HP_ERROR'!$A$143:$B$160,2,FALSE()),"")</f>
        <v>Confined Space Entry</v>
      </c>
      <c r="D79" s="23" t="s">
        <v>714</v>
      </c>
      <c r="E79" s="23" t="s">
        <v>625</v>
      </c>
      <c r="F79" s="23" t="str">
        <f>IFERROR(VLOOKUP(E79,'DATABASE-DRIFT_LATENT_HP_ERROR'!$A$4:$B$13,2,FALSE()),"")</f>
        <v>Drift.1</v>
      </c>
      <c r="G79" s="23" t="s">
        <v>626</v>
      </c>
      <c r="H79" s="23" t="str">
        <f>IFERROR(VLOOKUP(G79,'DATABASE-DRIFT_LATENT_HP_ERROR'!$B$16:$D$76,3,FALSE()),"")</f>
        <v>Interpretasi prosedur berbeda antar personel atau departemen.</v>
      </c>
      <c r="I79" s="1">
        <f>IF($A79="","",IFERROR(INDEX('INPUT-SIF_Questions'!$B$2:$B$300,MATCH($A79,'INPUT-SIF_Questions'!$A$2:$A$300,0)),""))</f>
        <v>1</v>
      </c>
      <c r="J79" s="1" t="str">
        <f>IF($A79="","",IFERROR(INDEX('INPUT-SIF_Questions'!$F$2:$F$300,MATCH($A79,'INPUT-SIF_Questions'!$A$2:$A$300,0)),""))</f>
        <v>Baseline</v>
      </c>
      <c r="K79" s="1" t="str">
        <f>IF($A79="","",IFERROR(INDEX('INPUT-SIF_Questions'!$G$2:$G$300,MATCH($A79,'INPUT-SIF_Questions'!$A$2:$A$300,0)),""))</f>
        <v>Y</v>
      </c>
      <c r="L79" s="1">
        <f>IF($A79="","",IFERROR(INDEX('INPUT-SIF_Questions'!$E$2:$E$300,MATCH($A79,'INPUT-SIF_Questions'!$A$2:$A$300,0)),""))</f>
        <v>0</v>
      </c>
    </row>
    <row r="80" spans="1:12" ht="21" customHeight="1" x14ac:dyDescent="0.45">
      <c r="A80" s="23" t="s">
        <v>264</v>
      </c>
      <c r="B80" s="23" t="s">
        <v>207</v>
      </c>
      <c r="C80" s="23" t="str">
        <f>IFERROR(VLOOKUP(B80,'DATABASE-DRIFT_LATENT_HP_ERROR'!$A$143:$B$160,2,FALSE()),"")</f>
        <v>Confined Space Entry</v>
      </c>
      <c r="D80" s="23" t="s">
        <v>715</v>
      </c>
      <c r="E80" s="23" t="s">
        <v>640</v>
      </c>
      <c r="F80" s="23" t="str">
        <f>IFERROR(VLOOKUP(E80,'DATABASE-DRIFT_LATENT_HP_ERROR'!$A$4:$B$13,2,FALSE()),"")</f>
        <v>Drift.4</v>
      </c>
      <c r="G80" s="23" t="s">
        <v>687</v>
      </c>
      <c r="H80" s="23" t="str">
        <f>IFERROR(VLOOKUP(G80,'DATABASE-DRIFT_LATENT_HP_ERROR'!$B$16:$D$76,3,FALSE()),"")</f>
        <v>Fokus lebih besar pada kelengkapan dokumen dibanding efektivitas safeguard di lapangan.</v>
      </c>
      <c r="I80" s="1">
        <f>IF($A80="","",IFERROR(INDEX('INPUT-SIF_Questions'!$B$2:$B$300,MATCH($A80,'INPUT-SIF_Questions'!$A$2:$A$300,0)),""))</f>
        <v>1</v>
      </c>
      <c r="J80" s="1" t="str">
        <f>IF($A80="","",IFERROR(INDEX('INPUT-SIF_Questions'!$F$2:$F$300,MATCH($A80,'INPUT-SIF_Questions'!$A$2:$A$300,0)),""))</f>
        <v>Baseline</v>
      </c>
      <c r="K80" s="1" t="str">
        <f>IF($A80="","",IFERROR(INDEX('INPUT-SIF_Questions'!$G$2:$G$300,MATCH($A80,'INPUT-SIF_Questions'!$A$2:$A$300,0)),""))</f>
        <v>Y</v>
      </c>
      <c r="L80" s="1">
        <f>IF($A80="","",IFERROR(INDEX('INPUT-SIF_Questions'!$E$2:$E$300,MATCH($A80,'INPUT-SIF_Questions'!$A$2:$A$300,0)),""))</f>
        <v>0</v>
      </c>
    </row>
    <row r="81" spans="1:12" ht="14.25" customHeight="1" x14ac:dyDescent="0.45">
      <c r="A81" s="23" t="s">
        <v>264</v>
      </c>
      <c r="B81" s="23" t="s">
        <v>207</v>
      </c>
      <c r="C81" s="23" t="str">
        <f>IFERROR(VLOOKUP(B81,'DATABASE-DRIFT_LATENT_HP_ERROR'!$A$143:$B$160,2,FALSE()),"")</f>
        <v>Confined Space Entry</v>
      </c>
      <c r="D81" s="23" t="s">
        <v>716</v>
      </c>
      <c r="E81" s="23" t="s">
        <v>630</v>
      </c>
      <c r="F81" s="23" t="str">
        <f>IFERROR(VLOOKUP(E81,'DATABASE-DRIFT_LATENT_HP_ERROR'!$A$4:$B$13,2,FALSE()),"")</f>
        <v>Drift.5</v>
      </c>
      <c r="G81" s="23" t="s">
        <v>631</v>
      </c>
      <c r="H81" s="23" t="str">
        <f>IFERROR(VLOOKUP(G81,'DATABASE-DRIFT_LATENT_HP_ERROR'!$B$16:$D$76,3,FALSE()),"")</f>
        <v>Proses verifikasi safeguard tidak mampu mendeteksi kelemahan barrier.</v>
      </c>
      <c r="I81" s="1">
        <f>IF($A81="","",IFERROR(INDEX('INPUT-SIF_Questions'!$B$2:$B$300,MATCH($A81,'INPUT-SIF_Questions'!$A$2:$A$300,0)),""))</f>
        <v>1</v>
      </c>
      <c r="J81" s="1" t="str">
        <f>IF($A81="","",IFERROR(INDEX('INPUT-SIF_Questions'!$F$2:$F$300,MATCH($A81,'INPUT-SIF_Questions'!$A$2:$A$300,0)),""))</f>
        <v>Baseline</v>
      </c>
      <c r="K81" s="1" t="str">
        <f>IF($A81="","",IFERROR(INDEX('INPUT-SIF_Questions'!$G$2:$G$300,MATCH($A81,'INPUT-SIF_Questions'!$A$2:$A$300,0)),""))</f>
        <v>Y</v>
      </c>
      <c r="L81" s="1">
        <f>IF($A81="","",IFERROR(INDEX('INPUT-SIF_Questions'!$E$2:$E$300,MATCH($A81,'INPUT-SIF_Questions'!$A$2:$A$300,0)),""))</f>
        <v>0</v>
      </c>
    </row>
    <row r="82" spans="1:12" ht="14.25" customHeight="1" x14ac:dyDescent="0.45">
      <c r="A82" s="23" t="s">
        <v>275</v>
      </c>
      <c r="B82" s="23" t="s">
        <v>34</v>
      </c>
      <c r="C82" s="23" t="str">
        <f>IFERROR(VLOOKUP(B82,'DATABASE-DRIFT_LATENT_HP_ERROR'!$A$143:$B$160,2,FALSE()),"")</f>
        <v>Work at Height</v>
      </c>
      <c r="D82" s="23" t="s">
        <v>717</v>
      </c>
      <c r="E82" s="23" t="s">
        <v>640</v>
      </c>
      <c r="F82" s="23" t="str">
        <f>IFERROR(VLOOKUP(E82,'DATABASE-DRIFT_LATENT_HP_ERROR'!$A$4:$B$13,2,FALSE()),"")</f>
        <v>Drift.4</v>
      </c>
      <c r="G82" s="23" t="s">
        <v>687</v>
      </c>
      <c r="H82" s="23" t="str">
        <f>IFERROR(VLOOKUP(G82,'DATABASE-DRIFT_LATENT_HP_ERROR'!$B$16:$D$76,3,FALSE()),"")</f>
        <v>Fokus lebih besar pada kelengkapan dokumen dibanding efektivitas safeguard di lapangan.</v>
      </c>
      <c r="I82" s="1">
        <f>IF($A82="","",IFERROR(INDEX('INPUT-SIF_Questions'!$B$2:$B$300,MATCH($A82,'INPUT-SIF_Questions'!$A$2:$A$300,0)),""))</f>
        <v>1</v>
      </c>
      <c r="J82" s="1" t="str">
        <f>IF($A82="","",IFERROR(INDEX('INPUT-SIF_Questions'!$F$2:$F$300,MATCH($A82,'INPUT-SIF_Questions'!$A$2:$A$300,0)),""))</f>
        <v>Baseline</v>
      </c>
      <c r="K82" s="1" t="str">
        <f>IF($A82="","",IFERROR(INDEX('INPUT-SIF_Questions'!$G$2:$G$300,MATCH($A82,'INPUT-SIF_Questions'!$A$2:$A$300,0)),""))</f>
        <v>Y</v>
      </c>
      <c r="L82" s="1">
        <f>IF($A82="","",IFERROR(INDEX('INPUT-SIF_Questions'!$E$2:$E$300,MATCH($A82,'INPUT-SIF_Questions'!$A$2:$A$300,0)),""))</f>
        <v>0</v>
      </c>
    </row>
    <row r="83" spans="1:12" ht="14.25" customHeight="1" x14ac:dyDescent="0.45">
      <c r="A83" s="23" t="s">
        <v>275</v>
      </c>
      <c r="B83" s="23" t="s">
        <v>34</v>
      </c>
      <c r="C83" s="23" t="str">
        <f>IFERROR(VLOOKUP(B83,'DATABASE-DRIFT_LATENT_HP_ERROR'!$A$143:$B$160,2,FALSE()),"")</f>
        <v>Work at Height</v>
      </c>
      <c r="D83" s="23" t="s">
        <v>718</v>
      </c>
      <c r="E83" s="23" t="s">
        <v>630</v>
      </c>
      <c r="F83" s="23" t="str">
        <f>IFERROR(VLOOKUP(E83,'DATABASE-DRIFT_LATENT_HP_ERROR'!$A$4:$B$13,2,FALSE()),"")</f>
        <v>Drift.5</v>
      </c>
      <c r="G83" s="23" t="s">
        <v>659</v>
      </c>
      <c r="H83" s="23" t="str">
        <f>IFERROR(VLOOKUP(G83,'DATABASE-DRIFT_LATENT_HP_ERROR'!$B$16:$D$76,3,FALSE()),"")</f>
        <v>Critical safeguard mulai kehilangan efektivitasnya.</v>
      </c>
      <c r="I83" s="1">
        <f>IF($A83="","",IFERROR(INDEX('INPUT-SIF_Questions'!$B$2:$B$300,MATCH($A83,'INPUT-SIF_Questions'!$A$2:$A$300,0)),""))</f>
        <v>1</v>
      </c>
      <c r="J83" s="1" t="str">
        <f>IF($A83="","",IFERROR(INDEX('INPUT-SIF_Questions'!$F$2:$F$300,MATCH($A83,'INPUT-SIF_Questions'!$A$2:$A$300,0)),""))</f>
        <v>Baseline</v>
      </c>
      <c r="K83" s="1" t="str">
        <f>IF($A83="","",IFERROR(INDEX('INPUT-SIF_Questions'!$G$2:$G$300,MATCH($A83,'INPUT-SIF_Questions'!$A$2:$A$300,0)),""))</f>
        <v>Y</v>
      </c>
      <c r="L83" s="1">
        <f>IF($A83="","",IFERROR(INDEX('INPUT-SIF_Questions'!$E$2:$E$300,MATCH($A83,'INPUT-SIF_Questions'!$A$2:$A$300,0)),""))</f>
        <v>0</v>
      </c>
    </row>
    <row r="84" spans="1:12" ht="14.25" customHeight="1" x14ac:dyDescent="0.45">
      <c r="A84" s="23" t="s">
        <v>275</v>
      </c>
      <c r="B84" s="23" t="s">
        <v>34</v>
      </c>
      <c r="C84" s="23" t="str">
        <f>IFERROR(VLOOKUP(B84,'DATABASE-DRIFT_LATENT_HP_ERROR'!$A$143:$B$160,2,FALSE()),"")</f>
        <v>Work at Height</v>
      </c>
      <c r="D84" s="23" t="s">
        <v>719</v>
      </c>
      <c r="E84" s="23" t="s">
        <v>625</v>
      </c>
      <c r="F84" s="23" t="str">
        <f>IFERROR(VLOOKUP(E84,'DATABASE-DRIFT_LATENT_HP_ERROR'!$A$4:$B$13,2,FALSE()),"")</f>
        <v>Drift.1</v>
      </c>
      <c r="G84" s="23" t="s">
        <v>626</v>
      </c>
      <c r="H84" s="23" t="str">
        <f>IFERROR(VLOOKUP(G84,'DATABASE-DRIFT_LATENT_HP_ERROR'!$B$16:$D$76,3,FALSE()),"")</f>
        <v>Interpretasi prosedur berbeda antar personel atau departemen.</v>
      </c>
      <c r="I84" s="1">
        <f>IF($A84="","",IFERROR(INDEX('INPUT-SIF_Questions'!$B$2:$B$300,MATCH($A84,'INPUT-SIF_Questions'!$A$2:$A$300,0)),""))</f>
        <v>1</v>
      </c>
      <c r="J84" s="1" t="str">
        <f>IF($A84="","",IFERROR(INDEX('INPUT-SIF_Questions'!$F$2:$F$300,MATCH($A84,'INPUT-SIF_Questions'!$A$2:$A$300,0)),""))</f>
        <v>Baseline</v>
      </c>
      <c r="K84" s="1" t="str">
        <f>IF($A84="","",IFERROR(INDEX('INPUT-SIF_Questions'!$G$2:$G$300,MATCH($A84,'INPUT-SIF_Questions'!$A$2:$A$300,0)),""))</f>
        <v>Y</v>
      </c>
      <c r="L84" s="1">
        <f>IF($A84="","",IFERROR(INDEX('INPUT-SIF_Questions'!$E$2:$E$300,MATCH($A84,'INPUT-SIF_Questions'!$A$2:$A$300,0)),""))</f>
        <v>0</v>
      </c>
    </row>
    <row r="85" spans="1:12" ht="14.25" customHeight="1" x14ac:dyDescent="0.45">
      <c r="A85" s="23" t="s">
        <v>275</v>
      </c>
      <c r="B85" s="23" t="s">
        <v>34</v>
      </c>
      <c r="C85" s="23" t="str">
        <f>IFERROR(VLOOKUP(B85,'DATABASE-DRIFT_LATENT_HP_ERROR'!$A$143:$B$160,2,FALSE()),"")</f>
        <v>Work at Height</v>
      </c>
      <c r="D85" s="23" t="s">
        <v>720</v>
      </c>
      <c r="E85" s="23" t="s">
        <v>635</v>
      </c>
      <c r="F85" s="23" t="str">
        <f>IFERROR(VLOOKUP(E85,'DATABASE-DRIFT_LATENT_HP_ERROR'!$A$4:$B$13,2,FALSE()),"")</f>
        <v>Drift.7</v>
      </c>
      <c r="G85" s="23" t="s">
        <v>636</v>
      </c>
      <c r="H85" s="23" t="str">
        <f>IFERROR(VLOOKUP(G85,'DATABASE-DRIFT_LATENT_HP_ERROR'!$B$16:$D$76,3,FALSE()),"")</f>
        <v>Tingkat risiko diremehkan dibanding exposure aktual.</v>
      </c>
      <c r="I85" s="1">
        <f>IF($A85="","",IFERROR(INDEX('INPUT-SIF_Questions'!$B$2:$B$300,MATCH($A85,'INPUT-SIF_Questions'!$A$2:$A$300,0)),""))</f>
        <v>1</v>
      </c>
      <c r="J85" s="1" t="str">
        <f>IF($A85="","",IFERROR(INDEX('INPUT-SIF_Questions'!$F$2:$F$300,MATCH($A85,'INPUT-SIF_Questions'!$A$2:$A$300,0)),""))</f>
        <v>Baseline</v>
      </c>
      <c r="K85" s="1" t="str">
        <f>IF($A85="","",IFERROR(INDEX('INPUT-SIF_Questions'!$G$2:$G$300,MATCH($A85,'INPUT-SIF_Questions'!$A$2:$A$300,0)),""))</f>
        <v>Y</v>
      </c>
      <c r="L85" s="1">
        <f>IF($A85="","",IFERROR(INDEX('INPUT-SIF_Questions'!$E$2:$E$300,MATCH($A85,'INPUT-SIF_Questions'!$A$2:$A$300,0)),""))</f>
        <v>0</v>
      </c>
    </row>
    <row r="86" spans="1:12" ht="14.25" customHeight="1" x14ac:dyDescent="0.45">
      <c r="A86" s="23" t="s">
        <v>275</v>
      </c>
      <c r="B86" s="23" t="s">
        <v>34</v>
      </c>
      <c r="C86" s="23" t="str">
        <f>IFERROR(VLOOKUP(B86,'DATABASE-DRIFT_LATENT_HP_ERROR'!$A$143:$B$160,2,FALSE()),"")</f>
        <v>Work at Height</v>
      </c>
      <c r="D86" s="23" t="s">
        <v>721</v>
      </c>
      <c r="E86" s="23" t="s">
        <v>635</v>
      </c>
      <c r="F86" s="23" t="str">
        <f>IFERROR(VLOOKUP(E86,'DATABASE-DRIFT_LATENT_HP_ERROR'!$A$4:$B$13,2,FALSE()),"")</f>
        <v>Drift.7</v>
      </c>
      <c r="G86" s="23" t="s">
        <v>638</v>
      </c>
      <c r="H86" s="23" t="str">
        <f>IFERROR(VLOOKUP(G86,'DATABASE-DRIFT_LATENT_HP_ERROR'!$B$16:$D$76,3,FALSE()),"")</f>
        <v>Risiko engineering tidak dianalisa secara teknikal.</v>
      </c>
      <c r="I86" s="1">
        <f>IF($A86="","",IFERROR(INDEX('INPUT-SIF_Questions'!$B$2:$B$300,MATCH($A86,'INPUT-SIF_Questions'!$A$2:$A$300,0)),""))</f>
        <v>1</v>
      </c>
      <c r="J86" s="1" t="str">
        <f>IF($A86="","",IFERROR(INDEX('INPUT-SIF_Questions'!$F$2:$F$300,MATCH($A86,'INPUT-SIF_Questions'!$A$2:$A$300,0)),""))</f>
        <v>Baseline</v>
      </c>
      <c r="K86" s="1" t="str">
        <f>IF($A86="","",IFERROR(INDEX('INPUT-SIF_Questions'!$G$2:$G$300,MATCH($A86,'INPUT-SIF_Questions'!$A$2:$A$300,0)),""))</f>
        <v>Y</v>
      </c>
      <c r="L86" s="1">
        <f>IF($A86="","",IFERROR(INDEX('INPUT-SIF_Questions'!$E$2:$E$300,MATCH($A86,'INPUT-SIF_Questions'!$A$2:$A$300,0)),""))</f>
        <v>0</v>
      </c>
    </row>
    <row r="87" spans="1:12" ht="14.25" customHeight="1" x14ac:dyDescent="0.45">
      <c r="A87" s="23" t="s">
        <v>275</v>
      </c>
      <c r="B87" s="23" t="s">
        <v>34</v>
      </c>
      <c r="C87" s="23" t="str">
        <f>IFERROR(VLOOKUP(B87,'DATABASE-DRIFT_LATENT_HP_ERROR'!$A$143:$B$160,2,FALSE()),"")</f>
        <v>Work at Height</v>
      </c>
      <c r="D87" s="23" t="s">
        <v>722</v>
      </c>
      <c r="E87" s="23" t="s">
        <v>630</v>
      </c>
      <c r="F87" s="23" t="str">
        <f>IFERROR(VLOOKUP(E87,'DATABASE-DRIFT_LATENT_HP_ERROR'!$A$4:$B$13,2,FALSE()),"")</f>
        <v>Drift.5</v>
      </c>
      <c r="G87" s="23" t="s">
        <v>631</v>
      </c>
      <c r="H87" s="23" t="str">
        <f>IFERROR(VLOOKUP(G87,'DATABASE-DRIFT_LATENT_HP_ERROR'!$B$16:$D$76,3,FALSE()),"")</f>
        <v>Proses verifikasi safeguard tidak mampu mendeteksi kelemahan barrier.</v>
      </c>
      <c r="I87" s="1">
        <f>IF($A87="","",IFERROR(INDEX('INPUT-SIF_Questions'!$B$2:$B$300,MATCH($A87,'INPUT-SIF_Questions'!$A$2:$A$300,0)),""))</f>
        <v>1</v>
      </c>
      <c r="J87" s="1" t="str">
        <f>IF($A87="","",IFERROR(INDEX('INPUT-SIF_Questions'!$F$2:$F$300,MATCH($A87,'INPUT-SIF_Questions'!$A$2:$A$300,0)),""))</f>
        <v>Baseline</v>
      </c>
      <c r="K87" s="1" t="str">
        <f>IF($A87="","",IFERROR(INDEX('INPUT-SIF_Questions'!$G$2:$G$300,MATCH($A87,'INPUT-SIF_Questions'!$A$2:$A$300,0)),""))</f>
        <v>Y</v>
      </c>
      <c r="L87" s="1">
        <f>IF($A87="","",IFERROR(INDEX('INPUT-SIF_Questions'!$E$2:$E$300,MATCH($A87,'INPUT-SIF_Questions'!$A$2:$A$300,0)),""))</f>
        <v>0</v>
      </c>
    </row>
    <row r="88" spans="1:12" ht="14.25" customHeight="1" x14ac:dyDescent="0.45">
      <c r="A88" s="23" t="s">
        <v>291</v>
      </c>
      <c r="B88" s="23" t="s">
        <v>292</v>
      </c>
      <c r="C88" s="23" t="str">
        <f>IFERROR(VLOOKUP(B88,'DATABASE-DRIFT_LATENT_HP_ERROR'!$A$143:$B$160,2,FALSE()),"")</f>
        <v>Hot Work</v>
      </c>
      <c r="D88" s="23" t="s">
        <v>723</v>
      </c>
      <c r="E88" s="23" t="s">
        <v>630</v>
      </c>
      <c r="F88" s="23" t="str">
        <f>IFERROR(VLOOKUP(E88,'DATABASE-DRIFT_LATENT_HP_ERROR'!$A$4:$B$13,2,FALSE()),"")</f>
        <v>Drift.5</v>
      </c>
      <c r="G88" s="23" t="s">
        <v>631</v>
      </c>
      <c r="H88" s="23" t="str">
        <f>IFERROR(VLOOKUP(G88,'DATABASE-DRIFT_LATENT_HP_ERROR'!$B$16:$D$76,3,FALSE()),"")</f>
        <v>Proses verifikasi safeguard tidak mampu mendeteksi kelemahan barrier.</v>
      </c>
      <c r="I88" s="1">
        <f>IF($A88="","",IFERROR(INDEX('INPUT-SIF_Questions'!$B$2:$B$300,MATCH($A88,'INPUT-SIF_Questions'!$A$2:$A$300,0)),""))</f>
        <v>1</v>
      </c>
      <c r="J88" s="1" t="str">
        <f>IF($A88="","",IFERROR(INDEX('INPUT-SIF_Questions'!$F$2:$F$300,MATCH($A88,'INPUT-SIF_Questions'!$A$2:$A$300,0)),""))</f>
        <v>Baseline</v>
      </c>
      <c r="K88" s="1" t="str">
        <f>IF($A88="","",IFERROR(INDEX('INPUT-SIF_Questions'!$G$2:$G$300,MATCH($A88,'INPUT-SIF_Questions'!$A$2:$A$300,0)),""))</f>
        <v>Y</v>
      </c>
      <c r="L88" s="1">
        <f>IF($A88="","",IFERROR(INDEX('INPUT-SIF_Questions'!$E$2:$E$300,MATCH($A88,'INPUT-SIF_Questions'!$A$2:$A$300,0)),""))</f>
        <v>0</v>
      </c>
    </row>
    <row r="89" spans="1:12" ht="14.25" customHeight="1" x14ac:dyDescent="0.45">
      <c r="A89" s="23" t="s">
        <v>291</v>
      </c>
      <c r="B89" s="23" t="s">
        <v>292</v>
      </c>
      <c r="C89" s="23" t="str">
        <f>IFERROR(VLOOKUP(B89,'DATABASE-DRIFT_LATENT_HP_ERROR'!$A$143:$B$160,2,FALSE()),"")</f>
        <v>Hot Work</v>
      </c>
      <c r="D89" s="23" t="s">
        <v>724</v>
      </c>
      <c r="E89" s="23" t="s">
        <v>640</v>
      </c>
      <c r="F89" s="23" t="str">
        <f>IFERROR(VLOOKUP(E89,'DATABASE-DRIFT_LATENT_HP_ERROR'!$A$4:$B$13,2,FALSE()),"")</f>
        <v>Drift.4</v>
      </c>
      <c r="G89" s="23" t="s">
        <v>725</v>
      </c>
      <c r="H89" s="23" t="str">
        <f>IFERROR(VLOOKUP(G89,'DATABASE-DRIFT_LATENT_HP_ERROR'!$B$16:$D$76,3,FALSE()),"")</f>
        <v/>
      </c>
      <c r="I89" s="1">
        <f>IF($A89="","",IFERROR(INDEX('INPUT-SIF_Questions'!$B$2:$B$300,MATCH($A89,'INPUT-SIF_Questions'!$A$2:$A$300,0)),""))</f>
        <v>1</v>
      </c>
      <c r="J89" s="1" t="str">
        <f>IF($A89="","",IFERROR(INDEX('INPUT-SIF_Questions'!$F$2:$F$300,MATCH($A89,'INPUT-SIF_Questions'!$A$2:$A$300,0)),""))</f>
        <v>Baseline</v>
      </c>
      <c r="K89" s="1" t="str">
        <f>IF($A89="","",IFERROR(INDEX('INPUT-SIF_Questions'!$G$2:$G$300,MATCH($A89,'INPUT-SIF_Questions'!$A$2:$A$300,0)),""))</f>
        <v>Y</v>
      </c>
      <c r="L89" s="1">
        <f>IF($A89="","",IFERROR(INDEX('INPUT-SIF_Questions'!$E$2:$E$300,MATCH($A89,'INPUT-SIF_Questions'!$A$2:$A$300,0)),""))</f>
        <v>0</v>
      </c>
    </row>
    <row r="90" spans="1:12" ht="14.25" customHeight="1" x14ac:dyDescent="0.45">
      <c r="A90" s="23" t="s">
        <v>291</v>
      </c>
      <c r="B90" s="23" t="s">
        <v>292</v>
      </c>
      <c r="C90" s="23" t="str">
        <f>IFERROR(VLOOKUP(B90,'DATABASE-DRIFT_LATENT_HP_ERROR'!$A$143:$B$160,2,FALSE()),"")</f>
        <v>Hot Work</v>
      </c>
      <c r="D90" s="23" t="s">
        <v>726</v>
      </c>
      <c r="E90" s="23" t="s">
        <v>727</v>
      </c>
      <c r="F90" s="23" t="str">
        <f>IFERROR(VLOOKUP(E90,'DATABASE-DRIFT_LATENT_HP_ERROR'!$A$4:$B$13,2,FALSE()),"")</f>
        <v/>
      </c>
      <c r="G90" s="23" t="s">
        <v>728</v>
      </c>
      <c r="H90" s="23" t="str">
        <f>IFERROR(VLOOKUP(G90,'DATABASE-DRIFT_LATENT_HP_ERROR'!$B$16:$D$76,3,FALSE()),"")</f>
        <v/>
      </c>
      <c r="I90" s="1">
        <f>IF($A90="","",IFERROR(INDEX('INPUT-SIF_Questions'!$B$2:$B$300,MATCH($A90,'INPUT-SIF_Questions'!$A$2:$A$300,0)),""))</f>
        <v>1</v>
      </c>
      <c r="J90" s="1" t="str">
        <f>IF($A90="","",IFERROR(INDEX('INPUT-SIF_Questions'!$F$2:$F$300,MATCH($A90,'INPUT-SIF_Questions'!$A$2:$A$300,0)),""))</f>
        <v>Baseline</v>
      </c>
      <c r="K90" s="1" t="str">
        <f>IF($A90="","",IFERROR(INDEX('INPUT-SIF_Questions'!$G$2:$G$300,MATCH($A90,'INPUT-SIF_Questions'!$A$2:$A$300,0)),""))</f>
        <v>Y</v>
      </c>
      <c r="L90" s="1">
        <f>IF($A90="","",IFERROR(INDEX('INPUT-SIF_Questions'!$E$2:$E$300,MATCH($A90,'INPUT-SIF_Questions'!$A$2:$A$300,0)),""))</f>
        <v>0</v>
      </c>
    </row>
    <row r="91" spans="1:12" ht="14.25" customHeight="1" x14ac:dyDescent="0.45">
      <c r="A91" s="23" t="s">
        <v>291</v>
      </c>
      <c r="B91" s="23" t="s">
        <v>292</v>
      </c>
      <c r="C91" s="23" t="str">
        <f>IFERROR(VLOOKUP(B91,'DATABASE-DRIFT_LATENT_HP_ERROR'!$A$143:$B$160,2,FALSE()),"")</f>
        <v>Hot Work</v>
      </c>
      <c r="D91" s="23" t="s">
        <v>729</v>
      </c>
      <c r="E91" s="23" t="s">
        <v>630</v>
      </c>
      <c r="F91" s="23" t="str">
        <f>IFERROR(VLOOKUP(E91,'DATABASE-DRIFT_LATENT_HP_ERROR'!$A$4:$B$13,2,FALSE()),"")</f>
        <v>Drift.5</v>
      </c>
      <c r="G91" s="23" t="s">
        <v>659</v>
      </c>
      <c r="H91" s="23" t="str">
        <f>IFERROR(VLOOKUP(G91,'DATABASE-DRIFT_LATENT_HP_ERROR'!$B$16:$D$76,3,FALSE()),"")</f>
        <v>Critical safeguard mulai kehilangan efektivitasnya.</v>
      </c>
      <c r="I91" s="1">
        <f>IF($A91="","",IFERROR(INDEX('INPUT-SIF_Questions'!$B$2:$B$300,MATCH($A91,'INPUT-SIF_Questions'!$A$2:$A$300,0)),""))</f>
        <v>1</v>
      </c>
      <c r="J91" s="1" t="str">
        <f>IF($A91="","",IFERROR(INDEX('INPUT-SIF_Questions'!$F$2:$F$300,MATCH($A91,'INPUT-SIF_Questions'!$A$2:$A$300,0)),""))</f>
        <v>Baseline</v>
      </c>
      <c r="K91" s="1" t="str">
        <f>IF($A91="","",IFERROR(INDEX('INPUT-SIF_Questions'!$G$2:$G$300,MATCH($A91,'INPUT-SIF_Questions'!$A$2:$A$300,0)),""))</f>
        <v>Y</v>
      </c>
      <c r="L91" s="1">
        <f>IF($A91="","",IFERROR(INDEX('INPUT-SIF_Questions'!$E$2:$E$300,MATCH($A91,'INPUT-SIF_Questions'!$A$2:$A$300,0)),""))</f>
        <v>0</v>
      </c>
    </row>
    <row r="92" spans="1:12" ht="14.25" customHeight="1" x14ac:dyDescent="0.45">
      <c r="A92" s="23" t="s">
        <v>291</v>
      </c>
      <c r="B92" s="23" t="s">
        <v>292</v>
      </c>
      <c r="C92" s="23" t="str">
        <f>IFERROR(VLOOKUP(B92,'DATABASE-DRIFT_LATENT_HP_ERROR'!$A$143:$B$160,2,FALSE()),"")</f>
        <v>Hot Work</v>
      </c>
      <c r="D92" s="23" t="s">
        <v>730</v>
      </c>
      <c r="E92" s="23" t="s">
        <v>635</v>
      </c>
      <c r="F92" s="23" t="str">
        <f>IFERROR(VLOOKUP(E92,'DATABASE-DRIFT_LATENT_HP_ERROR'!$A$4:$B$13,2,FALSE()),"")</f>
        <v>Drift.7</v>
      </c>
      <c r="G92" s="23" t="s">
        <v>638</v>
      </c>
      <c r="H92" s="23" t="str">
        <f>IFERROR(VLOOKUP(G92,'DATABASE-DRIFT_LATENT_HP_ERROR'!$B$16:$D$76,3,FALSE()),"")</f>
        <v>Risiko engineering tidak dianalisa secara teknikal.</v>
      </c>
      <c r="I92" s="1">
        <f>IF($A92="","",IFERROR(INDEX('INPUT-SIF_Questions'!$B$2:$B$300,MATCH($A92,'INPUT-SIF_Questions'!$A$2:$A$300,0)),""))</f>
        <v>1</v>
      </c>
      <c r="J92" s="1" t="str">
        <f>IF($A92="","",IFERROR(INDEX('INPUT-SIF_Questions'!$F$2:$F$300,MATCH($A92,'INPUT-SIF_Questions'!$A$2:$A$300,0)),""))</f>
        <v>Baseline</v>
      </c>
      <c r="K92" s="1" t="str">
        <f>IF($A92="","",IFERROR(INDEX('INPUT-SIF_Questions'!$G$2:$G$300,MATCH($A92,'INPUT-SIF_Questions'!$A$2:$A$300,0)),""))</f>
        <v>Y</v>
      </c>
      <c r="L92" s="1">
        <f>IF($A92="","",IFERROR(INDEX('INPUT-SIF_Questions'!$E$2:$E$300,MATCH($A92,'INPUT-SIF_Questions'!$A$2:$A$300,0)),""))</f>
        <v>0</v>
      </c>
    </row>
    <row r="93" spans="1:12" ht="14.25" customHeight="1" x14ac:dyDescent="0.45">
      <c r="A93" s="23" t="s">
        <v>321</v>
      </c>
      <c r="B93" s="23" t="s">
        <v>34</v>
      </c>
      <c r="C93" s="23" t="str">
        <f>IFERROR(VLOOKUP(B93,'DATABASE-DRIFT_LATENT_HP_ERROR'!$A$143:$B$160,2,FALSE()),"")</f>
        <v>Work at Height</v>
      </c>
      <c r="D93" s="23" t="s">
        <v>731</v>
      </c>
      <c r="E93" s="23" t="s">
        <v>635</v>
      </c>
      <c r="F93" s="23" t="str">
        <f>IFERROR(VLOOKUP(E93,'DATABASE-DRIFT_LATENT_HP_ERROR'!$A$4:$B$13,2,FALSE()),"")</f>
        <v>Drift.7</v>
      </c>
      <c r="G93" s="23" t="s">
        <v>638</v>
      </c>
      <c r="H93" s="23" t="str">
        <f>IFERROR(VLOOKUP(G93,'DATABASE-DRIFT_LATENT_HP_ERROR'!$B$16:$D$76,3,FALSE()),"")</f>
        <v>Risiko engineering tidak dianalisa secara teknikal.</v>
      </c>
      <c r="I93" s="1">
        <f>IF($A93="","",IFERROR(INDEX('INPUT-SIF_Questions'!$B$2:$B$300,MATCH($A93,'INPUT-SIF_Questions'!$A$2:$A$300,0)),""))</f>
        <v>1</v>
      </c>
      <c r="J93" s="1" t="str">
        <f>IF($A93="","",IFERROR(INDEX('INPUT-SIF_Questions'!$F$2:$F$300,MATCH($A93,'INPUT-SIF_Questions'!$A$2:$A$300,0)),""))</f>
        <v>Baseline</v>
      </c>
      <c r="K93" s="1" t="str">
        <f>IF($A93="","",IFERROR(INDEX('INPUT-SIF_Questions'!$G$2:$G$300,MATCH($A93,'INPUT-SIF_Questions'!$A$2:$A$300,0)),""))</f>
        <v>Y</v>
      </c>
      <c r="L93" s="1">
        <f>IF($A93="","",IFERROR(INDEX('INPUT-SIF_Questions'!$E$2:$E$300,MATCH($A93,'INPUT-SIF_Questions'!$A$2:$A$300,0)),""))</f>
        <v>0</v>
      </c>
    </row>
    <row r="94" spans="1:12" ht="14.25" customHeight="1" x14ac:dyDescent="0.45">
      <c r="A94" s="23" t="s">
        <v>321</v>
      </c>
      <c r="B94" s="23" t="s">
        <v>34</v>
      </c>
      <c r="C94" s="23" t="str">
        <f>IFERROR(VLOOKUP(B94,'DATABASE-DRIFT_LATENT_HP_ERROR'!$A$143:$B$160,2,FALSE()),"")</f>
        <v>Work at Height</v>
      </c>
      <c r="D94" s="23" t="s">
        <v>732</v>
      </c>
      <c r="E94" s="23" t="s">
        <v>625</v>
      </c>
      <c r="F94" s="23" t="str">
        <f>IFERROR(VLOOKUP(E94,'DATABASE-DRIFT_LATENT_HP_ERROR'!$A$4:$B$13,2,FALSE()),"")</f>
        <v>Drift.1</v>
      </c>
      <c r="G94" s="23" t="s">
        <v>628</v>
      </c>
      <c r="H94" s="23" t="str">
        <f>IFERROR(VLOOKUP(G94,'DATABASE-DRIFT_LATENT_HP_ERROR'!$B$16:$D$76,3,FALSE()),"")</f>
        <v>Procedure not detailed atau Prosedur kerja disederhanakan tanpa evaluasi risiko formal.</v>
      </c>
      <c r="I94" s="1">
        <f>IF($A94="","",IFERROR(INDEX('INPUT-SIF_Questions'!$B$2:$B$300,MATCH($A94,'INPUT-SIF_Questions'!$A$2:$A$300,0)),""))</f>
        <v>1</v>
      </c>
      <c r="J94" s="1" t="str">
        <f>IF($A94="","",IFERROR(INDEX('INPUT-SIF_Questions'!$F$2:$F$300,MATCH($A94,'INPUT-SIF_Questions'!$A$2:$A$300,0)),""))</f>
        <v>Baseline</v>
      </c>
      <c r="K94" s="1" t="str">
        <f>IF($A94="","",IFERROR(INDEX('INPUT-SIF_Questions'!$G$2:$G$300,MATCH($A94,'INPUT-SIF_Questions'!$A$2:$A$300,0)),""))</f>
        <v>Y</v>
      </c>
      <c r="L94" s="1">
        <f>IF($A94="","",IFERROR(INDEX('INPUT-SIF_Questions'!$E$2:$E$300,MATCH($A94,'INPUT-SIF_Questions'!$A$2:$A$300,0)),""))</f>
        <v>0</v>
      </c>
    </row>
    <row r="95" spans="1:12" ht="14.25" customHeight="1" x14ac:dyDescent="0.45">
      <c r="A95" s="23" t="s">
        <v>321</v>
      </c>
      <c r="B95" s="23" t="s">
        <v>34</v>
      </c>
      <c r="C95" s="23" t="str">
        <f>IFERROR(VLOOKUP(B95,'DATABASE-DRIFT_LATENT_HP_ERROR'!$A$143:$B$160,2,FALSE()),"")</f>
        <v>Work at Height</v>
      </c>
      <c r="D95" s="23" t="s">
        <v>733</v>
      </c>
      <c r="E95" s="23" t="s">
        <v>635</v>
      </c>
      <c r="F95" s="23" t="str">
        <f>IFERROR(VLOOKUP(E95,'DATABASE-DRIFT_LATENT_HP_ERROR'!$A$4:$B$13,2,FALSE()),"")</f>
        <v>Drift.7</v>
      </c>
      <c r="G95" s="23" t="s">
        <v>636</v>
      </c>
      <c r="H95" s="23" t="str">
        <f>IFERROR(VLOOKUP(G95,'DATABASE-DRIFT_LATENT_HP_ERROR'!$B$16:$D$76,3,FALSE()),"")</f>
        <v>Tingkat risiko diremehkan dibanding exposure aktual.</v>
      </c>
      <c r="I95" s="1">
        <f>IF($A95="","",IFERROR(INDEX('INPUT-SIF_Questions'!$B$2:$B$300,MATCH($A95,'INPUT-SIF_Questions'!$A$2:$A$300,0)),""))</f>
        <v>1</v>
      </c>
      <c r="J95" s="1" t="str">
        <f>IF($A95="","",IFERROR(INDEX('INPUT-SIF_Questions'!$F$2:$F$300,MATCH($A95,'INPUT-SIF_Questions'!$A$2:$A$300,0)),""))</f>
        <v>Baseline</v>
      </c>
      <c r="K95" s="1" t="str">
        <f>IF($A95="","",IFERROR(INDEX('INPUT-SIF_Questions'!$G$2:$G$300,MATCH($A95,'INPUT-SIF_Questions'!$A$2:$A$300,0)),""))</f>
        <v>Y</v>
      </c>
      <c r="L95" s="1">
        <f>IF($A95="","",IFERROR(INDEX('INPUT-SIF_Questions'!$E$2:$E$300,MATCH($A95,'INPUT-SIF_Questions'!$A$2:$A$300,0)),""))</f>
        <v>0</v>
      </c>
    </row>
    <row r="96" spans="1:12" ht="14.25" customHeight="1" x14ac:dyDescent="0.45">
      <c r="A96" s="23" t="s">
        <v>321</v>
      </c>
      <c r="B96" s="23" t="s">
        <v>34</v>
      </c>
      <c r="C96" s="23" t="str">
        <f>IFERROR(VLOOKUP(B96,'DATABASE-DRIFT_LATENT_HP_ERROR'!$A$143:$B$160,2,FALSE()),"")</f>
        <v>Work at Height</v>
      </c>
      <c r="D96" s="23" t="s">
        <v>734</v>
      </c>
      <c r="E96" s="23" t="s">
        <v>630</v>
      </c>
      <c r="F96" s="23" t="str">
        <f>IFERROR(VLOOKUP(E96,'DATABASE-DRIFT_LATENT_HP_ERROR'!$A$4:$B$13,2,FALSE()),"")</f>
        <v>Drift.5</v>
      </c>
      <c r="G96" s="23" t="s">
        <v>631</v>
      </c>
      <c r="H96" s="23" t="str">
        <f>IFERROR(VLOOKUP(G96,'DATABASE-DRIFT_LATENT_HP_ERROR'!$B$16:$D$76,3,FALSE()),"")</f>
        <v>Proses verifikasi safeguard tidak mampu mendeteksi kelemahan barrier.</v>
      </c>
      <c r="I96" s="1">
        <f>IF($A96="","",IFERROR(INDEX('INPUT-SIF_Questions'!$B$2:$B$300,MATCH($A96,'INPUT-SIF_Questions'!$A$2:$A$300,0)),""))</f>
        <v>1</v>
      </c>
      <c r="J96" s="1" t="str">
        <f>IF($A96="","",IFERROR(INDEX('INPUT-SIF_Questions'!$F$2:$F$300,MATCH($A96,'INPUT-SIF_Questions'!$A$2:$A$300,0)),""))</f>
        <v>Baseline</v>
      </c>
      <c r="K96" s="1" t="str">
        <f>IF($A96="","",IFERROR(INDEX('INPUT-SIF_Questions'!$G$2:$G$300,MATCH($A96,'INPUT-SIF_Questions'!$A$2:$A$300,0)),""))</f>
        <v>Y</v>
      </c>
      <c r="L96" s="1">
        <f>IF($A96="","",IFERROR(INDEX('INPUT-SIF_Questions'!$E$2:$E$300,MATCH($A96,'INPUT-SIF_Questions'!$A$2:$A$300,0)),""))</f>
        <v>0</v>
      </c>
    </row>
    <row r="97" spans="1:12" ht="14.25" customHeight="1" x14ac:dyDescent="0.45">
      <c r="A97" s="23" t="s">
        <v>321</v>
      </c>
      <c r="B97" s="23" t="s">
        <v>34</v>
      </c>
      <c r="C97" s="23" t="str">
        <f>IFERROR(VLOOKUP(B97,'DATABASE-DRIFT_LATENT_HP_ERROR'!$A$143:$B$160,2,FALSE()),"")</f>
        <v>Work at Height</v>
      </c>
      <c r="D97" s="23" t="s">
        <v>735</v>
      </c>
      <c r="E97" s="23" t="s">
        <v>640</v>
      </c>
      <c r="F97" s="23" t="str">
        <f>IFERROR(VLOOKUP(E97,'DATABASE-DRIFT_LATENT_HP_ERROR'!$A$4:$B$13,2,FALSE()),"")</f>
        <v>Drift.4</v>
      </c>
      <c r="G97" s="23" t="s">
        <v>725</v>
      </c>
      <c r="H97" s="23" t="str">
        <f>IFERROR(VLOOKUP(G97,'DATABASE-DRIFT_LATENT_HP_ERROR'!$B$16:$D$76,3,FALSE()),"")</f>
        <v/>
      </c>
      <c r="I97" s="1">
        <f>IF($A97="","",IFERROR(INDEX('INPUT-SIF_Questions'!$B$2:$B$300,MATCH($A97,'INPUT-SIF_Questions'!$A$2:$A$300,0)),""))</f>
        <v>1</v>
      </c>
      <c r="J97" s="1" t="str">
        <f>IF($A97="","",IFERROR(INDEX('INPUT-SIF_Questions'!$F$2:$F$300,MATCH($A97,'INPUT-SIF_Questions'!$A$2:$A$300,0)),""))</f>
        <v>Baseline</v>
      </c>
      <c r="K97" s="1" t="str">
        <f>IF($A97="","",IFERROR(INDEX('INPUT-SIF_Questions'!$G$2:$G$300,MATCH($A97,'INPUT-SIF_Questions'!$A$2:$A$300,0)),""))</f>
        <v>Y</v>
      </c>
      <c r="L97" s="1">
        <f>IF($A97="","",IFERROR(INDEX('INPUT-SIF_Questions'!$E$2:$E$300,MATCH($A97,'INPUT-SIF_Questions'!$A$2:$A$300,0)),""))</f>
        <v>0</v>
      </c>
    </row>
    <row r="98" spans="1:12" ht="63.75" customHeight="1" x14ac:dyDescent="0.45">
      <c r="A98" s="1" t="s">
        <v>333</v>
      </c>
      <c r="B98" s="1" t="s">
        <v>143</v>
      </c>
      <c r="C98" s="1" t="str">
        <f>IFERROR(VLOOKUP(B98,'DATABASE-DRIFT_LATENT_HP_ERROR'!$A$143:$B$160,2,FALSE()),"")</f>
        <v>Ground Disturbance or Excavation</v>
      </c>
      <c r="D98" s="27" t="s">
        <v>736</v>
      </c>
      <c r="E98" s="18" t="s">
        <v>635</v>
      </c>
      <c r="F98" s="1" t="str">
        <f>IFERROR(VLOOKUP(E98,'DATABASE-DRIFT_LATENT_HP_ERROR'!$A$4:$B$13,2,FALSE()),"")</f>
        <v>Drift.7</v>
      </c>
      <c r="G98" s="18" t="s">
        <v>737</v>
      </c>
      <c r="H98" s="3" t="str">
        <f>IFERROR(VLOOKUP(G98,'DATABASE-DRIFT_LATENT_HP_ERROR'!$B$16:$D$76,3,FALSE()),"")</f>
        <v>Temporary modification dilakukan tanpa engineering review formal.</v>
      </c>
      <c r="I98" s="1">
        <f>IF($A98="","",IFERROR(INDEX('INPUT-SIF_Questions'!$B$2:$B$300,MATCH($A98,'INPUT-SIF_Questions'!$A$2:$A$300,0)),""))</f>
        <v>1</v>
      </c>
      <c r="J98" s="1" t="str">
        <f>IF($A98="","",IFERROR(INDEX('INPUT-SIF_Questions'!$F$2:$F$300,MATCH($A98,'INPUT-SIF_Questions'!$A$2:$A$300,0)),""))</f>
        <v>Baseline</v>
      </c>
      <c r="K98" s="1" t="str">
        <f>IF($A98="","",IFERROR(INDEX('INPUT-SIF_Questions'!$G$2:$G$300,MATCH($A98,'INPUT-SIF_Questions'!$A$2:$A$300,0)),""))</f>
        <v>Y</v>
      </c>
      <c r="L98" s="1">
        <f>IF($A98="","",IFERROR(INDEX('INPUT-SIF_Questions'!$E$2:$E$300,MATCH($A98,'INPUT-SIF_Questions'!$A$2:$A$300,0)),""))</f>
        <v>0</v>
      </c>
    </row>
    <row r="99" spans="1:12" ht="42.75" customHeight="1" x14ac:dyDescent="0.45">
      <c r="A99" s="1" t="s">
        <v>333</v>
      </c>
      <c r="B99" s="1" t="s">
        <v>143</v>
      </c>
      <c r="C99" s="1" t="str">
        <f>IFERROR(VLOOKUP(B99,'DATABASE-DRIFT_LATENT_HP_ERROR'!$A$143:$B$160,2,FALSE()),"")</f>
        <v>Ground Disturbance or Excavation</v>
      </c>
      <c r="D99" s="27" t="s">
        <v>738</v>
      </c>
      <c r="E99" s="18" t="s">
        <v>640</v>
      </c>
      <c r="F99" s="1" t="str">
        <f>IFERROR(VLOOKUP(E99,'DATABASE-DRIFT_LATENT_HP_ERROR'!$A$4:$B$13,2,FALSE()),"")</f>
        <v>Drift.4</v>
      </c>
      <c r="G99" s="18" t="s">
        <v>687</v>
      </c>
      <c r="H99" s="3" t="str">
        <f>IFERROR(VLOOKUP(G99,'DATABASE-DRIFT_LATENT_HP_ERROR'!$B$16:$D$76,3,FALSE()),"")</f>
        <v>Fokus lebih besar pada kelengkapan dokumen dibanding efektivitas safeguard di lapangan.</v>
      </c>
      <c r="I99" s="1">
        <f>IF($A99="","",IFERROR(INDEX('INPUT-SIF_Questions'!$B$2:$B$300,MATCH($A99,'INPUT-SIF_Questions'!$A$2:$A$300,0)),""))</f>
        <v>1</v>
      </c>
      <c r="J99" s="1" t="str">
        <f>IF($A99="","",IFERROR(INDEX('INPUT-SIF_Questions'!$F$2:$F$300,MATCH($A99,'INPUT-SIF_Questions'!$A$2:$A$300,0)),""))</f>
        <v>Baseline</v>
      </c>
      <c r="K99" s="1" t="str">
        <f>IF($A99="","",IFERROR(INDEX('INPUT-SIF_Questions'!$G$2:$G$300,MATCH($A99,'INPUT-SIF_Questions'!$A$2:$A$300,0)),""))</f>
        <v>Y</v>
      </c>
      <c r="L99" s="1">
        <f>IF($A99="","",IFERROR(INDEX('INPUT-SIF_Questions'!$E$2:$E$300,MATCH($A99,'INPUT-SIF_Questions'!$A$2:$A$300,0)),""))</f>
        <v>0</v>
      </c>
    </row>
    <row r="100" spans="1:12" ht="42.75" customHeight="1" x14ac:dyDescent="0.45">
      <c r="A100" s="1" t="s">
        <v>333</v>
      </c>
      <c r="B100" s="1" t="s">
        <v>143</v>
      </c>
      <c r="C100" s="1" t="str">
        <f>IFERROR(VLOOKUP(B100,'DATABASE-DRIFT_LATENT_HP_ERROR'!$A$143:$B$160,2,FALSE()),"")</f>
        <v>Ground Disturbance or Excavation</v>
      </c>
      <c r="D100" s="27" t="s">
        <v>739</v>
      </c>
      <c r="E100" s="18" t="s">
        <v>630</v>
      </c>
      <c r="F100" s="1" t="str">
        <f>IFERROR(VLOOKUP(E100,'DATABASE-DRIFT_LATENT_HP_ERROR'!$A$4:$B$13,2,FALSE()),"")</f>
        <v>Drift.5</v>
      </c>
      <c r="G100" s="18" t="s">
        <v>740</v>
      </c>
      <c r="H100" s="3" t="str">
        <f>IFERROR(VLOOKUP(G100,'DATABASE-DRIFT_LATENT_HP_ERROR'!$B$16:$D$76,3,FALSE()),"")</f>
        <v>Kesiapan rescue tidak lagi sesuai risiko aktual pekerjaan.</v>
      </c>
      <c r="I100" s="1">
        <f>IF($A100="","",IFERROR(INDEX('INPUT-SIF_Questions'!$B$2:$B$300,MATCH($A100,'INPUT-SIF_Questions'!$A$2:$A$300,0)),""))</f>
        <v>1</v>
      </c>
      <c r="J100" s="1" t="str">
        <f>IF($A100="","",IFERROR(INDEX('INPUT-SIF_Questions'!$F$2:$F$300,MATCH($A100,'INPUT-SIF_Questions'!$A$2:$A$300,0)),""))</f>
        <v>Baseline</v>
      </c>
      <c r="K100" s="1" t="str">
        <f>IF($A100="","",IFERROR(INDEX('INPUT-SIF_Questions'!$G$2:$G$300,MATCH($A100,'INPUT-SIF_Questions'!$A$2:$A$300,0)),""))</f>
        <v>Y</v>
      </c>
      <c r="L100" s="1">
        <f>IF($A100="","",IFERROR(INDEX('INPUT-SIF_Questions'!$E$2:$E$300,MATCH($A100,'INPUT-SIF_Questions'!$A$2:$A$300,0)),""))</f>
        <v>0</v>
      </c>
    </row>
    <row r="101" spans="1:12" ht="42.75" customHeight="1" x14ac:dyDescent="0.45">
      <c r="A101" s="1" t="s">
        <v>333</v>
      </c>
      <c r="B101" s="1" t="s">
        <v>143</v>
      </c>
      <c r="C101" s="1" t="str">
        <f>IFERROR(VLOOKUP(B101,'DATABASE-DRIFT_LATENT_HP_ERROR'!$A$143:$B$160,2,FALSE()),"")</f>
        <v>Ground Disturbance or Excavation</v>
      </c>
      <c r="D101" s="27" t="s">
        <v>741</v>
      </c>
      <c r="E101" s="18" t="s">
        <v>630</v>
      </c>
      <c r="F101" s="1" t="str">
        <f>IFERROR(VLOOKUP(E101,'DATABASE-DRIFT_LATENT_HP_ERROR'!$A$4:$B$13,2,FALSE()),"")</f>
        <v>Drift.5</v>
      </c>
      <c r="G101" s="18" t="s">
        <v>742</v>
      </c>
      <c r="H101" s="3" t="str">
        <f>IFERROR(VLOOKUP(G101,'DATABASE-DRIFT_LATENT_HP_ERROR'!$B$16:$D$76,3,FALSE()),"")</f>
        <v>Toolbox meeting hanya membaca dokumen tanpa diskusi teknikal mendalam.</v>
      </c>
      <c r="I101" s="1">
        <f>IF($A101="","",IFERROR(INDEX('INPUT-SIF_Questions'!$B$2:$B$300,MATCH($A101,'INPUT-SIF_Questions'!$A$2:$A$300,0)),""))</f>
        <v>1</v>
      </c>
      <c r="J101" s="1" t="str">
        <f>IF($A101="","",IFERROR(INDEX('INPUT-SIF_Questions'!$F$2:$F$300,MATCH($A101,'INPUT-SIF_Questions'!$A$2:$A$300,0)),""))</f>
        <v>Baseline</v>
      </c>
      <c r="K101" s="1" t="str">
        <f>IF($A101="","",IFERROR(INDEX('INPUT-SIF_Questions'!$G$2:$G$300,MATCH($A101,'INPUT-SIF_Questions'!$A$2:$A$300,0)),""))</f>
        <v>Y</v>
      </c>
      <c r="L101" s="1">
        <f>IF($A101="","",IFERROR(INDEX('INPUT-SIF_Questions'!$E$2:$E$300,MATCH($A101,'INPUT-SIF_Questions'!$A$2:$A$300,0)),""))</f>
        <v>0</v>
      </c>
    </row>
    <row r="102" spans="1:12" ht="42.75" customHeight="1" x14ac:dyDescent="0.45">
      <c r="A102" s="1" t="s">
        <v>333</v>
      </c>
      <c r="B102" s="1" t="s">
        <v>143</v>
      </c>
      <c r="C102" s="1" t="str">
        <f>IFERROR(VLOOKUP(B102,'DATABASE-DRIFT_LATENT_HP_ERROR'!$A$143:$B$160,2,FALSE()),"")</f>
        <v>Ground Disturbance or Excavation</v>
      </c>
      <c r="D102" s="27" t="s">
        <v>743</v>
      </c>
      <c r="E102" s="18" t="s">
        <v>630</v>
      </c>
      <c r="F102" s="1" t="str">
        <f>IFERROR(VLOOKUP(E102,'DATABASE-DRIFT_LATENT_HP_ERROR'!$A$4:$B$13,2,FALSE()),"")</f>
        <v>Drift.5</v>
      </c>
      <c r="G102" s="18" t="s">
        <v>649</v>
      </c>
      <c r="H102" s="3" t="str">
        <f>IFERROR(VLOOKUP(G102,'DATABASE-DRIFT_LATENT_HP_ERROR'!$B$16:$D$76,3,FALSE()),"")</f>
        <v>Equipment digunakan di luar batas desain normal.</v>
      </c>
      <c r="I102" s="1">
        <f>IF($A102="","",IFERROR(INDEX('INPUT-SIF_Questions'!$B$2:$B$300,MATCH($A102,'INPUT-SIF_Questions'!$A$2:$A$300,0)),""))</f>
        <v>1</v>
      </c>
      <c r="J102" s="1" t="str">
        <f>IF($A102="","",IFERROR(INDEX('INPUT-SIF_Questions'!$F$2:$F$300,MATCH($A102,'INPUT-SIF_Questions'!$A$2:$A$300,0)),""))</f>
        <v>Baseline</v>
      </c>
      <c r="K102" s="1" t="str">
        <f>IF($A102="","",IFERROR(INDEX('INPUT-SIF_Questions'!$G$2:$G$300,MATCH($A102,'INPUT-SIF_Questions'!$A$2:$A$300,0)),""))</f>
        <v>Y</v>
      </c>
      <c r="L102" s="1">
        <f>IF($A102="","",IFERROR(INDEX('INPUT-SIF_Questions'!$E$2:$E$300,MATCH($A102,'INPUT-SIF_Questions'!$A$2:$A$300,0)),""))</f>
        <v>0</v>
      </c>
    </row>
    <row r="103" spans="1:12" ht="28.5" customHeight="1" x14ac:dyDescent="0.45">
      <c r="A103" s="1" t="s">
        <v>348</v>
      </c>
      <c r="B103" s="1" t="s">
        <v>34</v>
      </c>
      <c r="C103" s="1" t="str">
        <f>IFERROR(VLOOKUP(B103,'DATABASE-DRIFT_LATENT_HP_ERROR'!$A$143:$B$160,2,FALSE()),"")</f>
        <v>Work at Height</v>
      </c>
      <c r="D103" s="27" t="s">
        <v>744</v>
      </c>
      <c r="E103" s="18" t="s">
        <v>635</v>
      </c>
      <c r="F103" s="1" t="str">
        <f>IFERROR(VLOOKUP(E103,'DATABASE-DRIFT_LATENT_HP_ERROR'!$A$4:$B$13,2,FALSE()),"")</f>
        <v>Drift.7</v>
      </c>
      <c r="G103" s="18" t="s">
        <v>649</v>
      </c>
      <c r="H103" s="3" t="str">
        <f>IFERROR(VLOOKUP(G103,'DATABASE-DRIFT_LATENT_HP_ERROR'!$B$16:$D$76,3,FALSE()),"")</f>
        <v>Equipment digunakan di luar batas desain normal.</v>
      </c>
      <c r="I103" s="1">
        <f>IF($A103="","",IFERROR(INDEX('INPUT-SIF_Questions'!$B$2:$B$300,MATCH($A103,'INPUT-SIF_Questions'!$A$2:$A$300,0)),""))</f>
        <v>1</v>
      </c>
      <c r="J103" s="1" t="str">
        <f>IF($A103="","",IFERROR(INDEX('INPUT-SIF_Questions'!$F$2:$F$300,MATCH($A103,'INPUT-SIF_Questions'!$A$2:$A$300,0)),""))</f>
        <v>Baseline</v>
      </c>
      <c r="K103" s="1" t="str">
        <f>IF($A103="","",IFERROR(INDEX('INPUT-SIF_Questions'!$G$2:$G$300,MATCH($A103,'INPUT-SIF_Questions'!$A$2:$A$300,0)),""))</f>
        <v>Y</v>
      </c>
      <c r="L103" s="1">
        <f>IF($A103="","",IFERROR(INDEX('INPUT-SIF_Questions'!$E$2:$E$300,MATCH($A103,'INPUT-SIF_Questions'!$A$2:$A$300,0)),""))</f>
        <v>0</v>
      </c>
    </row>
    <row r="104" spans="1:12" ht="14.25" customHeight="1" x14ac:dyDescent="0.45">
      <c r="A104" s="1" t="s">
        <v>348</v>
      </c>
      <c r="B104" s="1" t="s">
        <v>34</v>
      </c>
      <c r="C104" s="1" t="str">
        <f>IFERROR(VLOOKUP(B104,'DATABASE-DRIFT_LATENT_HP_ERROR'!$A$143:$B$160,2,FALSE()),"")</f>
        <v>Work at Height</v>
      </c>
      <c r="D104" s="27" t="s">
        <v>745</v>
      </c>
      <c r="E104" s="18" t="s">
        <v>625</v>
      </c>
      <c r="F104" s="1" t="str">
        <f>IFERROR(VLOOKUP(E104,'DATABASE-DRIFT_LATENT_HP_ERROR'!$A$4:$B$13,2,FALSE()),"")</f>
        <v>Drift.1</v>
      </c>
      <c r="G104" s="18" t="s">
        <v>626</v>
      </c>
      <c r="H104" s="3" t="str">
        <f>IFERROR(VLOOKUP(G104,'DATABASE-DRIFT_LATENT_HP_ERROR'!$B$16:$D$76,3,FALSE()),"")</f>
        <v>Interpretasi prosedur berbeda antar personel atau departemen.</v>
      </c>
      <c r="I104" s="1">
        <f>IF($A104="","",IFERROR(INDEX('INPUT-SIF_Questions'!$B$2:$B$300,MATCH($A104,'INPUT-SIF_Questions'!$A$2:$A$300,0)),""))</f>
        <v>1</v>
      </c>
      <c r="J104" s="1" t="str">
        <f>IF($A104="","",IFERROR(INDEX('INPUT-SIF_Questions'!$F$2:$F$300,MATCH($A104,'INPUT-SIF_Questions'!$A$2:$A$300,0)),""))</f>
        <v>Baseline</v>
      </c>
      <c r="K104" s="1" t="str">
        <f>IF($A104="","",IFERROR(INDEX('INPUT-SIF_Questions'!$G$2:$G$300,MATCH($A104,'INPUT-SIF_Questions'!$A$2:$A$300,0)),""))</f>
        <v>Y</v>
      </c>
      <c r="L104" s="1">
        <f>IF($A104="","",IFERROR(INDEX('INPUT-SIF_Questions'!$E$2:$E$300,MATCH($A104,'INPUT-SIF_Questions'!$A$2:$A$300,0)),""))</f>
        <v>0</v>
      </c>
    </row>
    <row r="105" spans="1:12" ht="21" customHeight="1" x14ac:dyDescent="0.45">
      <c r="A105" s="1" t="s">
        <v>348</v>
      </c>
      <c r="B105" s="1" t="s">
        <v>34</v>
      </c>
      <c r="C105" s="1" t="str">
        <f>IFERROR(VLOOKUP(B105,'DATABASE-DRIFT_LATENT_HP_ERROR'!$A$143:$B$160,2,FALSE()),"")</f>
        <v>Work at Height</v>
      </c>
      <c r="D105" s="27" t="s">
        <v>746</v>
      </c>
      <c r="E105" s="18" t="s">
        <v>630</v>
      </c>
      <c r="F105" s="1" t="str">
        <f>IFERROR(VLOOKUP(E105,'DATABASE-DRIFT_LATENT_HP_ERROR'!$A$4:$B$13,2,FALSE()),"")</f>
        <v>Drift.5</v>
      </c>
      <c r="G105" s="18" t="s">
        <v>659</v>
      </c>
      <c r="H105" s="3" t="str">
        <f>IFERROR(VLOOKUP(G105,'DATABASE-DRIFT_LATENT_HP_ERROR'!$B$16:$D$76,3,FALSE()),"")</f>
        <v>Critical safeguard mulai kehilangan efektivitasnya.</v>
      </c>
      <c r="I105" s="1">
        <f>IF($A105="","",IFERROR(INDEX('INPUT-SIF_Questions'!$B$2:$B$300,MATCH($A105,'INPUT-SIF_Questions'!$A$2:$A$300,0)),""))</f>
        <v>1</v>
      </c>
      <c r="J105" s="1" t="str">
        <f>IF($A105="","",IFERROR(INDEX('INPUT-SIF_Questions'!$F$2:$F$300,MATCH($A105,'INPUT-SIF_Questions'!$A$2:$A$300,0)),""))</f>
        <v>Baseline</v>
      </c>
      <c r="K105" s="1" t="str">
        <f>IF($A105="","",IFERROR(INDEX('INPUT-SIF_Questions'!$G$2:$G$300,MATCH($A105,'INPUT-SIF_Questions'!$A$2:$A$300,0)),""))</f>
        <v>Y</v>
      </c>
      <c r="L105" s="1">
        <f>IF($A105="","",IFERROR(INDEX('INPUT-SIF_Questions'!$E$2:$E$300,MATCH($A105,'INPUT-SIF_Questions'!$A$2:$A$300,0)),""))</f>
        <v>0</v>
      </c>
    </row>
    <row r="106" spans="1:12" ht="21" customHeight="1" x14ac:dyDescent="0.45">
      <c r="A106" s="1" t="s">
        <v>348</v>
      </c>
      <c r="B106" s="1" t="s">
        <v>34</v>
      </c>
      <c r="C106" s="1" t="str">
        <f>IFERROR(VLOOKUP(B106,'DATABASE-DRIFT_LATENT_HP_ERROR'!$A$143:$B$160,2,FALSE()),"")</f>
        <v>Work at Height</v>
      </c>
      <c r="D106" s="27" t="s">
        <v>747</v>
      </c>
      <c r="E106" s="18" t="s">
        <v>640</v>
      </c>
      <c r="F106" s="1" t="str">
        <f>IFERROR(VLOOKUP(E106,'DATABASE-DRIFT_LATENT_HP_ERROR'!$A$4:$B$13,2,FALSE()),"")</f>
        <v>Drift.4</v>
      </c>
      <c r="G106" s="18" t="s">
        <v>643</v>
      </c>
      <c r="H106" s="3" t="str">
        <f>IFERROR(VLOOKUP(G106,'DATABASE-DRIFT_LATENT_HP_ERROR'!$B$16:$D$76,3,FALSE()),"")</f>
        <v>SWC tidak digunakan sebagai critical thinking tool.</v>
      </c>
      <c r="I106" s="1">
        <f>IF($A106="","",IFERROR(INDEX('INPUT-SIF_Questions'!$B$2:$B$300,MATCH($A106,'INPUT-SIF_Questions'!$A$2:$A$300,0)),""))</f>
        <v>1</v>
      </c>
      <c r="J106" s="1" t="str">
        <f>IF($A106="","",IFERROR(INDEX('INPUT-SIF_Questions'!$F$2:$F$300,MATCH($A106,'INPUT-SIF_Questions'!$A$2:$A$300,0)),""))</f>
        <v>Baseline</v>
      </c>
      <c r="K106" s="1" t="str">
        <f>IF($A106="","",IFERROR(INDEX('INPUT-SIF_Questions'!$G$2:$G$300,MATCH($A106,'INPUT-SIF_Questions'!$A$2:$A$300,0)),""))</f>
        <v>Y</v>
      </c>
      <c r="L106" s="1">
        <f>IF($A106="","",IFERROR(INDEX('INPUT-SIF_Questions'!$E$2:$E$300,MATCH($A106,'INPUT-SIF_Questions'!$A$2:$A$300,0)),""))</f>
        <v>0</v>
      </c>
    </row>
    <row r="107" spans="1:12" ht="14.25" customHeight="1" x14ac:dyDescent="0.45">
      <c r="A107" s="1" t="s">
        <v>366</v>
      </c>
      <c r="B107" s="1" t="s">
        <v>34</v>
      </c>
      <c r="C107" s="1" t="str">
        <f>IFERROR(VLOOKUP(B107,'DATABASE-DRIFT_LATENT_HP_ERROR'!$A$143:$B$160,2,FALSE()),"")</f>
        <v>Work at Height</v>
      </c>
      <c r="D107" s="27" t="s">
        <v>748</v>
      </c>
      <c r="E107" s="18" t="s">
        <v>625</v>
      </c>
      <c r="F107" s="1" t="str">
        <f>IFERROR(VLOOKUP(E107,'DATABASE-DRIFT_LATENT_HP_ERROR'!$A$4:$B$13,2,FALSE()),"")</f>
        <v>Drift.1</v>
      </c>
      <c r="G107" s="18" t="s">
        <v>626</v>
      </c>
      <c r="H107" s="3" t="str">
        <f>IFERROR(VLOOKUP(G107,'DATABASE-DRIFT_LATENT_HP_ERROR'!$B$16:$D$76,3,FALSE()),"")</f>
        <v>Interpretasi prosedur berbeda antar personel atau departemen.</v>
      </c>
      <c r="I107" s="1">
        <f>IF($A107="","",IFERROR(INDEX('INPUT-SIF_Questions'!$B$2:$B$300,MATCH($A107,'INPUT-SIF_Questions'!$A$2:$A$300,0)),""))</f>
        <v>1</v>
      </c>
      <c r="J107" s="1" t="str">
        <f>IF($A107="","",IFERROR(INDEX('INPUT-SIF_Questions'!$F$2:$F$300,MATCH($A107,'INPUT-SIF_Questions'!$A$2:$A$300,0)),""))</f>
        <v>Baseline</v>
      </c>
      <c r="K107" s="1" t="str">
        <f>IF($A107="","",IFERROR(INDEX('INPUT-SIF_Questions'!$G$2:$G$300,MATCH($A107,'INPUT-SIF_Questions'!$A$2:$A$300,0)),""))</f>
        <v>Y</v>
      </c>
      <c r="L107" s="1">
        <f>IF($A107="","",IFERROR(INDEX('INPUT-SIF_Questions'!$E$2:$E$300,MATCH($A107,'INPUT-SIF_Questions'!$A$2:$A$300,0)),""))</f>
        <v>0</v>
      </c>
    </row>
    <row r="108" spans="1:12" ht="14.25" customHeight="1" x14ac:dyDescent="0.45">
      <c r="A108" s="1" t="s">
        <v>366</v>
      </c>
      <c r="B108" s="1" t="s">
        <v>34</v>
      </c>
      <c r="C108" s="1" t="str">
        <f>IFERROR(VLOOKUP(B108,'DATABASE-DRIFT_LATENT_HP_ERROR'!$A$143:$B$160,2,FALSE()),"")</f>
        <v>Work at Height</v>
      </c>
      <c r="D108" s="27" t="s">
        <v>749</v>
      </c>
      <c r="E108" s="18" t="s">
        <v>750</v>
      </c>
      <c r="F108" s="1" t="str">
        <f>IFERROR(VLOOKUP(E108,'DATABASE-DRIFT_LATENT_HP_ERROR'!$A$4:$B$13,2,FALSE()),"")</f>
        <v>Drift.6</v>
      </c>
      <c r="G108" s="18" t="s">
        <v>751</v>
      </c>
      <c r="H108" s="3" t="str">
        <f>IFERROR(VLOOKUP(G108,'DATABASE-DRIFT_LATENT_HP_ERROR'!$B$16:$D$76,3,FALSE()),"")</f>
        <v>Informasi disampaikan berdasarkan asumsi tanpa konfirmasi dua arah.</v>
      </c>
      <c r="I108" s="1">
        <f>IF($A108="","",IFERROR(INDEX('INPUT-SIF_Questions'!$B$2:$B$300,MATCH($A108,'INPUT-SIF_Questions'!$A$2:$A$300,0)),""))</f>
        <v>1</v>
      </c>
      <c r="J108" s="1" t="str">
        <f>IF($A108="","",IFERROR(INDEX('INPUT-SIF_Questions'!$F$2:$F$300,MATCH($A108,'INPUT-SIF_Questions'!$A$2:$A$300,0)),""))</f>
        <v>Baseline</v>
      </c>
      <c r="K108" s="1" t="str">
        <f>IF($A108="","",IFERROR(INDEX('INPUT-SIF_Questions'!$G$2:$G$300,MATCH($A108,'INPUT-SIF_Questions'!$A$2:$A$300,0)),""))</f>
        <v>Y</v>
      </c>
      <c r="L108" s="1">
        <f>IF($A108="","",IFERROR(INDEX('INPUT-SIF_Questions'!$E$2:$E$300,MATCH($A108,'INPUT-SIF_Questions'!$A$2:$A$300,0)),""))</f>
        <v>0</v>
      </c>
    </row>
    <row r="109" spans="1:12" ht="21" customHeight="1" x14ac:dyDescent="0.45">
      <c r="A109" s="1" t="s">
        <v>366</v>
      </c>
      <c r="B109" s="1" t="s">
        <v>34</v>
      </c>
      <c r="C109" s="1" t="str">
        <f>IFERROR(VLOOKUP(B109,'DATABASE-DRIFT_LATENT_HP_ERROR'!$A$143:$B$160,2,FALSE()),"")</f>
        <v>Work at Height</v>
      </c>
      <c r="D109" s="27" t="s">
        <v>752</v>
      </c>
      <c r="E109" s="18" t="s">
        <v>635</v>
      </c>
      <c r="F109" s="1" t="str">
        <f>IFERROR(VLOOKUP(E109,'DATABASE-DRIFT_LATENT_HP_ERROR'!$A$4:$B$13,2,FALSE()),"")</f>
        <v>Drift.7</v>
      </c>
      <c r="G109" s="18" t="s">
        <v>649</v>
      </c>
      <c r="H109" s="3" t="str">
        <f>IFERROR(VLOOKUP(G109,'DATABASE-DRIFT_LATENT_HP_ERROR'!$B$16:$D$76,3,FALSE()),"")</f>
        <v>Equipment digunakan di luar batas desain normal.</v>
      </c>
      <c r="I109" s="1">
        <f>IF($A109="","",IFERROR(INDEX('INPUT-SIF_Questions'!$B$2:$B$300,MATCH($A109,'INPUT-SIF_Questions'!$A$2:$A$300,0)),""))</f>
        <v>1</v>
      </c>
      <c r="J109" s="1" t="str">
        <f>IF($A109="","",IFERROR(INDEX('INPUT-SIF_Questions'!$F$2:$F$300,MATCH($A109,'INPUT-SIF_Questions'!$A$2:$A$300,0)),""))</f>
        <v>Baseline</v>
      </c>
      <c r="K109" s="1" t="str">
        <f>IF($A109="","",IFERROR(INDEX('INPUT-SIF_Questions'!$G$2:$G$300,MATCH($A109,'INPUT-SIF_Questions'!$A$2:$A$300,0)),""))</f>
        <v>Y</v>
      </c>
      <c r="L109" s="1">
        <f>IF($A109="","",IFERROR(INDEX('INPUT-SIF_Questions'!$E$2:$E$300,MATCH($A109,'INPUT-SIF_Questions'!$A$2:$A$300,0)),""))</f>
        <v>0</v>
      </c>
    </row>
    <row r="110" spans="1:12" ht="14.25" customHeight="1" x14ac:dyDescent="0.45">
      <c r="A110" s="1" t="s">
        <v>370</v>
      </c>
      <c r="B110" s="1" t="s">
        <v>143</v>
      </c>
      <c r="C110" s="1" t="str">
        <f>IFERROR(VLOOKUP(B110,'DATABASE-DRIFT_LATENT_HP_ERROR'!$A$143:$B$160,2,FALSE()),"")</f>
        <v>Ground Disturbance or Excavation</v>
      </c>
      <c r="D110" s="27" t="s">
        <v>753</v>
      </c>
      <c r="E110" s="18" t="s">
        <v>640</v>
      </c>
      <c r="F110" s="1" t="str">
        <f>IFERROR(VLOOKUP(E110,'DATABASE-DRIFT_LATENT_HP_ERROR'!$A$4:$B$13,2,FALSE()),"")</f>
        <v>Drift.4</v>
      </c>
      <c r="G110" s="18" t="s">
        <v>742</v>
      </c>
      <c r="H110" s="3" t="str">
        <f>IFERROR(VLOOKUP(G110,'DATABASE-DRIFT_LATENT_HP_ERROR'!$B$16:$D$76,3,FALSE()),"")</f>
        <v>Toolbox meeting hanya membaca dokumen tanpa diskusi teknikal mendalam.</v>
      </c>
      <c r="I110" s="1">
        <f>IF($A110="","",IFERROR(INDEX('INPUT-SIF_Questions'!$B$2:$B$300,MATCH($A110,'INPUT-SIF_Questions'!$A$2:$A$300,0)),""))</f>
        <v>1</v>
      </c>
      <c r="J110" s="1" t="str">
        <f>IF($A110="","",IFERROR(INDEX('INPUT-SIF_Questions'!$F$2:$F$300,MATCH($A110,'INPUT-SIF_Questions'!$A$2:$A$300,0)),""))</f>
        <v>Baseline</v>
      </c>
      <c r="K110" s="1" t="str">
        <f>IF($A110="","",IFERROR(INDEX('INPUT-SIF_Questions'!$G$2:$G$300,MATCH($A110,'INPUT-SIF_Questions'!$A$2:$A$300,0)),""))</f>
        <v>Y</v>
      </c>
      <c r="L110" s="1">
        <f>IF($A110="","",IFERROR(INDEX('INPUT-SIF_Questions'!$E$2:$E$300,MATCH($A110,'INPUT-SIF_Questions'!$A$2:$A$300,0)),""))</f>
        <v>0</v>
      </c>
    </row>
    <row r="111" spans="1:12" ht="42.75" customHeight="1" x14ac:dyDescent="0.45">
      <c r="A111" s="1" t="s">
        <v>378</v>
      </c>
      <c r="B111" s="1" t="s">
        <v>207</v>
      </c>
      <c r="C111" s="1" t="str">
        <f>IFERROR(VLOOKUP(B111,'DATABASE-DRIFT_LATENT_HP_ERROR'!$A$143:$B$160,2,FALSE()),"")</f>
        <v>Confined Space Entry</v>
      </c>
      <c r="D111" s="27" t="s">
        <v>754</v>
      </c>
      <c r="E111" s="18" t="s">
        <v>630</v>
      </c>
      <c r="F111" s="1" t="str">
        <f>IFERROR(VLOOKUP(E111,'DATABASE-DRIFT_LATENT_HP_ERROR'!$A$4:$B$13,2,FALSE()),"")</f>
        <v>Drift.5</v>
      </c>
      <c r="G111" s="18" t="s">
        <v>755</v>
      </c>
      <c r="H111" s="3" t="str">
        <f>IFERROR(VLOOKUP(G111,'DATABASE-DRIFT_LATENT_HP_ERROR'!$B$16:$D$76,3,FALSE()),"")</f>
        <v>Kondisi tanah tidak dievaluasi ulang saat terjadi perubahan kondisi.</v>
      </c>
      <c r="I111" s="1">
        <f>IF($A111="","",IFERROR(INDEX('INPUT-SIF_Questions'!$B$2:$B$300,MATCH($A111,'INPUT-SIF_Questions'!$A$2:$A$300,0)),""))</f>
        <v>1</v>
      </c>
      <c r="J111" s="1" t="str">
        <f>IF($A111="","",IFERROR(INDEX('INPUT-SIF_Questions'!$F$2:$F$300,MATCH($A111,'INPUT-SIF_Questions'!$A$2:$A$300,0)),""))</f>
        <v>Baseline</v>
      </c>
      <c r="K111" s="1" t="str">
        <f>IF($A111="","",IFERROR(INDEX('INPUT-SIF_Questions'!$G$2:$G$300,MATCH($A111,'INPUT-SIF_Questions'!$A$2:$A$300,0)),""))</f>
        <v>Y</v>
      </c>
      <c r="L111" s="1">
        <f>IF($A111="","",IFERROR(INDEX('INPUT-SIF_Questions'!$E$2:$E$300,MATCH($A111,'INPUT-SIF_Questions'!$A$2:$A$300,0)),""))</f>
        <v>0</v>
      </c>
    </row>
    <row r="112" spans="1:12" ht="49.5" customHeight="1" x14ac:dyDescent="0.45">
      <c r="A112" s="1" t="s">
        <v>378</v>
      </c>
      <c r="B112" s="1" t="s">
        <v>207</v>
      </c>
      <c r="C112" s="1" t="str">
        <f>IFERROR(VLOOKUP(B112,'DATABASE-DRIFT_LATENT_HP_ERROR'!$A$143:$B$160,2,FALSE()),"")</f>
        <v>Confined Space Entry</v>
      </c>
      <c r="D112" s="27" t="s">
        <v>756</v>
      </c>
      <c r="E112" s="18" t="s">
        <v>630</v>
      </c>
      <c r="F112" s="1" t="str">
        <f>IFERROR(VLOOKUP(E112,'DATABASE-DRIFT_LATENT_HP_ERROR'!$A$4:$B$13,2,FALSE()),"")</f>
        <v>Drift.5</v>
      </c>
      <c r="G112" s="18" t="s">
        <v>757</v>
      </c>
      <c r="H112" s="3" t="str">
        <f>IFERROR(VLOOKUP(G112,'DATABASE-DRIFT_LATENT_HP_ERROR'!$B$16:$D$76,3,FALSE()),"")</f>
        <v>Perhitungan free fall distance tidak dilakukan.</v>
      </c>
      <c r="I112" s="1">
        <f>IF($A112="","",IFERROR(INDEX('INPUT-SIF_Questions'!$B$2:$B$300,MATCH($A112,'INPUT-SIF_Questions'!$A$2:$A$300,0)),""))</f>
        <v>1</v>
      </c>
      <c r="J112" s="1" t="str">
        <f>IF($A112="","",IFERROR(INDEX('INPUT-SIF_Questions'!$F$2:$F$300,MATCH($A112,'INPUT-SIF_Questions'!$A$2:$A$300,0)),""))</f>
        <v>Baseline</v>
      </c>
      <c r="K112" s="1" t="str">
        <f>IF($A112="","",IFERROR(INDEX('INPUT-SIF_Questions'!$G$2:$G$300,MATCH($A112,'INPUT-SIF_Questions'!$A$2:$A$300,0)),""))</f>
        <v>Y</v>
      </c>
      <c r="L112" s="1">
        <f>IF($A112="","",IFERROR(INDEX('INPUT-SIF_Questions'!$E$2:$E$300,MATCH($A112,'INPUT-SIF_Questions'!$A$2:$A$300,0)),""))</f>
        <v>0</v>
      </c>
    </row>
    <row r="113" spans="1:12" ht="49.5" customHeight="1" x14ac:dyDescent="0.45">
      <c r="A113" s="1" t="s">
        <v>378</v>
      </c>
      <c r="B113" s="1" t="s">
        <v>207</v>
      </c>
      <c r="C113" s="1" t="str">
        <f>IFERROR(VLOOKUP(B113,'DATABASE-DRIFT_LATENT_HP_ERROR'!$A$143:$B$160,2,FALSE()),"")</f>
        <v>Confined Space Entry</v>
      </c>
      <c r="D113" s="27" t="s">
        <v>758</v>
      </c>
      <c r="E113" s="18" t="s">
        <v>635</v>
      </c>
      <c r="F113" s="1" t="str">
        <f>IFERROR(VLOOKUP(E113,'DATABASE-DRIFT_LATENT_HP_ERROR'!$A$4:$B$13,2,FALSE()),"")</f>
        <v>Drift.7</v>
      </c>
      <c r="G113" s="18" t="s">
        <v>759</v>
      </c>
      <c r="H113" s="3" t="str">
        <f>IFERROR(VLOOKUP(G113,'DATABASE-DRIFT_LATENT_HP_ERROR'!$B$16:$D$76,3,FALSE()),"")</f>
        <v>Verifikasi dilakukan administratif tanpa pembuktian efektivitas di lapangan.</v>
      </c>
      <c r="I113" s="1">
        <f>IF($A113="","",IFERROR(INDEX('INPUT-SIF_Questions'!$B$2:$B$300,MATCH($A113,'INPUT-SIF_Questions'!$A$2:$A$300,0)),""))</f>
        <v>1</v>
      </c>
      <c r="J113" s="1" t="str">
        <f>IF($A113="","",IFERROR(INDEX('INPUT-SIF_Questions'!$F$2:$F$300,MATCH($A113,'INPUT-SIF_Questions'!$A$2:$A$300,0)),""))</f>
        <v>Baseline</v>
      </c>
      <c r="K113" s="1" t="str">
        <f>IF($A113="","",IFERROR(INDEX('INPUT-SIF_Questions'!$G$2:$G$300,MATCH($A113,'INPUT-SIF_Questions'!$A$2:$A$300,0)),""))</f>
        <v>Y</v>
      </c>
      <c r="L113" s="1">
        <f>IF($A113="","",IFERROR(INDEX('INPUT-SIF_Questions'!$E$2:$E$300,MATCH($A113,'INPUT-SIF_Questions'!$A$2:$A$300,0)),""))</f>
        <v>0</v>
      </c>
    </row>
    <row r="114" spans="1:12" ht="49.5" customHeight="1" x14ac:dyDescent="0.45">
      <c r="A114" s="1" t="s">
        <v>378</v>
      </c>
      <c r="B114" s="1" t="s">
        <v>207</v>
      </c>
      <c r="C114" s="1" t="str">
        <f>IFERROR(VLOOKUP(B114,'DATABASE-DRIFT_LATENT_HP_ERROR'!$A$143:$B$160,2,FALSE()),"")</f>
        <v>Confined Space Entry</v>
      </c>
      <c r="D114" s="27" t="s">
        <v>760</v>
      </c>
      <c r="E114" s="18" t="s">
        <v>630</v>
      </c>
      <c r="F114" s="1" t="str">
        <f>IFERROR(VLOOKUP(E114,'DATABASE-DRIFT_LATENT_HP_ERROR'!$A$4:$B$13,2,FALSE()),"")</f>
        <v>Drift.5</v>
      </c>
      <c r="G114" s="18" t="s">
        <v>663</v>
      </c>
      <c r="H114" s="3" t="str">
        <f>IFERROR(VLOOKUP(G114,'DATABASE-DRIFT_LATENT_HP_ERROR'!$B$16:$D$76,3,FALSE()),"")</f>
        <v>Persetujuan diberikan tanpa memastikan critical safeguard efektif.</v>
      </c>
      <c r="I114" s="1">
        <f>IF($A114="","",IFERROR(INDEX('INPUT-SIF_Questions'!$B$2:$B$300,MATCH($A114,'INPUT-SIF_Questions'!$A$2:$A$300,0)),""))</f>
        <v>1</v>
      </c>
      <c r="J114" s="1" t="str">
        <f>IF($A114="","",IFERROR(INDEX('INPUT-SIF_Questions'!$F$2:$F$300,MATCH($A114,'INPUT-SIF_Questions'!$A$2:$A$300,0)),""))</f>
        <v>Baseline</v>
      </c>
      <c r="K114" s="1" t="str">
        <f>IF($A114="","",IFERROR(INDEX('INPUT-SIF_Questions'!$G$2:$G$300,MATCH($A114,'INPUT-SIF_Questions'!$A$2:$A$300,0)),""))</f>
        <v>Y</v>
      </c>
      <c r="L114" s="1">
        <f>IF($A114="","",IFERROR(INDEX('INPUT-SIF_Questions'!$E$2:$E$300,MATCH($A114,'INPUT-SIF_Questions'!$A$2:$A$300,0)),""))</f>
        <v>0</v>
      </c>
    </row>
    <row r="115" spans="1:12" ht="49.5" customHeight="1" x14ac:dyDescent="0.45">
      <c r="A115" s="1" t="s">
        <v>378</v>
      </c>
      <c r="B115" s="1" t="s">
        <v>207</v>
      </c>
      <c r="C115" s="1" t="str">
        <f>IFERROR(VLOOKUP(B115,'DATABASE-DRIFT_LATENT_HP_ERROR'!$A$143:$B$160,2,FALSE()),"")</f>
        <v>Confined Space Entry</v>
      </c>
      <c r="D115" s="27" t="s">
        <v>761</v>
      </c>
      <c r="E115" s="18" t="s">
        <v>630</v>
      </c>
      <c r="F115" s="1" t="str">
        <f>IFERROR(VLOOKUP(E115,'DATABASE-DRIFT_LATENT_HP_ERROR'!$A$4:$B$13,2,FALSE()),"")</f>
        <v>Drift.5</v>
      </c>
      <c r="G115" s="18" t="s">
        <v>737</v>
      </c>
      <c r="H115" s="3" t="str">
        <f>IFERROR(VLOOKUP(G115,'DATABASE-DRIFT_LATENT_HP_ERROR'!$B$16:$D$76,3,FALSE()),"")</f>
        <v>Temporary modification dilakukan tanpa engineering review formal.</v>
      </c>
      <c r="I115" s="1">
        <f>IF($A115="","",IFERROR(INDEX('INPUT-SIF_Questions'!$B$2:$B$300,MATCH($A115,'INPUT-SIF_Questions'!$A$2:$A$300,0)),""))</f>
        <v>1</v>
      </c>
      <c r="J115" s="1" t="str">
        <f>IF($A115="","",IFERROR(INDEX('INPUT-SIF_Questions'!$F$2:$F$300,MATCH($A115,'INPUT-SIF_Questions'!$A$2:$A$300,0)),""))</f>
        <v>Baseline</v>
      </c>
      <c r="K115" s="1" t="str">
        <f>IF($A115="","",IFERROR(INDEX('INPUT-SIF_Questions'!$G$2:$G$300,MATCH($A115,'INPUT-SIF_Questions'!$A$2:$A$300,0)),""))</f>
        <v>Y</v>
      </c>
      <c r="L115" s="1">
        <f>IF($A115="","",IFERROR(INDEX('INPUT-SIF_Questions'!$E$2:$E$300,MATCH($A115,'INPUT-SIF_Questions'!$A$2:$A$300,0)),""))</f>
        <v>0</v>
      </c>
    </row>
    <row r="116" spans="1:12" ht="49.5" customHeight="1" x14ac:dyDescent="0.45">
      <c r="A116" s="1" t="s">
        <v>378</v>
      </c>
      <c r="B116" s="1" t="s">
        <v>207</v>
      </c>
      <c r="C116" s="1" t="str">
        <f>IFERROR(VLOOKUP(B116,'DATABASE-DRIFT_LATENT_HP_ERROR'!$A$143:$B$160,2,FALSE()),"")</f>
        <v>Confined Space Entry</v>
      </c>
      <c r="D116" s="27" t="s">
        <v>762</v>
      </c>
      <c r="E116" s="18" t="s">
        <v>630</v>
      </c>
      <c r="F116" s="1" t="str">
        <f>IFERROR(VLOOKUP(E116,'DATABASE-DRIFT_LATENT_HP_ERROR'!$A$4:$B$13,2,FALSE()),"")</f>
        <v>Drift.5</v>
      </c>
      <c r="G116" s="18" t="s">
        <v>740</v>
      </c>
      <c r="H116" s="3" t="str">
        <f>IFERROR(VLOOKUP(G116,'DATABASE-DRIFT_LATENT_HP_ERROR'!$B$16:$D$76,3,FALSE()),"")</f>
        <v>Kesiapan rescue tidak lagi sesuai risiko aktual pekerjaan.</v>
      </c>
      <c r="I116" s="1">
        <f>IF($A116="","",IFERROR(INDEX('INPUT-SIF_Questions'!$B$2:$B$300,MATCH($A116,'INPUT-SIF_Questions'!$A$2:$A$300,0)),""))</f>
        <v>1</v>
      </c>
      <c r="J116" s="1" t="str">
        <f>IF($A116="","",IFERROR(INDEX('INPUT-SIF_Questions'!$F$2:$F$300,MATCH($A116,'INPUT-SIF_Questions'!$A$2:$A$300,0)),""))</f>
        <v>Baseline</v>
      </c>
      <c r="K116" s="1" t="str">
        <f>IF($A116="","",IFERROR(INDEX('INPUT-SIF_Questions'!$G$2:$G$300,MATCH($A116,'INPUT-SIF_Questions'!$A$2:$A$300,0)),""))</f>
        <v>Y</v>
      </c>
      <c r="L116" s="1">
        <f>IF($A116="","",IFERROR(INDEX('INPUT-SIF_Questions'!$E$2:$E$300,MATCH($A116,'INPUT-SIF_Questions'!$A$2:$A$300,0)),""))</f>
        <v>0</v>
      </c>
    </row>
    <row r="117" spans="1:12" ht="42.75" customHeight="1" x14ac:dyDescent="0.45">
      <c r="A117" s="1" t="s">
        <v>378</v>
      </c>
      <c r="B117" s="1" t="s">
        <v>207</v>
      </c>
      <c r="C117" s="1" t="str">
        <f>IFERROR(VLOOKUP(B117,'DATABASE-DRIFT_LATENT_HP_ERROR'!$A$143:$B$160,2,FALSE()),"")</f>
        <v>Confined Space Entry</v>
      </c>
      <c r="D117" s="27" t="s">
        <v>763</v>
      </c>
      <c r="E117" s="18" t="s">
        <v>635</v>
      </c>
      <c r="F117" s="1" t="str">
        <f>IFERROR(VLOOKUP(E117,'DATABASE-DRIFT_LATENT_HP_ERROR'!$A$4:$B$13,2,FALSE()),"")</f>
        <v>Drift.7</v>
      </c>
      <c r="G117" s="18" t="s">
        <v>737</v>
      </c>
      <c r="H117" s="3" t="str">
        <f>IFERROR(VLOOKUP(G117,'DATABASE-DRIFT_LATENT_HP_ERROR'!$B$16:$D$76,3,FALSE()),"")</f>
        <v>Temporary modification dilakukan tanpa engineering review formal.</v>
      </c>
      <c r="I117" s="1">
        <f>IF($A117="","",IFERROR(INDEX('INPUT-SIF_Questions'!$B$2:$B$300,MATCH($A117,'INPUT-SIF_Questions'!$A$2:$A$300,0)),""))</f>
        <v>1</v>
      </c>
      <c r="J117" s="1" t="str">
        <f>IF($A117="","",IFERROR(INDEX('INPUT-SIF_Questions'!$F$2:$F$300,MATCH($A117,'INPUT-SIF_Questions'!$A$2:$A$300,0)),""))</f>
        <v>Baseline</v>
      </c>
      <c r="K117" s="1" t="str">
        <f>IF($A117="","",IFERROR(INDEX('INPUT-SIF_Questions'!$G$2:$G$300,MATCH($A117,'INPUT-SIF_Questions'!$A$2:$A$300,0)),""))</f>
        <v>Y</v>
      </c>
      <c r="L117" s="1">
        <f>IF($A117="","",IFERROR(INDEX('INPUT-SIF_Questions'!$E$2:$E$300,MATCH($A117,'INPUT-SIF_Questions'!$A$2:$A$300,0)),""))</f>
        <v>0</v>
      </c>
    </row>
    <row r="118" spans="1:12" ht="49.5" customHeight="1" x14ac:dyDescent="0.45">
      <c r="A118" s="1" t="s">
        <v>394</v>
      </c>
      <c r="B118" s="1" t="s">
        <v>92</v>
      </c>
      <c r="C118" s="1" t="str">
        <f>IFERROR(VLOOKUP(B118,'DATABASE-DRIFT_LATENT_HP_ERROR'!$A$143:$B$160,2,FALSE()),"")</f>
        <v>Powered System / Isolation of Hazardous Energy</v>
      </c>
      <c r="D118" s="27" t="s">
        <v>764</v>
      </c>
      <c r="E118" s="18" t="s">
        <v>630</v>
      </c>
      <c r="F118" s="1" t="str">
        <f>IFERROR(VLOOKUP(E118,'DATABASE-DRIFT_LATENT_HP_ERROR'!$A$4:$B$13,2,FALSE()),"")</f>
        <v>Drift.5</v>
      </c>
      <c r="G118" s="18" t="s">
        <v>742</v>
      </c>
      <c r="H118" s="3" t="str">
        <f>IFERROR(VLOOKUP(G118,'DATABASE-DRIFT_LATENT_HP_ERROR'!$B$16:$D$76,3,FALSE()),"")</f>
        <v>Toolbox meeting hanya membaca dokumen tanpa diskusi teknikal mendalam.</v>
      </c>
      <c r="I118" s="1">
        <f>IF($A118="","",IFERROR(INDEX('INPUT-SIF_Questions'!$B$2:$B$300,MATCH($A118,'INPUT-SIF_Questions'!$A$2:$A$300,0)),""))</f>
        <v>1</v>
      </c>
      <c r="J118" s="1" t="str">
        <f>IF($A118="","",IFERROR(INDEX('INPUT-SIF_Questions'!$F$2:$F$300,MATCH($A118,'INPUT-SIF_Questions'!$A$2:$A$300,0)),""))</f>
        <v>Baseline</v>
      </c>
      <c r="K118" s="1" t="str">
        <f>IF($A118="","",IFERROR(INDEX('INPUT-SIF_Questions'!$G$2:$G$300,MATCH($A118,'INPUT-SIF_Questions'!$A$2:$A$300,0)),""))</f>
        <v>Y</v>
      </c>
      <c r="L118" s="1">
        <f>IF($A118="","",IFERROR(INDEX('INPUT-SIF_Questions'!$E$2:$E$300,MATCH($A118,'INPUT-SIF_Questions'!$A$2:$A$300,0)),""))</f>
        <v>0</v>
      </c>
    </row>
    <row r="119" spans="1:12" ht="49.5" customHeight="1" x14ac:dyDescent="0.45">
      <c r="A119" s="1" t="s">
        <v>394</v>
      </c>
      <c r="B119" s="1" t="s">
        <v>92</v>
      </c>
      <c r="C119" s="1" t="str">
        <f>IFERROR(VLOOKUP(B119,'DATABASE-DRIFT_LATENT_HP_ERROR'!$A$143:$B$160,2,FALSE()),"")</f>
        <v>Powered System / Isolation of Hazardous Energy</v>
      </c>
      <c r="D119" s="27" t="s">
        <v>765</v>
      </c>
      <c r="E119" s="18" t="s">
        <v>630</v>
      </c>
      <c r="F119" s="1" t="str">
        <f>IFERROR(VLOOKUP(E119,'DATABASE-DRIFT_LATENT_HP_ERROR'!$A$4:$B$13,2,FALSE()),"")</f>
        <v>Drift.5</v>
      </c>
      <c r="G119" s="18" t="s">
        <v>649</v>
      </c>
      <c r="H119" s="3" t="str">
        <f>IFERROR(VLOOKUP(G119,'DATABASE-DRIFT_LATENT_HP_ERROR'!$B$16:$D$76,3,FALSE()),"")</f>
        <v>Equipment digunakan di luar batas desain normal.</v>
      </c>
      <c r="I119" s="1">
        <f>IF($A119="","",IFERROR(INDEX('INPUT-SIF_Questions'!$B$2:$B$300,MATCH($A119,'INPUT-SIF_Questions'!$A$2:$A$300,0)),""))</f>
        <v>1</v>
      </c>
      <c r="J119" s="1" t="str">
        <f>IF($A119="","",IFERROR(INDEX('INPUT-SIF_Questions'!$F$2:$F$300,MATCH($A119,'INPUT-SIF_Questions'!$A$2:$A$300,0)),""))</f>
        <v>Baseline</v>
      </c>
      <c r="K119" s="1" t="str">
        <f>IF($A119="","",IFERROR(INDEX('INPUT-SIF_Questions'!$G$2:$G$300,MATCH($A119,'INPUT-SIF_Questions'!$A$2:$A$300,0)),""))</f>
        <v>Y</v>
      </c>
      <c r="L119" s="1">
        <f>IF($A119="","",IFERROR(INDEX('INPUT-SIF_Questions'!$E$2:$E$300,MATCH($A119,'INPUT-SIF_Questions'!$A$2:$A$300,0)),""))</f>
        <v>0</v>
      </c>
    </row>
    <row r="120" spans="1:12" ht="49.5" customHeight="1" x14ac:dyDescent="0.45">
      <c r="A120" s="1" t="s">
        <v>394</v>
      </c>
      <c r="B120" s="1" t="s">
        <v>92</v>
      </c>
      <c r="C120" s="1" t="str">
        <f>IFERROR(VLOOKUP(B120,'DATABASE-DRIFT_LATENT_HP_ERROR'!$A$143:$B$160,2,FALSE()),"")</f>
        <v>Powered System / Isolation of Hazardous Energy</v>
      </c>
      <c r="D120" s="27" t="s">
        <v>766</v>
      </c>
      <c r="E120" s="18" t="s">
        <v>640</v>
      </c>
      <c r="F120" s="1" t="str">
        <f>IFERROR(VLOOKUP(E120,'DATABASE-DRIFT_LATENT_HP_ERROR'!$A$4:$B$13,2,FALSE()),"")</f>
        <v>Drift.4</v>
      </c>
      <c r="G120" s="18" t="s">
        <v>687</v>
      </c>
      <c r="H120" s="3" t="str">
        <f>IFERROR(VLOOKUP(G120,'DATABASE-DRIFT_LATENT_HP_ERROR'!$B$16:$D$76,3,FALSE()),"")</f>
        <v>Fokus lebih besar pada kelengkapan dokumen dibanding efektivitas safeguard di lapangan.</v>
      </c>
      <c r="I120" s="1">
        <f>IF($A120="","",IFERROR(INDEX('INPUT-SIF_Questions'!$B$2:$B$300,MATCH($A120,'INPUT-SIF_Questions'!$A$2:$A$300,0)),""))</f>
        <v>1</v>
      </c>
      <c r="J120" s="1" t="str">
        <f>IF($A120="","",IFERROR(INDEX('INPUT-SIF_Questions'!$F$2:$F$300,MATCH($A120,'INPUT-SIF_Questions'!$A$2:$A$300,0)),""))</f>
        <v>Baseline</v>
      </c>
      <c r="K120" s="1" t="str">
        <f>IF($A120="","",IFERROR(INDEX('INPUT-SIF_Questions'!$G$2:$G$300,MATCH($A120,'INPUT-SIF_Questions'!$A$2:$A$300,0)),""))</f>
        <v>Y</v>
      </c>
      <c r="L120" s="1">
        <f>IF($A120="","",IFERROR(INDEX('INPUT-SIF_Questions'!$E$2:$E$300,MATCH($A120,'INPUT-SIF_Questions'!$A$2:$A$300,0)),""))</f>
        <v>0</v>
      </c>
    </row>
    <row r="121" spans="1:12" ht="49.5" customHeight="1" x14ac:dyDescent="0.45">
      <c r="A121" s="1" t="s">
        <v>394</v>
      </c>
      <c r="B121" s="1" t="s">
        <v>92</v>
      </c>
      <c r="C121" s="1" t="str">
        <f>IFERROR(VLOOKUP(B121,'DATABASE-DRIFT_LATENT_HP_ERROR'!$A$143:$B$160,2,FALSE()),"")</f>
        <v>Powered System / Isolation of Hazardous Energy</v>
      </c>
      <c r="D121" s="27" t="s">
        <v>767</v>
      </c>
      <c r="E121" s="18" t="s">
        <v>630</v>
      </c>
      <c r="F121" s="1" t="str">
        <f>IFERROR(VLOOKUP(E121,'DATABASE-DRIFT_LATENT_HP_ERROR'!$A$4:$B$13,2,FALSE()),"")</f>
        <v>Drift.5</v>
      </c>
      <c r="G121" s="18" t="s">
        <v>687</v>
      </c>
      <c r="H121" s="3" t="str">
        <f>IFERROR(VLOOKUP(G121,'DATABASE-DRIFT_LATENT_HP_ERROR'!$B$16:$D$76,3,FALSE()),"")</f>
        <v>Fokus lebih besar pada kelengkapan dokumen dibanding efektivitas safeguard di lapangan.</v>
      </c>
      <c r="I121" s="1">
        <f>IF($A121="","",IFERROR(INDEX('INPUT-SIF_Questions'!$B$2:$B$300,MATCH($A121,'INPUT-SIF_Questions'!$A$2:$A$300,0)),""))</f>
        <v>1</v>
      </c>
      <c r="J121" s="1" t="str">
        <f>IF($A121="","",IFERROR(INDEX('INPUT-SIF_Questions'!$F$2:$F$300,MATCH($A121,'INPUT-SIF_Questions'!$A$2:$A$300,0)),""))</f>
        <v>Baseline</v>
      </c>
      <c r="K121" s="1" t="str">
        <f>IF($A121="","",IFERROR(INDEX('INPUT-SIF_Questions'!$G$2:$G$300,MATCH($A121,'INPUT-SIF_Questions'!$A$2:$A$300,0)),""))</f>
        <v>Y</v>
      </c>
      <c r="L121" s="1">
        <f>IF($A121="","",IFERROR(INDEX('INPUT-SIF_Questions'!$E$2:$E$300,MATCH($A121,'INPUT-SIF_Questions'!$A$2:$A$300,0)),""))</f>
        <v>0</v>
      </c>
    </row>
    <row r="122" spans="1:12" ht="49.5" customHeight="1" x14ac:dyDescent="0.45">
      <c r="A122" s="1" t="s">
        <v>394</v>
      </c>
      <c r="B122" s="1" t="s">
        <v>92</v>
      </c>
      <c r="C122" s="1" t="str">
        <f>IFERROR(VLOOKUP(B122,'DATABASE-DRIFT_LATENT_HP_ERROR'!$A$143:$B$160,2,FALSE()),"")</f>
        <v>Powered System / Isolation of Hazardous Energy</v>
      </c>
      <c r="D122" s="27" t="s">
        <v>768</v>
      </c>
      <c r="E122" s="18" t="s">
        <v>630</v>
      </c>
      <c r="F122" s="1" t="str">
        <f>IFERROR(VLOOKUP(E122,'DATABASE-DRIFT_LATENT_HP_ERROR'!$A$4:$B$13,2,FALSE()),"")</f>
        <v>Drift.5</v>
      </c>
      <c r="G122" s="18" t="s">
        <v>742</v>
      </c>
      <c r="H122" s="3" t="str">
        <f>IFERROR(VLOOKUP(G122,'DATABASE-DRIFT_LATENT_HP_ERROR'!$B$16:$D$76,3,FALSE()),"")</f>
        <v>Toolbox meeting hanya membaca dokumen tanpa diskusi teknikal mendalam.</v>
      </c>
      <c r="I122" s="1">
        <f>IF($A122="","",IFERROR(INDEX('INPUT-SIF_Questions'!$B$2:$B$300,MATCH($A122,'INPUT-SIF_Questions'!$A$2:$A$300,0)),""))</f>
        <v>1</v>
      </c>
      <c r="J122" s="1" t="str">
        <f>IF($A122="","",IFERROR(INDEX('INPUT-SIF_Questions'!$F$2:$F$300,MATCH($A122,'INPUT-SIF_Questions'!$A$2:$A$300,0)),""))</f>
        <v>Baseline</v>
      </c>
      <c r="K122" s="1" t="str">
        <f>IF($A122="","",IFERROR(INDEX('INPUT-SIF_Questions'!$G$2:$G$300,MATCH($A122,'INPUT-SIF_Questions'!$A$2:$A$300,0)),""))</f>
        <v>Y</v>
      </c>
      <c r="L122" s="1">
        <f>IF($A122="","",IFERROR(INDEX('INPUT-SIF_Questions'!$E$2:$E$300,MATCH($A122,'INPUT-SIF_Questions'!$A$2:$A$300,0)),""))</f>
        <v>0</v>
      </c>
    </row>
    <row r="123" spans="1:12" ht="49.5" customHeight="1" x14ac:dyDescent="0.45">
      <c r="A123" s="1" t="s">
        <v>394</v>
      </c>
      <c r="B123" s="1" t="s">
        <v>92</v>
      </c>
      <c r="C123" s="1" t="str">
        <f>IFERROR(VLOOKUP(B123,'DATABASE-DRIFT_LATENT_HP_ERROR'!$A$143:$B$160,2,FALSE()),"")</f>
        <v>Powered System / Isolation of Hazardous Energy</v>
      </c>
      <c r="D123" s="27" t="s">
        <v>769</v>
      </c>
      <c r="E123" s="18" t="s">
        <v>630</v>
      </c>
      <c r="F123" s="1" t="str">
        <f>IFERROR(VLOOKUP(E123,'DATABASE-DRIFT_LATENT_HP_ERROR'!$A$4:$B$13,2,FALSE()),"")</f>
        <v>Drift.5</v>
      </c>
      <c r="G123" s="18" t="s">
        <v>770</v>
      </c>
      <c r="H123" s="3" t="str">
        <f>IFERROR(VLOOKUP(G123,'DATABASE-DRIFT_LATENT_HP_ERROR'!$B$16:$D$76,3,FALSE()),"")</f>
        <v>Safeguard engineering tidak digunakan atau dilewati.</v>
      </c>
      <c r="I123" s="1">
        <f>IF($A123="","",IFERROR(INDEX('INPUT-SIF_Questions'!$B$2:$B$300,MATCH($A123,'INPUT-SIF_Questions'!$A$2:$A$300,0)),""))</f>
        <v>1</v>
      </c>
      <c r="J123" s="1" t="str">
        <f>IF($A123="","",IFERROR(INDEX('INPUT-SIF_Questions'!$F$2:$F$300,MATCH($A123,'INPUT-SIF_Questions'!$A$2:$A$300,0)),""))</f>
        <v>Baseline</v>
      </c>
      <c r="K123" s="1" t="str">
        <f>IF($A123="","",IFERROR(INDEX('INPUT-SIF_Questions'!$G$2:$G$300,MATCH($A123,'INPUT-SIF_Questions'!$A$2:$A$300,0)),""))</f>
        <v>Y</v>
      </c>
      <c r="L123" s="1">
        <f>IF($A123="","",IFERROR(INDEX('INPUT-SIF_Questions'!$E$2:$E$300,MATCH($A123,'INPUT-SIF_Questions'!$A$2:$A$300,0)),""))</f>
        <v>0</v>
      </c>
    </row>
    <row r="124" spans="1:12" ht="42.75" customHeight="1" x14ac:dyDescent="0.45">
      <c r="A124" s="1" t="s">
        <v>402</v>
      </c>
      <c r="B124" s="1" t="s">
        <v>34</v>
      </c>
      <c r="C124" s="1" t="str">
        <f>IFERROR(VLOOKUP(B124,'DATABASE-DRIFT_LATENT_HP_ERROR'!$A$143:$B$160,2,FALSE()),"")</f>
        <v>Work at Height</v>
      </c>
      <c r="D124" s="27" t="s">
        <v>771</v>
      </c>
      <c r="E124" s="18" t="s">
        <v>648</v>
      </c>
      <c r="F124" s="1" t="str">
        <f>IFERROR(VLOOKUP(E124,'DATABASE-DRIFT_LATENT_HP_ERROR'!$A$4:$B$13,2,FALSE()),"")</f>
        <v>Drift.10</v>
      </c>
      <c r="G124" s="18" t="s">
        <v>687</v>
      </c>
      <c r="H124" s="3" t="str">
        <f>IFERROR(VLOOKUP(G124,'DATABASE-DRIFT_LATENT_HP_ERROR'!$B$16:$D$76,3,FALSE()),"")</f>
        <v>Fokus lebih besar pada kelengkapan dokumen dibanding efektivitas safeguard di lapangan.</v>
      </c>
      <c r="I124" s="1">
        <f>IF($A124="","",IFERROR(INDEX('INPUT-SIF_Questions'!$B$2:$B$300,MATCH($A124,'INPUT-SIF_Questions'!$A$2:$A$300,0)),""))</f>
        <v>1</v>
      </c>
      <c r="J124" s="1" t="str">
        <f>IF($A124="","",IFERROR(INDEX('INPUT-SIF_Questions'!$F$2:$F$300,MATCH($A124,'INPUT-SIF_Questions'!$A$2:$A$300,0)),""))</f>
        <v>Baseline</v>
      </c>
      <c r="K124" s="1" t="str">
        <f>IF($A124="","",IFERROR(INDEX('INPUT-SIF_Questions'!$G$2:$G$300,MATCH($A124,'INPUT-SIF_Questions'!$A$2:$A$300,0)),""))</f>
        <v>Y</v>
      </c>
      <c r="L124" s="1">
        <f>IF($A124="","",IFERROR(INDEX('INPUT-SIF_Questions'!$E$2:$E$300,MATCH($A124,'INPUT-SIF_Questions'!$A$2:$A$300,0)),""))</f>
        <v>0</v>
      </c>
    </row>
    <row r="125" spans="1:12" ht="42.75" customHeight="1" x14ac:dyDescent="0.45">
      <c r="A125" s="1" t="s">
        <v>402</v>
      </c>
      <c r="B125" s="1" t="s">
        <v>34</v>
      </c>
      <c r="C125" s="1" t="str">
        <f>IFERROR(VLOOKUP(B125,'DATABASE-DRIFT_LATENT_HP_ERROR'!$A$143:$B$160,2,FALSE()),"")</f>
        <v>Work at Height</v>
      </c>
      <c r="D125" s="27" t="s">
        <v>772</v>
      </c>
      <c r="E125" s="18" t="s">
        <v>630</v>
      </c>
      <c r="F125" s="1" t="str">
        <f>IFERROR(VLOOKUP(E125,'DATABASE-DRIFT_LATENT_HP_ERROR'!$A$4:$B$13,2,FALSE()),"")</f>
        <v>Drift.5</v>
      </c>
      <c r="G125" s="18" t="s">
        <v>757</v>
      </c>
      <c r="H125" s="3" t="str">
        <f>IFERROR(VLOOKUP(G125,'DATABASE-DRIFT_LATENT_HP_ERROR'!$B$16:$D$76,3,FALSE()),"")</f>
        <v>Perhitungan free fall distance tidak dilakukan.</v>
      </c>
      <c r="I125" s="1">
        <f>IF($A125="","",IFERROR(INDEX('INPUT-SIF_Questions'!$B$2:$B$300,MATCH($A125,'INPUT-SIF_Questions'!$A$2:$A$300,0)),""))</f>
        <v>1</v>
      </c>
      <c r="J125" s="1" t="str">
        <f>IF($A125="","",IFERROR(INDEX('INPUT-SIF_Questions'!$F$2:$F$300,MATCH($A125,'INPUT-SIF_Questions'!$A$2:$A$300,0)),""))</f>
        <v>Baseline</v>
      </c>
      <c r="K125" s="1" t="str">
        <f>IF($A125="","",IFERROR(INDEX('INPUT-SIF_Questions'!$G$2:$G$300,MATCH($A125,'INPUT-SIF_Questions'!$A$2:$A$300,0)),""))</f>
        <v>Y</v>
      </c>
      <c r="L125" s="1">
        <f>IF($A125="","",IFERROR(INDEX('INPUT-SIF_Questions'!$E$2:$E$300,MATCH($A125,'INPUT-SIF_Questions'!$A$2:$A$300,0)),""))</f>
        <v>0</v>
      </c>
    </row>
    <row r="126" spans="1:12" ht="42.75" customHeight="1" x14ac:dyDescent="0.45">
      <c r="A126" s="1" t="s">
        <v>402</v>
      </c>
      <c r="B126" s="1" t="s">
        <v>34</v>
      </c>
      <c r="C126" s="1" t="str">
        <f>IFERROR(VLOOKUP(B126,'DATABASE-DRIFT_LATENT_HP_ERROR'!$A$143:$B$160,2,FALSE()),"")</f>
        <v>Work at Height</v>
      </c>
      <c r="D126" s="27" t="s">
        <v>773</v>
      </c>
      <c r="E126" s="18" t="s">
        <v>630</v>
      </c>
      <c r="F126" s="1" t="str">
        <f>IFERROR(VLOOKUP(E126,'DATABASE-DRIFT_LATENT_HP_ERROR'!$A$4:$B$13,2,FALSE()),"")</f>
        <v>Drift.5</v>
      </c>
      <c r="G126" s="18" t="s">
        <v>649</v>
      </c>
      <c r="H126" s="3" t="str">
        <f>IFERROR(VLOOKUP(G126,'DATABASE-DRIFT_LATENT_HP_ERROR'!$B$16:$D$76,3,FALSE()),"")</f>
        <v>Equipment digunakan di luar batas desain normal.</v>
      </c>
      <c r="I126" s="1">
        <f>IF($A126="","",IFERROR(INDEX('INPUT-SIF_Questions'!$B$2:$B$300,MATCH($A126,'INPUT-SIF_Questions'!$A$2:$A$300,0)),""))</f>
        <v>1</v>
      </c>
      <c r="J126" s="1" t="str">
        <f>IF($A126="","",IFERROR(INDEX('INPUT-SIF_Questions'!$F$2:$F$300,MATCH($A126,'INPUT-SIF_Questions'!$A$2:$A$300,0)),""))</f>
        <v>Baseline</v>
      </c>
      <c r="K126" s="1" t="str">
        <f>IF($A126="","",IFERROR(INDEX('INPUT-SIF_Questions'!$G$2:$G$300,MATCH($A126,'INPUT-SIF_Questions'!$A$2:$A$300,0)),""))</f>
        <v>Y</v>
      </c>
      <c r="L126" s="1">
        <f>IF($A126="","",IFERROR(INDEX('INPUT-SIF_Questions'!$E$2:$E$300,MATCH($A126,'INPUT-SIF_Questions'!$A$2:$A$300,0)),""))</f>
        <v>0</v>
      </c>
    </row>
    <row r="127" spans="1:12" ht="42.75" customHeight="1" x14ac:dyDescent="0.45">
      <c r="A127" s="1" t="s">
        <v>402</v>
      </c>
      <c r="B127" s="1" t="s">
        <v>34</v>
      </c>
      <c r="C127" s="1" t="str">
        <f>IFERROR(VLOOKUP(B127,'DATABASE-DRIFT_LATENT_HP_ERROR'!$A$143:$B$160,2,FALSE()),"")</f>
        <v>Work at Height</v>
      </c>
      <c r="D127" s="27" t="s">
        <v>774</v>
      </c>
      <c r="E127" s="18" t="s">
        <v>630</v>
      </c>
      <c r="F127" s="1" t="str">
        <f>IFERROR(VLOOKUP(E127,'DATABASE-DRIFT_LATENT_HP_ERROR'!$A$4:$B$13,2,FALSE()),"")</f>
        <v>Drift.5</v>
      </c>
      <c r="G127" s="18" t="s">
        <v>687</v>
      </c>
      <c r="H127" s="3" t="str">
        <f>IFERROR(VLOOKUP(G127,'DATABASE-DRIFT_LATENT_HP_ERROR'!$B$16:$D$76,3,FALSE()),"")</f>
        <v>Fokus lebih besar pada kelengkapan dokumen dibanding efektivitas safeguard di lapangan.</v>
      </c>
      <c r="I127" s="1">
        <f>IF($A127="","",IFERROR(INDEX('INPUT-SIF_Questions'!$B$2:$B$300,MATCH($A127,'INPUT-SIF_Questions'!$A$2:$A$300,0)),""))</f>
        <v>1</v>
      </c>
      <c r="J127" s="1" t="str">
        <f>IF($A127="","",IFERROR(INDEX('INPUT-SIF_Questions'!$F$2:$F$300,MATCH($A127,'INPUT-SIF_Questions'!$A$2:$A$300,0)),""))</f>
        <v>Baseline</v>
      </c>
      <c r="K127" s="1" t="str">
        <f>IF($A127="","",IFERROR(INDEX('INPUT-SIF_Questions'!$G$2:$G$300,MATCH($A127,'INPUT-SIF_Questions'!$A$2:$A$300,0)),""))</f>
        <v>Y</v>
      </c>
      <c r="L127" s="1">
        <f>IF($A127="","",IFERROR(INDEX('INPUT-SIF_Questions'!$E$2:$E$300,MATCH($A127,'INPUT-SIF_Questions'!$A$2:$A$300,0)),""))</f>
        <v>0</v>
      </c>
    </row>
    <row r="128" spans="1:12" ht="49.5" customHeight="1" x14ac:dyDescent="0.45">
      <c r="A128" s="1" t="s">
        <v>402</v>
      </c>
      <c r="B128" s="1" t="s">
        <v>34</v>
      </c>
      <c r="C128" s="1" t="str">
        <f>IFERROR(VLOOKUP(B128,'DATABASE-DRIFT_LATENT_HP_ERROR'!$A$143:$B$160,2,FALSE()),"")</f>
        <v>Work at Height</v>
      </c>
      <c r="D128" s="27" t="s">
        <v>775</v>
      </c>
      <c r="E128" s="18" t="s">
        <v>630</v>
      </c>
      <c r="F128" s="1" t="str">
        <f>IFERROR(VLOOKUP(E128,'DATABASE-DRIFT_LATENT_HP_ERROR'!$A$4:$B$13,2,FALSE()),"")</f>
        <v>Drift.5</v>
      </c>
      <c r="G128" s="18" t="s">
        <v>687</v>
      </c>
      <c r="H128" s="3" t="str">
        <f>IFERROR(VLOOKUP(G128,'DATABASE-DRIFT_LATENT_HP_ERROR'!$B$16:$D$76,3,FALSE()),"")</f>
        <v>Fokus lebih besar pada kelengkapan dokumen dibanding efektivitas safeguard di lapangan.</v>
      </c>
      <c r="I128" s="1">
        <f>IF($A128="","",IFERROR(INDEX('INPUT-SIF_Questions'!$B$2:$B$300,MATCH($A128,'INPUT-SIF_Questions'!$A$2:$A$300,0)),""))</f>
        <v>1</v>
      </c>
      <c r="J128" s="1" t="str">
        <f>IF($A128="","",IFERROR(INDEX('INPUT-SIF_Questions'!$F$2:$F$300,MATCH($A128,'INPUT-SIF_Questions'!$A$2:$A$300,0)),""))</f>
        <v>Baseline</v>
      </c>
      <c r="K128" s="1" t="str">
        <f>IF($A128="","",IFERROR(INDEX('INPUT-SIF_Questions'!$G$2:$G$300,MATCH($A128,'INPUT-SIF_Questions'!$A$2:$A$300,0)),""))</f>
        <v>Y</v>
      </c>
      <c r="L128" s="1">
        <f>IF($A128="","",IFERROR(INDEX('INPUT-SIF_Questions'!$E$2:$E$300,MATCH($A128,'INPUT-SIF_Questions'!$A$2:$A$300,0)),""))</f>
        <v>0</v>
      </c>
    </row>
    <row r="129" spans="1:12" ht="49.5" customHeight="1" x14ac:dyDescent="0.45">
      <c r="A129" s="1" t="s">
        <v>402</v>
      </c>
      <c r="B129" s="1" t="s">
        <v>34</v>
      </c>
      <c r="C129" s="1" t="str">
        <f>IFERROR(VLOOKUP(B129,'DATABASE-DRIFT_LATENT_HP_ERROR'!$A$143:$B$160,2,FALSE()),"")</f>
        <v>Work at Height</v>
      </c>
      <c r="D129" s="27" t="s">
        <v>776</v>
      </c>
      <c r="E129" s="18" t="s">
        <v>630</v>
      </c>
      <c r="F129" s="1" t="str">
        <f>IFERROR(VLOOKUP(E129,'DATABASE-DRIFT_LATENT_HP_ERROR'!$A$4:$B$13,2,FALSE()),"")</f>
        <v>Drift.5</v>
      </c>
      <c r="G129" s="18" t="s">
        <v>757</v>
      </c>
      <c r="H129" s="3" t="str">
        <f>IFERROR(VLOOKUP(G129,'DATABASE-DRIFT_LATENT_HP_ERROR'!$B$16:$D$76,3,FALSE()),"")</f>
        <v>Perhitungan free fall distance tidak dilakukan.</v>
      </c>
      <c r="I129" s="1">
        <f>IF($A129="","",IFERROR(INDEX('INPUT-SIF_Questions'!$B$2:$B$300,MATCH($A129,'INPUT-SIF_Questions'!$A$2:$A$300,0)),""))</f>
        <v>1</v>
      </c>
      <c r="J129" s="1" t="str">
        <f>IF($A129="","",IFERROR(INDEX('INPUT-SIF_Questions'!$F$2:$F$300,MATCH($A129,'INPUT-SIF_Questions'!$A$2:$A$300,0)),""))</f>
        <v>Baseline</v>
      </c>
      <c r="K129" s="1" t="str">
        <f>IF($A129="","",IFERROR(INDEX('INPUT-SIF_Questions'!$G$2:$G$300,MATCH($A129,'INPUT-SIF_Questions'!$A$2:$A$300,0)),""))</f>
        <v>Y</v>
      </c>
      <c r="L129" s="1">
        <f>IF($A129="","",IFERROR(INDEX('INPUT-SIF_Questions'!$E$2:$E$300,MATCH($A129,'INPUT-SIF_Questions'!$A$2:$A$300,0)),""))</f>
        <v>0</v>
      </c>
    </row>
    <row r="130" spans="1:12" ht="42.75" customHeight="1" x14ac:dyDescent="0.45">
      <c r="A130" s="1" t="s">
        <v>402</v>
      </c>
      <c r="B130" s="1" t="s">
        <v>34</v>
      </c>
      <c r="C130" s="1" t="str">
        <f>IFERROR(VLOOKUP(B130,'DATABASE-DRIFT_LATENT_HP_ERROR'!$A$143:$B$160,2,FALSE()),"")</f>
        <v>Work at Height</v>
      </c>
      <c r="D130" s="27" t="s">
        <v>777</v>
      </c>
      <c r="E130" s="18" t="s">
        <v>630</v>
      </c>
      <c r="F130" s="1" t="str">
        <f>IFERROR(VLOOKUP(E130,'DATABASE-DRIFT_LATENT_HP_ERROR'!$A$4:$B$13,2,FALSE()),"")</f>
        <v>Drift.5</v>
      </c>
      <c r="G130" s="18" t="s">
        <v>687</v>
      </c>
      <c r="H130" s="3" t="str">
        <f>IFERROR(VLOOKUP(G130,'DATABASE-DRIFT_LATENT_HP_ERROR'!$B$16:$D$76,3,FALSE()),"")</f>
        <v>Fokus lebih besar pada kelengkapan dokumen dibanding efektivitas safeguard di lapangan.</v>
      </c>
      <c r="I130" s="1">
        <f>IF($A130="","",IFERROR(INDEX('INPUT-SIF_Questions'!$B$2:$B$300,MATCH($A130,'INPUT-SIF_Questions'!$A$2:$A$300,0)),""))</f>
        <v>1</v>
      </c>
      <c r="J130" s="1" t="str">
        <f>IF($A130="","",IFERROR(INDEX('INPUT-SIF_Questions'!$F$2:$F$300,MATCH($A130,'INPUT-SIF_Questions'!$A$2:$A$300,0)),""))</f>
        <v>Baseline</v>
      </c>
      <c r="K130" s="1" t="str">
        <f>IF($A130="","",IFERROR(INDEX('INPUT-SIF_Questions'!$G$2:$G$300,MATCH($A130,'INPUT-SIF_Questions'!$A$2:$A$300,0)),""))</f>
        <v>Y</v>
      </c>
      <c r="L130" s="1">
        <f>IF($A130="","",IFERROR(INDEX('INPUT-SIF_Questions'!$E$2:$E$300,MATCH($A130,'INPUT-SIF_Questions'!$A$2:$A$300,0)),""))</f>
        <v>0</v>
      </c>
    </row>
    <row r="131" spans="1:12" ht="49.5" customHeight="1" x14ac:dyDescent="0.45">
      <c r="A131" s="1" t="s">
        <v>402</v>
      </c>
      <c r="B131" s="1" t="s">
        <v>34</v>
      </c>
      <c r="C131" s="1" t="str">
        <f>IFERROR(VLOOKUP(B131,'DATABASE-DRIFT_LATENT_HP_ERROR'!$A$143:$B$160,2,FALSE()),"")</f>
        <v>Work at Height</v>
      </c>
      <c r="D131" s="27" t="s">
        <v>778</v>
      </c>
      <c r="E131" s="18" t="s">
        <v>630</v>
      </c>
      <c r="F131" s="1" t="str">
        <f>IFERROR(VLOOKUP(E131,'DATABASE-DRIFT_LATENT_HP_ERROR'!$A$4:$B$13,2,FALSE()),"")</f>
        <v>Drift.5</v>
      </c>
      <c r="G131" s="18" t="s">
        <v>649</v>
      </c>
      <c r="H131" s="3" t="str">
        <f>IFERROR(VLOOKUP(G131,'DATABASE-DRIFT_LATENT_HP_ERROR'!$B$16:$D$76,3,FALSE()),"")</f>
        <v>Equipment digunakan di luar batas desain normal.</v>
      </c>
      <c r="I131" s="1">
        <f>IF($A131="","",IFERROR(INDEX('INPUT-SIF_Questions'!$B$2:$B$300,MATCH($A131,'INPUT-SIF_Questions'!$A$2:$A$300,0)),""))</f>
        <v>1</v>
      </c>
      <c r="J131" s="1" t="str">
        <f>IF($A131="","",IFERROR(INDEX('INPUT-SIF_Questions'!$F$2:$F$300,MATCH($A131,'INPUT-SIF_Questions'!$A$2:$A$300,0)),""))</f>
        <v>Baseline</v>
      </c>
      <c r="K131" s="1" t="str">
        <f>IF($A131="","",IFERROR(INDEX('INPUT-SIF_Questions'!$G$2:$G$300,MATCH($A131,'INPUT-SIF_Questions'!$A$2:$A$300,0)),""))</f>
        <v>Y</v>
      </c>
      <c r="L131" s="1">
        <f>IF($A131="","",IFERROR(INDEX('INPUT-SIF_Questions'!$E$2:$E$300,MATCH($A131,'INPUT-SIF_Questions'!$A$2:$A$300,0)),""))</f>
        <v>0</v>
      </c>
    </row>
    <row r="132" spans="1:12" ht="42.75" customHeight="1" x14ac:dyDescent="0.45">
      <c r="A132" s="1" t="s">
        <v>409</v>
      </c>
      <c r="B132" s="1" t="s">
        <v>410</v>
      </c>
      <c r="C132" s="1" t="str">
        <f>IFERROR(VLOOKUP(B132,'DATABASE-DRIFT_LATENT_HP_ERROR'!$A$143:$B$160,2,FALSE()),"")</f>
        <v>Line of Fire</v>
      </c>
      <c r="D132" s="27" t="s">
        <v>779</v>
      </c>
      <c r="E132" s="18" t="s">
        <v>630</v>
      </c>
      <c r="F132" s="1" t="str">
        <f>IFERROR(VLOOKUP(E132,'DATABASE-DRIFT_LATENT_HP_ERROR'!$A$4:$B$13,2,FALSE()),"")</f>
        <v>Drift.5</v>
      </c>
      <c r="G132" s="18" t="s">
        <v>631</v>
      </c>
      <c r="H132" s="3" t="str">
        <f>IFERROR(VLOOKUP(G132,'DATABASE-DRIFT_LATENT_HP_ERROR'!$B$16:$D$76,3,FALSE()),"")</f>
        <v>Proses verifikasi safeguard tidak mampu mendeteksi kelemahan barrier.</v>
      </c>
      <c r="I132" s="1">
        <f>IF($A132="","",IFERROR(INDEX('INPUT-SIF_Questions'!$B$2:$B$300,MATCH($A132,'INPUT-SIF_Questions'!$A$2:$A$300,0)),""))</f>
        <v>1</v>
      </c>
      <c r="J132" s="1" t="str">
        <f>IF($A132="","",IFERROR(INDEX('INPUT-SIF_Questions'!$F$2:$F$300,MATCH($A132,'INPUT-SIF_Questions'!$A$2:$A$300,0)),""))</f>
        <v>Baseline</v>
      </c>
      <c r="K132" s="1" t="str">
        <f>IF($A132="","",IFERROR(INDEX('INPUT-SIF_Questions'!$G$2:$G$300,MATCH($A132,'INPUT-SIF_Questions'!$A$2:$A$300,0)),""))</f>
        <v>Y</v>
      </c>
      <c r="L132" s="1">
        <f>IF($A132="","",IFERROR(INDEX('INPUT-SIF_Questions'!$E$2:$E$300,MATCH($A132,'INPUT-SIF_Questions'!$A$2:$A$300,0)),""))</f>
        <v>0</v>
      </c>
    </row>
    <row r="133" spans="1:12" ht="42.75" customHeight="1" x14ac:dyDescent="0.45">
      <c r="A133" s="1" t="s">
        <v>409</v>
      </c>
      <c r="B133" s="1" t="s">
        <v>410</v>
      </c>
      <c r="C133" s="1" t="str">
        <f>IFERROR(VLOOKUP(B133,'DATABASE-DRIFT_LATENT_HP_ERROR'!$A$143:$B$160,2,FALSE()),"")</f>
        <v>Line of Fire</v>
      </c>
      <c r="D133" s="27" t="s">
        <v>780</v>
      </c>
      <c r="E133" s="18" t="s">
        <v>630</v>
      </c>
      <c r="F133" s="1" t="str">
        <f>IFERROR(VLOOKUP(E133,'DATABASE-DRIFT_LATENT_HP_ERROR'!$A$4:$B$13,2,FALSE()),"")</f>
        <v>Drift.5</v>
      </c>
      <c r="G133" s="18" t="s">
        <v>649</v>
      </c>
      <c r="H133" s="3" t="str">
        <f>IFERROR(VLOOKUP(G133,'DATABASE-DRIFT_LATENT_HP_ERROR'!$B$16:$D$76,3,FALSE()),"")</f>
        <v>Equipment digunakan di luar batas desain normal.</v>
      </c>
      <c r="I133" s="1">
        <f>IF($A133="","",IFERROR(INDEX('INPUT-SIF_Questions'!$B$2:$B$300,MATCH($A133,'INPUT-SIF_Questions'!$A$2:$A$300,0)),""))</f>
        <v>1</v>
      </c>
      <c r="J133" s="1" t="str">
        <f>IF($A133="","",IFERROR(INDEX('INPUT-SIF_Questions'!$F$2:$F$300,MATCH($A133,'INPUT-SIF_Questions'!$A$2:$A$300,0)),""))</f>
        <v>Baseline</v>
      </c>
      <c r="K133" s="1" t="str">
        <f>IF($A133="","",IFERROR(INDEX('INPUT-SIF_Questions'!$G$2:$G$300,MATCH($A133,'INPUT-SIF_Questions'!$A$2:$A$300,0)),""))</f>
        <v>Y</v>
      </c>
      <c r="L133" s="1">
        <f>IF($A133="","",IFERROR(INDEX('INPUT-SIF_Questions'!$E$2:$E$300,MATCH($A133,'INPUT-SIF_Questions'!$A$2:$A$300,0)),""))</f>
        <v>0</v>
      </c>
    </row>
    <row r="134" spans="1:12" ht="42.75" customHeight="1" x14ac:dyDescent="0.45">
      <c r="A134" s="1" t="s">
        <v>409</v>
      </c>
      <c r="B134" s="1" t="s">
        <v>410</v>
      </c>
      <c r="C134" s="1" t="str">
        <f>IFERROR(VLOOKUP(B134,'DATABASE-DRIFT_LATENT_HP_ERROR'!$A$143:$B$160,2,FALSE()),"")</f>
        <v>Line of Fire</v>
      </c>
      <c r="D134" s="27" t="s">
        <v>781</v>
      </c>
      <c r="E134" s="18" t="s">
        <v>630</v>
      </c>
      <c r="F134" s="1" t="str">
        <f>IFERROR(VLOOKUP(E134,'DATABASE-DRIFT_LATENT_HP_ERROR'!$A$4:$B$13,2,FALSE()),"")</f>
        <v>Drift.5</v>
      </c>
      <c r="G134" s="18" t="s">
        <v>649</v>
      </c>
      <c r="H134" s="3" t="str">
        <f>IFERROR(VLOOKUP(G134,'DATABASE-DRIFT_LATENT_HP_ERROR'!$B$16:$D$76,3,FALSE()),"")</f>
        <v>Equipment digunakan di luar batas desain normal.</v>
      </c>
      <c r="I134" s="1">
        <f>IF($A134="","",IFERROR(INDEX('INPUT-SIF_Questions'!$B$2:$B$300,MATCH($A134,'INPUT-SIF_Questions'!$A$2:$A$300,0)),""))</f>
        <v>1</v>
      </c>
      <c r="J134" s="1" t="str">
        <f>IF($A134="","",IFERROR(INDEX('INPUT-SIF_Questions'!$F$2:$F$300,MATCH($A134,'INPUT-SIF_Questions'!$A$2:$A$300,0)),""))</f>
        <v>Baseline</v>
      </c>
      <c r="K134" s="1" t="str">
        <f>IF($A134="","",IFERROR(INDEX('INPUT-SIF_Questions'!$G$2:$G$300,MATCH($A134,'INPUT-SIF_Questions'!$A$2:$A$300,0)),""))</f>
        <v>Y</v>
      </c>
      <c r="L134" s="1">
        <f>IF($A134="","",IFERROR(INDEX('INPUT-SIF_Questions'!$E$2:$E$300,MATCH($A134,'INPUT-SIF_Questions'!$A$2:$A$300,0)),""))</f>
        <v>0</v>
      </c>
    </row>
    <row r="135" spans="1:12" ht="57" customHeight="1" x14ac:dyDescent="0.45">
      <c r="A135" s="1" t="s">
        <v>437</v>
      </c>
      <c r="B135" s="1" t="s">
        <v>292</v>
      </c>
      <c r="C135" s="1" t="str">
        <f>IFERROR(VLOOKUP(B135,'DATABASE-DRIFT_LATENT_HP_ERROR'!$A$143:$B$160,2,FALSE()),"")</f>
        <v>Hot Work</v>
      </c>
      <c r="D135" s="27" t="s">
        <v>782</v>
      </c>
      <c r="E135" s="18" t="s">
        <v>635</v>
      </c>
      <c r="F135" s="1" t="str">
        <f>IFERROR(VLOOKUP(E135,'DATABASE-DRIFT_LATENT_HP_ERROR'!$A$4:$B$13,2,FALSE()),"")</f>
        <v>Drift.7</v>
      </c>
      <c r="G135" s="18" t="s">
        <v>687</v>
      </c>
      <c r="H135" s="3" t="str">
        <f>IFERROR(VLOOKUP(G135,'DATABASE-DRIFT_LATENT_HP_ERROR'!$B$16:$D$76,3,FALSE()),"")</f>
        <v>Fokus lebih besar pada kelengkapan dokumen dibanding efektivitas safeguard di lapangan.</v>
      </c>
      <c r="I135" s="1">
        <f>IF($A135="","",IFERROR(INDEX('INPUT-SIF_Questions'!$B$2:$B$300,MATCH($A135,'INPUT-SIF_Questions'!$A$2:$A$300,0)),""))</f>
        <v>1</v>
      </c>
      <c r="J135" s="1" t="str">
        <f>IF($A135="","",IFERROR(INDEX('INPUT-SIF_Questions'!$F$2:$F$300,MATCH($A135,'INPUT-SIF_Questions'!$A$2:$A$300,0)),""))</f>
        <v>Baseline</v>
      </c>
      <c r="K135" s="1" t="str">
        <f>IF($A135="","",IFERROR(INDEX('INPUT-SIF_Questions'!$G$2:$G$300,MATCH($A135,'INPUT-SIF_Questions'!$A$2:$A$300,0)),""))</f>
        <v>Y</v>
      </c>
      <c r="L135" s="1">
        <f>IF($A135="","",IFERROR(INDEX('INPUT-SIF_Questions'!$E$2:$E$300,MATCH($A135,'INPUT-SIF_Questions'!$A$2:$A$300,0)),""))</f>
        <v>0</v>
      </c>
    </row>
    <row r="136" spans="1:12" ht="49.5" customHeight="1" x14ac:dyDescent="0.45">
      <c r="A136" s="1" t="s">
        <v>437</v>
      </c>
      <c r="B136" s="1" t="s">
        <v>292</v>
      </c>
      <c r="C136" s="1" t="str">
        <f>IFERROR(VLOOKUP(B136,'DATABASE-DRIFT_LATENT_HP_ERROR'!$A$143:$B$160,2,FALSE()),"")</f>
        <v>Hot Work</v>
      </c>
      <c r="D136" s="27" t="s">
        <v>783</v>
      </c>
      <c r="E136" s="18" t="s">
        <v>640</v>
      </c>
      <c r="F136" s="1" t="str">
        <f>IFERROR(VLOOKUP(E136,'DATABASE-DRIFT_LATENT_HP_ERROR'!$A$4:$B$13,2,FALSE()),"")</f>
        <v>Drift.4</v>
      </c>
      <c r="G136" s="18" t="s">
        <v>784</v>
      </c>
      <c r="H136" s="3" t="str">
        <f>IFERROR(VLOOKUP(G136,'DATABASE-DRIFT_LATENT_HP_ERROR'!$B$16:$D$76,3,FALSE()),"")</f>
        <v>Temporary safeguard dipakai sebagai pengendalian utama.</v>
      </c>
      <c r="I136" s="1">
        <f>IF($A136="","",IFERROR(INDEX('INPUT-SIF_Questions'!$B$2:$B$300,MATCH($A136,'INPUT-SIF_Questions'!$A$2:$A$300,0)),""))</f>
        <v>1</v>
      </c>
      <c r="J136" s="1" t="str">
        <f>IF($A136="","",IFERROR(INDEX('INPUT-SIF_Questions'!$F$2:$F$300,MATCH($A136,'INPUT-SIF_Questions'!$A$2:$A$300,0)),""))</f>
        <v>Baseline</v>
      </c>
      <c r="K136" s="1" t="str">
        <f>IF($A136="","",IFERROR(INDEX('INPUT-SIF_Questions'!$G$2:$G$300,MATCH($A136,'INPUT-SIF_Questions'!$A$2:$A$300,0)),""))</f>
        <v>Y</v>
      </c>
      <c r="L136" s="1">
        <f>IF($A136="","",IFERROR(INDEX('INPUT-SIF_Questions'!$E$2:$E$300,MATCH($A136,'INPUT-SIF_Questions'!$A$2:$A$300,0)),""))</f>
        <v>0</v>
      </c>
    </row>
    <row r="137" spans="1:12" ht="63.75" customHeight="1" x14ac:dyDescent="0.45">
      <c r="A137" s="1" t="s">
        <v>437</v>
      </c>
      <c r="B137" s="1" t="s">
        <v>292</v>
      </c>
      <c r="C137" s="1" t="str">
        <f>IFERROR(VLOOKUP(B137,'DATABASE-DRIFT_LATENT_HP_ERROR'!$A$143:$B$160,2,FALSE()),"")</f>
        <v>Hot Work</v>
      </c>
      <c r="D137" s="27" t="s">
        <v>785</v>
      </c>
      <c r="E137" s="18" t="s">
        <v>635</v>
      </c>
      <c r="F137" s="1" t="str">
        <f>IFERROR(VLOOKUP(E137,'DATABASE-DRIFT_LATENT_HP_ERROR'!$A$4:$B$13,2,FALSE()),"")</f>
        <v>Drift.7</v>
      </c>
      <c r="G137" s="18" t="s">
        <v>687</v>
      </c>
      <c r="H137" s="3" t="str">
        <f>IFERROR(VLOOKUP(G137,'DATABASE-DRIFT_LATENT_HP_ERROR'!$B$16:$D$76,3,FALSE()),"")</f>
        <v>Fokus lebih besar pada kelengkapan dokumen dibanding efektivitas safeguard di lapangan.</v>
      </c>
      <c r="I137" s="1">
        <f>IF($A137="","",IFERROR(INDEX('INPUT-SIF_Questions'!$B$2:$B$300,MATCH($A137,'INPUT-SIF_Questions'!$A$2:$A$300,0)),""))</f>
        <v>1</v>
      </c>
      <c r="J137" s="1" t="str">
        <f>IF($A137="","",IFERROR(INDEX('INPUT-SIF_Questions'!$F$2:$F$300,MATCH($A137,'INPUT-SIF_Questions'!$A$2:$A$300,0)),""))</f>
        <v>Baseline</v>
      </c>
      <c r="K137" s="1" t="str">
        <f>IF($A137="","",IFERROR(INDEX('INPUT-SIF_Questions'!$G$2:$G$300,MATCH($A137,'INPUT-SIF_Questions'!$A$2:$A$300,0)),""))</f>
        <v>Y</v>
      </c>
      <c r="L137" s="1">
        <f>IF($A137="","",IFERROR(INDEX('INPUT-SIF_Questions'!$E$2:$E$300,MATCH($A137,'INPUT-SIF_Questions'!$A$2:$A$300,0)),""))</f>
        <v>0</v>
      </c>
    </row>
    <row r="138" spans="1:12" ht="49.5" customHeight="1" x14ac:dyDescent="0.45">
      <c r="A138" s="1" t="s">
        <v>443</v>
      </c>
      <c r="B138" s="1" t="s">
        <v>92</v>
      </c>
      <c r="C138" s="1" t="str">
        <f>IFERROR(VLOOKUP(B138,'DATABASE-DRIFT_LATENT_HP_ERROR'!$A$143:$B$160,2,FALSE()),"")</f>
        <v>Powered System / Isolation of Hazardous Energy</v>
      </c>
      <c r="D138" s="27" t="s">
        <v>786</v>
      </c>
      <c r="E138" s="18" t="s">
        <v>648</v>
      </c>
      <c r="F138" s="1" t="str">
        <f>IFERROR(VLOOKUP(E138,'DATABASE-DRIFT_LATENT_HP_ERROR'!$A$4:$B$13,2,FALSE()),"")</f>
        <v>Drift.10</v>
      </c>
      <c r="G138" s="18" t="s">
        <v>687</v>
      </c>
      <c r="H138" s="3" t="str">
        <f>IFERROR(VLOOKUP(G138,'DATABASE-DRIFT_LATENT_HP_ERROR'!$B$16:$D$76,3,FALSE()),"")</f>
        <v>Fokus lebih besar pada kelengkapan dokumen dibanding efektivitas safeguard di lapangan.</v>
      </c>
      <c r="I138" s="1">
        <f>IF($A138="","",IFERROR(INDEX('INPUT-SIF_Questions'!$B$2:$B$300,MATCH($A138,'INPUT-SIF_Questions'!$A$2:$A$300,0)),""))</f>
        <v>1</v>
      </c>
      <c r="J138" s="1" t="str">
        <f>IF($A138="","",IFERROR(INDEX('INPUT-SIF_Questions'!$F$2:$F$300,MATCH($A138,'INPUT-SIF_Questions'!$A$2:$A$300,0)),""))</f>
        <v>Baseline</v>
      </c>
      <c r="K138" s="1" t="str">
        <f>IF($A138="","",IFERROR(INDEX('INPUT-SIF_Questions'!$G$2:$G$300,MATCH($A138,'INPUT-SIF_Questions'!$A$2:$A$300,0)),""))</f>
        <v>Y</v>
      </c>
      <c r="L138" s="1">
        <f>IF($A138="","",IFERROR(INDEX('INPUT-SIF_Questions'!$E$2:$E$300,MATCH($A138,'INPUT-SIF_Questions'!$A$2:$A$300,0)),""))</f>
        <v>0</v>
      </c>
    </row>
    <row r="139" spans="1:12" ht="49.5" customHeight="1" x14ac:dyDescent="0.45">
      <c r="A139" s="1" t="s">
        <v>443</v>
      </c>
      <c r="B139" s="1" t="s">
        <v>92</v>
      </c>
      <c r="C139" s="1" t="str">
        <f>IFERROR(VLOOKUP(B139,'DATABASE-DRIFT_LATENT_HP_ERROR'!$A$143:$B$160,2,FALSE()),"")</f>
        <v>Powered System / Isolation of Hazardous Energy</v>
      </c>
      <c r="D139" s="27" t="s">
        <v>787</v>
      </c>
      <c r="E139" s="18" t="s">
        <v>648</v>
      </c>
      <c r="F139" s="1" t="str">
        <f>IFERROR(VLOOKUP(E139,'DATABASE-DRIFT_LATENT_HP_ERROR'!$A$4:$B$13,2,FALSE()),"")</f>
        <v>Drift.10</v>
      </c>
      <c r="G139" s="18" t="s">
        <v>759</v>
      </c>
      <c r="H139" s="3" t="str">
        <f>IFERROR(VLOOKUP(G139,'DATABASE-DRIFT_LATENT_HP_ERROR'!$B$16:$D$76,3,FALSE()),"")</f>
        <v>Verifikasi dilakukan administratif tanpa pembuktian efektivitas di lapangan.</v>
      </c>
      <c r="I139" s="1">
        <f>IF($A139="","",IFERROR(INDEX('INPUT-SIF_Questions'!$B$2:$B$300,MATCH($A139,'INPUT-SIF_Questions'!$A$2:$A$300,0)),""))</f>
        <v>1</v>
      </c>
      <c r="J139" s="1" t="str">
        <f>IF($A139="","",IFERROR(INDEX('INPUT-SIF_Questions'!$F$2:$F$300,MATCH($A139,'INPUT-SIF_Questions'!$A$2:$A$300,0)),""))</f>
        <v>Baseline</v>
      </c>
      <c r="K139" s="1" t="str">
        <f>IF($A139="","",IFERROR(INDEX('INPUT-SIF_Questions'!$G$2:$G$300,MATCH($A139,'INPUT-SIF_Questions'!$A$2:$A$300,0)),""))</f>
        <v>Y</v>
      </c>
      <c r="L139" s="1">
        <f>IF($A139="","",IFERROR(INDEX('INPUT-SIF_Questions'!$E$2:$E$300,MATCH($A139,'INPUT-SIF_Questions'!$A$2:$A$300,0)),""))</f>
        <v>0</v>
      </c>
    </row>
    <row r="140" spans="1:12" ht="42.75" customHeight="1" x14ac:dyDescent="0.45">
      <c r="A140" s="1" t="s">
        <v>443</v>
      </c>
      <c r="B140" s="1" t="s">
        <v>92</v>
      </c>
      <c r="C140" s="1" t="str">
        <f>IFERROR(VLOOKUP(B140,'DATABASE-DRIFT_LATENT_HP_ERROR'!$A$143:$B$160,2,FALSE()),"")</f>
        <v>Powered System / Isolation of Hazardous Energy</v>
      </c>
      <c r="D140" s="27" t="s">
        <v>788</v>
      </c>
      <c r="E140" s="18" t="s">
        <v>648</v>
      </c>
      <c r="F140" s="1" t="str">
        <f>IFERROR(VLOOKUP(E140,'DATABASE-DRIFT_LATENT_HP_ERROR'!$A$4:$B$13,2,FALSE()),"")</f>
        <v>Drift.10</v>
      </c>
      <c r="G140" s="18" t="s">
        <v>649</v>
      </c>
      <c r="H140" s="3" t="str">
        <f>IFERROR(VLOOKUP(G140,'DATABASE-DRIFT_LATENT_HP_ERROR'!$B$16:$D$76,3,FALSE()),"")</f>
        <v>Equipment digunakan di luar batas desain normal.</v>
      </c>
      <c r="I140" s="1">
        <f>IF($A140="","",IFERROR(INDEX('INPUT-SIF_Questions'!$B$2:$B$300,MATCH($A140,'INPUT-SIF_Questions'!$A$2:$A$300,0)),""))</f>
        <v>1</v>
      </c>
      <c r="J140" s="1" t="str">
        <f>IF($A140="","",IFERROR(INDEX('INPUT-SIF_Questions'!$F$2:$F$300,MATCH($A140,'INPUT-SIF_Questions'!$A$2:$A$300,0)),""))</f>
        <v>Baseline</v>
      </c>
      <c r="K140" s="1" t="str">
        <f>IF($A140="","",IFERROR(INDEX('INPUT-SIF_Questions'!$G$2:$G$300,MATCH($A140,'INPUT-SIF_Questions'!$A$2:$A$300,0)),""))</f>
        <v>Y</v>
      </c>
      <c r="L140" s="1">
        <f>IF($A140="","",IFERROR(INDEX('INPUT-SIF_Questions'!$E$2:$E$300,MATCH($A140,'INPUT-SIF_Questions'!$A$2:$A$300,0)),""))</f>
        <v>0</v>
      </c>
    </row>
    <row r="141" spans="1:12" ht="14.25" customHeight="1" x14ac:dyDescent="0.45">
      <c r="I141" s="1" t="str">
        <f>IF($A141="","",IFERROR(INDEX('INPUT-SIF_Questions'!$B$2:$B$300,MATCH($A141,'INPUT-SIF_Questions'!$A$2:$A$300,0)),""))</f>
        <v/>
      </c>
      <c r="J141" s="1" t="str">
        <f>IF($A141="","",IFERROR(INDEX('INPUT-SIF_Questions'!$F$2:$F$300,MATCH($A141,'INPUT-SIF_Questions'!$A$2:$A$300,0)),""))</f>
        <v/>
      </c>
      <c r="K141" s="1" t="str">
        <f>IF($A141="","",IFERROR(INDEX('INPUT-SIF_Questions'!$G$2:$G$300,MATCH($A141,'INPUT-SIF_Questions'!$A$2:$A$300,0)),""))</f>
        <v/>
      </c>
      <c r="L141" s="1" t="str">
        <f>IF($A141="","",IFERROR(INDEX('INPUT-SIF_Questions'!$E$2:$E$300,MATCH($A141,'INPUT-SIF_Questions'!$A$2:$A$300,0)),""))</f>
        <v/>
      </c>
    </row>
    <row r="142" spans="1:12" ht="14.25" customHeight="1" x14ac:dyDescent="0.45">
      <c r="I142" s="1" t="str">
        <f>IF($A142="","",IFERROR(INDEX('INPUT-SIF_Questions'!$B$2:$B$300,MATCH($A142,'INPUT-SIF_Questions'!$A$2:$A$300,0)),""))</f>
        <v/>
      </c>
      <c r="J142" s="1" t="str">
        <f>IF($A142="","",IFERROR(INDEX('INPUT-SIF_Questions'!$F$2:$F$300,MATCH($A142,'INPUT-SIF_Questions'!$A$2:$A$300,0)),""))</f>
        <v/>
      </c>
      <c r="K142" s="1" t="str">
        <f>IF($A142="","",IFERROR(INDEX('INPUT-SIF_Questions'!$G$2:$G$300,MATCH($A142,'INPUT-SIF_Questions'!$A$2:$A$300,0)),""))</f>
        <v/>
      </c>
      <c r="L142" s="1" t="str">
        <f>IF($A142="","",IFERROR(INDEX('INPUT-SIF_Questions'!$E$2:$E$300,MATCH($A142,'INPUT-SIF_Questions'!$A$2:$A$300,0)),""))</f>
        <v/>
      </c>
    </row>
    <row r="143" spans="1:12" ht="14.25" customHeight="1" x14ac:dyDescent="0.45">
      <c r="I143" s="1" t="str">
        <f>IF($A143="","",IFERROR(INDEX('INPUT-SIF_Questions'!$B$2:$B$300,MATCH($A143,'INPUT-SIF_Questions'!$A$2:$A$300,0)),""))</f>
        <v/>
      </c>
      <c r="J143" s="1" t="str">
        <f>IF($A143="","",IFERROR(INDEX('INPUT-SIF_Questions'!$F$2:$F$300,MATCH($A143,'INPUT-SIF_Questions'!$A$2:$A$300,0)),""))</f>
        <v/>
      </c>
      <c r="K143" s="1" t="str">
        <f>IF($A143="","",IFERROR(INDEX('INPUT-SIF_Questions'!$G$2:$G$300,MATCH($A143,'INPUT-SIF_Questions'!$A$2:$A$300,0)),""))</f>
        <v/>
      </c>
      <c r="L143" s="1" t="str">
        <f>IF($A143="","",IFERROR(INDEX('INPUT-SIF_Questions'!$E$2:$E$300,MATCH($A143,'INPUT-SIF_Questions'!$A$2:$A$300,0)),""))</f>
        <v/>
      </c>
    </row>
    <row r="144" spans="1:12" ht="14.25" customHeight="1" x14ac:dyDescent="0.45">
      <c r="I144" s="1" t="str">
        <f>IF($A144="","",IFERROR(INDEX('INPUT-SIF_Questions'!$B$2:$B$300,MATCH($A144,'INPUT-SIF_Questions'!$A$2:$A$300,0)),""))</f>
        <v/>
      </c>
      <c r="J144" s="1" t="str">
        <f>IF($A144="","",IFERROR(INDEX('INPUT-SIF_Questions'!$F$2:$F$300,MATCH($A144,'INPUT-SIF_Questions'!$A$2:$A$300,0)),""))</f>
        <v/>
      </c>
      <c r="K144" s="1" t="str">
        <f>IF($A144="","",IFERROR(INDEX('INPUT-SIF_Questions'!$G$2:$G$300,MATCH($A144,'INPUT-SIF_Questions'!$A$2:$A$300,0)),""))</f>
        <v/>
      </c>
      <c r="L144" s="1" t="str">
        <f>IF($A144="","",IFERROR(INDEX('INPUT-SIF_Questions'!$E$2:$E$300,MATCH($A144,'INPUT-SIF_Questions'!$A$2:$A$300,0)),""))</f>
        <v/>
      </c>
    </row>
    <row r="145" spans="9:12" ht="14.25" customHeight="1" x14ac:dyDescent="0.45">
      <c r="I145" s="1" t="str">
        <f>IF($A145="","",IFERROR(INDEX('INPUT-SIF_Questions'!$B$2:$B$300,MATCH($A145,'INPUT-SIF_Questions'!$A$2:$A$300,0)),""))</f>
        <v/>
      </c>
      <c r="J145" s="1" t="str">
        <f>IF($A145="","",IFERROR(INDEX('INPUT-SIF_Questions'!$F$2:$F$300,MATCH($A145,'INPUT-SIF_Questions'!$A$2:$A$300,0)),""))</f>
        <v/>
      </c>
      <c r="K145" s="1" t="str">
        <f>IF($A145="","",IFERROR(INDEX('INPUT-SIF_Questions'!$G$2:$G$300,MATCH($A145,'INPUT-SIF_Questions'!$A$2:$A$300,0)),""))</f>
        <v/>
      </c>
      <c r="L145" s="1" t="str">
        <f>IF($A145="","",IFERROR(INDEX('INPUT-SIF_Questions'!$E$2:$E$300,MATCH($A145,'INPUT-SIF_Questions'!$A$2:$A$300,0)),""))</f>
        <v/>
      </c>
    </row>
    <row r="146" spans="9:12" ht="14.25" customHeight="1" x14ac:dyDescent="0.45">
      <c r="I146" s="1" t="str">
        <f>IF($A146="","",IFERROR(INDEX('INPUT-SIF_Questions'!$B$2:$B$300,MATCH($A146,'INPUT-SIF_Questions'!$A$2:$A$300,0)),""))</f>
        <v/>
      </c>
      <c r="J146" s="1" t="str">
        <f>IF($A146="","",IFERROR(INDEX('INPUT-SIF_Questions'!$F$2:$F$300,MATCH($A146,'INPUT-SIF_Questions'!$A$2:$A$300,0)),""))</f>
        <v/>
      </c>
      <c r="K146" s="1" t="str">
        <f>IF($A146="","",IFERROR(INDEX('INPUT-SIF_Questions'!$G$2:$G$300,MATCH($A146,'INPUT-SIF_Questions'!$A$2:$A$300,0)),""))</f>
        <v/>
      </c>
      <c r="L146" s="1" t="str">
        <f>IF($A146="","",IFERROR(INDEX('INPUT-SIF_Questions'!$E$2:$E$300,MATCH($A146,'INPUT-SIF_Questions'!$A$2:$A$300,0)),""))</f>
        <v/>
      </c>
    </row>
    <row r="147" spans="9:12" ht="14.25" customHeight="1" x14ac:dyDescent="0.45">
      <c r="I147" s="1" t="str">
        <f>IF($A147="","",IFERROR(INDEX('INPUT-SIF_Questions'!$B$2:$B$300,MATCH($A147,'INPUT-SIF_Questions'!$A$2:$A$300,0)),""))</f>
        <v/>
      </c>
      <c r="J147" s="1" t="str">
        <f>IF($A147="","",IFERROR(INDEX('INPUT-SIF_Questions'!$F$2:$F$300,MATCH($A147,'INPUT-SIF_Questions'!$A$2:$A$300,0)),""))</f>
        <v/>
      </c>
      <c r="K147" s="1" t="str">
        <f>IF($A147="","",IFERROR(INDEX('INPUT-SIF_Questions'!$G$2:$G$300,MATCH($A147,'INPUT-SIF_Questions'!$A$2:$A$300,0)),""))</f>
        <v/>
      </c>
      <c r="L147" s="1" t="str">
        <f>IF($A147="","",IFERROR(INDEX('INPUT-SIF_Questions'!$E$2:$E$300,MATCH($A147,'INPUT-SIF_Questions'!$A$2:$A$300,0)),""))</f>
        <v/>
      </c>
    </row>
    <row r="148" spans="9:12" ht="14.25" customHeight="1" x14ac:dyDescent="0.45">
      <c r="I148" s="1" t="str">
        <f>IF($A148="","",IFERROR(INDEX('INPUT-SIF_Questions'!$B$2:$B$300,MATCH($A148,'INPUT-SIF_Questions'!$A$2:$A$300,0)),""))</f>
        <v/>
      </c>
      <c r="J148" s="1" t="str">
        <f>IF($A148="","",IFERROR(INDEX('INPUT-SIF_Questions'!$F$2:$F$300,MATCH($A148,'INPUT-SIF_Questions'!$A$2:$A$300,0)),""))</f>
        <v/>
      </c>
      <c r="K148" s="1" t="str">
        <f>IF($A148="","",IFERROR(INDEX('INPUT-SIF_Questions'!$G$2:$G$300,MATCH($A148,'INPUT-SIF_Questions'!$A$2:$A$300,0)),""))</f>
        <v/>
      </c>
      <c r="L148" s="1" t="str">
        <f>IF($A148="","",IFERROR(INDEX('INPUT-SIF_Questions'!$E$2:$E$300,MATCH($A148,'INPUT-SIF_Questions'!$A$2:$A$300,0)),""))</f>
        <v/>
      </c>
    </row>
    <row r="149" spans="9:12" ht="14.25" customHeight="1" x14ac:dyDescent="0.45">
      <c r="I149" s="1" t="str">
        <f>IF($A149="","",IFERROR(INDEX('INPUT-SIF_Questions'!$B$2:$B$300,MATCH($A149,'INPUT-SIF_Questions'!$A$2:$A$300,0)),""))</f>
        <v/>
      </c>
      <c r="J149" s="1" t="str">
        <f>IF($A149="","",IFERROR(INDEX('INPUT-SIF_Questions'!$F$2:$F$300,MATCH($A149,'INPUT-SIF_Questions'!$A$2:$A$300,0)),""))</f>
        <v/>
      </c>
      <c r="K149" s="1" t="str">
        <f>IF($A149="","",IFERROR(INDEX('INPUT-SIF_Questions'!$G$2:$G$300,MATCH($A149,'INPUT-SIF_Questions'!$A$2:$A$300,0)),""))</f>
        <v/>
      </c>
      <c r="L149" s="1" t="str">
        <f>IF($A149="","",IFERROR(INDEX('INPUT-SIF_Questions'!$E$2:$E$300,MATCH($A149,'INPUT-SIF_Questions'!$A$2:$A$300,0)),""))</f>
        <v/>
      </c>
    </row>
    <row r="150" spans="9:12" ht="14.25" customHeight="1" x14ac:dyDescent="0.45">
      <c r="I150" s="1" t="str">
        <f>IF($A150="","",IFERROR(INDEX('INPUT-SIF_Questions'!$B$2:$B$300,MATCH($A150,'INPUT-SIF_Questions'!$A$2:$A$300,0)),""))</f>
        <v/>
      </c>
      <c r="J150" s="1" t="str">
        <f>IF($A150="","",IFERROR(INDEX('INPUT-SIF_Questions'!$F$2:$F$300,MATCH($A150,'INPUT-SIF_Questions'!$A$2:$A$300,0)),""))</f>
        <v/>
      </c>
      <c r="K150" s="1" t="str">
        <f>IF($A150="","",IFERROR(INDEX('INPUT-SIF_Questions'!$G$2:$G$300,MATCH($A150,'INPUT-SIF_Questions'!$A$2:$A$300,0)),""))</f>
        <v/>
      </c>
      <c r="L150" s="1" t="str">
        <f>IF($A150="","",IFERROR(INDEX('INPUT-SIF_Questions'!$E$2:$E$300,MATCH($A150,'INPUT-SIF_Questions'!$A$2:$A$300,0)),""))</f>
        <v/>
      </c>
    </row>
    <row r="151" spans="9:12" ht="14.25" customHeight="1" x14ac:dyDescent="0.45">
      <c r="I151" s="1" t="str">
        <f>IF($A151="","",IFERROR(INDEX('INPUT-SIF_Questions'!$B$2:$B$300,MATCH($A151,'INPUT-SIF_Questions'!$A$2:$A$300,0)),""))</f>
        <v/>
      </c>
      <c r="J151" s="1" t="str">
        <f>IF($A151="","",IFERROR(INDEX('INPUT-SIF_Questions'!$F$2:$F$300,MATCH($A151,'INPUT-SIF_Questions'!$A$2:$A$300,0)),""))</f>
        <v/>
      </c>
      <c r="K151" s="1" t="str">
        <f>IF($A151="","",IFERROR(INDEX('INPUT-SIF_Questions'!$G$2:$G$300,MATCH($A151,'INPUT-SIF_Questions'!$A$2:$A$300,0)),""))</f>
        <v/>
      </c>
      <c r="L151" s="1" t="str">
        <f>IF($A151="","",IFERROR(INDEX('INPUT-SIF_Questions'!$E$2:$E$300,MATCH($A151,'INPUT-SIF_Questions'!$A$2:$A$300,0)),""))</f>
        <v/>
      </c>
    </row>
    <row r="152" spans="9:12" ht="14.25" customHeight="1" x14ac:dyDescent="0.45">
      <c r="I152" s="1" t="str">
        <f>IF($A152="","",IFERROR(INDEX('INPUT-SIF_Questions'!$B$2:$B$300,MATCH($A152,'INPUT-SIF_Questions'!$A$2:$A$300,0)),""))</f>
        <v/>
      </c>
      <c r="J152" s="1" t="str">
        <f>IF($A152="","",IFERROR(INDEX('INPUT-SIF_Questions'!$F$2:$F$300,MATCH($A152,'INPUT-SIF_Questions'!$A$2:$A$300,0)),""))</f>
        <v/>
      </c>
      <c r="K152" s="1" t="str">
        <f>IF($A152="","",IFERROR(INDEX('INPUT-SIF_Questions'!$G$2:$G$300,MATCH($A152,'INPUT-SIF_Questions'!$A$2:$A$300,0)),""))</f>
        <v/>
      </c>
      <c r="L152" s="1" t="str">
        <f>IF($A152="","",IFERROR(INDEX('INPUT-SIF_Questions'!$E$2:$E$300,MATCH($A152,'INPUT-SIF_Questions'!$A$2:$A$300,0)),""))</f>
        <v/>
      </c>
    </row>
    <row r="153" spans="9:12" ht="14.25" customHeight="1" x14ac:dyDescent="0.45">
      <c r="I153" s="1" t="str">
        <f>IF($A153="","",IFERROR(INDEX('INPUT-SIF_Questions'!$B$2:$B$300,MATCH($A153,'INPUT-SIF_Questions'!$A$2:$A$300,0)),""))</f>
        <v/>
      </c>
      <c r="J153" s="1" t="str">
        <f>IF($A153="","",IFERROR(INDEX('INPUT-SIF_Questions'!$F$2:$F$300,MATCH($A153,'INPUT-SIF_Questions'!$A$2:$A$300,0)),""))</f>
        <v/>
      </c>
      <c r="K153" s="1" t="str">
        <f>IF($A153="","",IFERROR(INDEX('INPUT-SIF_Questions'!$G$2:$G$300,MATCH($A153,'INPUT-SIF_Questions'!$A$2:$A$300,0)),""))</f>
        <v/>
      </c>
      <c r="L153" s="1" t="str">
        <f>IF($A153="","",IFERROR(INDEX('INPUT-SIF_Questions'!$E$2:$E$300,MATCH($A153,'INPUT-SIF_Questions'!$A$2:$A$300,0)),""))</f>
        <v/>
      </c>
    </row>
    <row r="154" spans="9:12" ht="14.25" customHeight="1" x14ac:dyDescent="0.45">
      <c r="I154" s="1" t="str">
        <f>IF($A154="","",IFERROR(INDEX('INPUT-SIF_Questions'!$B$2:$B$300,MATCH($A154,'INPUT-SIF_Questions'!$A$2:$A$300,0)),""))</f>
        <v/>
      </c>
      <c r="J154" s="1" t="str">
        <f>IF($A154="","",IFERROR(INDEX('INPUT-SIF_Questions'!$F$2:$F$300,MATCH($A154,'INPUT-SIF_Questions'!$A$2:$A$300,0)),""))</f>
        <v/>
      </c>
      <c r="K154" s="1" t="str">
        <f>IF($A154="","",IFERROR(INDEX('INPUT-SIF_Questions'!$G$2:$G$300,MATCH($A154,'INPUT-SIF_Questions'!$A$2:$A$300,0)),""))</f>
        <v/>
      </c>
      <c r="L154" s="1" t="str">
        <f>IF($A154="","",IFERROR(INDEX('INPUT-SIF_Questions'!$E$2:$E$300,MATCH($A154,'INPUT-SIF_Questions'!$A$2:$A$300,0)),""))</f>
        <v/>
      </c>
    </row>
    <row r="155" spans="9:12" ht="14.25" customHeight="1" x14ac:dyDescent="0.45">
      <c r="I155" s="1" t="str">
        <f>IF($A155="","",IFERROR(INDEX('INPUT-SIF_Questions'!$B$2:$B$300,MATCH($A155,'INPUT-SIF_Questions'!$A$2:$A$300,0)),""))</f>
        <v/>
      </c>
      <c r="J155" s="1" t="str">
        <f>IF($A155="","",IFERROR(INDEX('INPUT-SIF_Questions'!$F$2:$F$300,MATCH($A155,'INPUT-SIF_Questions'!$A$2:$A$300,0)),""))</f>
        <v/>
      </c>
      <c r="K155" s="1" t="str">
        <f>IF($A155="","",IFERROR(INDEX('INPUT-SIF_Questions'!$G$2:$G$300,MATCH($A155,'INPUT-SIF_Questions'!$A$2:$A$300,0)),""))</f>
        <v/>
      </c>
      <c r="L155" s="1" t="str">
        <f>IF($A155="","",IFERROR(INDEX('INPUT-SIF_Questions'!$E$2:$E$300,MATCH($A155,'INPUT-SIF_Questions'!$A$2:$A$300,0)),""))</f>
        <v/>
      </c>
    </row>
    <row r="156" spans="9:12" ht="14.25" customHeight="1" x14ac:dyDescent="0.45">
      <c r="I156" s="1" t="str">
        <f>IF($A156="","",IFERROR(INDEX('INPUT-SIF_Questions'!$B$2:$B$300,MATCH($A156,'INPUT-SIF_Questions'!$A$2:$A$300,0)),""))</f>
        <v/>
      </c>
      <c r="J156" s="1" t="str">
        <f>IF($A156="","",IFERROR(INDEX('INPUT-SIF_Questions'!$F$2:$F$300,MATCH($A156,'INPUT-SIF_Questions'!$A$2:$A$300,0)),""))</f>
        <v/>
      </c>
      <c r="K156" s="1" t="str">
        <f>IF($A156="","",IFERROR(INDEX('INPUT-SIF_Questions'!$G$2:$G$300,MATCH($A156,'INPUT-SIF_Questions'!$A$2:$A$300,0)),""))</f>
        <v/>
      </c>
      <c r="L156" s="1" t="str">
        <f>IF($A156="","",IFERROR(INDEX('INPUT-SIF_Questions'!$E$2:$E$300,MATCH($A156,'INPUT-SIF_Questions'!$A$2:$A$300,0)),""))</f>
        <v/>
      </c>
    </row>
    <row r="157" spans="9:12" ht="14.25" customHeight="1" x14ac:dyDescent="0.45">
      <c r="I157" s="1" t="str">
        <f>IF($A157="","",IFERROR(INDEX('INPUT-SIF_Questions'!$B$2:$B$300,MATCH($A157,'INPUT-SIF_Questions'!$A$2:$A$300,0)),""))</f>
        <v/>
      </c>
      <c r="J157" s="1" t="str">
        <f>IF($A157="","",IFERROR(INDEX('INPUT-SIF_Questions'!$F$2:$F$300,MATCH($A157,'INPUT-SIF_Questions'!$A$2:$A$300,0)),""))</f>
        <v/>
      </c>
      <c r="K157" s="1" t="str">
        <f>IF($A157="","",IFERROR(INDEX('INPUT-SIF_Questions'!$G$2:$G$300,MATCH($A157,'INPUT-SIF_Questions'!$A$2:$A$300,0)),""))</f>
        <v/>
      </c>
      <c r="L157" s="1" t="str">
        <f>IF($A157="","",IFERROR(INDEX('INPUT-SIF_Questions'!$E$2:$E$300,MATCH($A157,'INPUT-SIF_Questions'!$A$2:$A$300,0)),""))</f>
        <v/>
      </c>
    </row>
    <row r="158" spans="9:12" ht="14.25" customHeight="1" x14ac:dyDescent="0.45">
      <c r="I158" s="1" t="str">
        <f>IF($A158="","",IFERROR(INDEX('INPUT-SIF_Questions'!$B$2:$B$300,MATCH($A158,'INPUT-SIF_Questions'!$A$2:$A$300,0)),""))</f>
        <v/>
      </c>
      <c r="J158" s="1" t="str">
        <f>IF($A158="","",IFERROR(INDEX('INPUT-SIF_Questions'!$F$2:$F$300,MATCH($A158,'INPUT-SIF_Questions'!$A$2:$A$300,0)),""))</f>
        <v/>
      </c>
      <c r="K158" s="1" t="str">
        <f>IF($A158="","",IFERROR(INDEX('INPUT-SIF_Questions'!$G$2:$G$300,MATCH($A158,'INPUT-SIF_Questions'!$A$2:$A$300,0)),""))</f>
        <v/>
      </c>
      <c r="L158" s="1" t="str">
        <f>IF($A158="","",IFERROR(INDEX('INPUT-SIF_Questions'!$E$2:$E$300,MATCH($A158,'INPUT-SIF_Questions'!$A$2:$A$300,0)),""))</f>
        <v/>
      </c>
    </row>
    <row r="159" spans="9:12" ht="14.25" customHeight="1" x14ac:dyDescent="0.45">
      <c r="I159" s="1" t="str">
        <f>IF($A159="","",IFERROR(INDEX('INPUT-SIF_Questions'!$B$2:$B$300,MATCH($A159,'INPUT-SIF_Questions'!$A$2:$A$300,0)),""))</f>
        <v/>
      </c>
      <c r="J159" s="1" t="str">
        <f>IF($A159="","",IFERROR(INDEX('INPUT-SIF_Questions'!$F$2:$F$300,MATCH($A159,'INPUT-SIF_Questions'!$A$2:$A$300,0)),""))</f>
        <v/>
      </c>
      <c r="K159" s="1" t="str">
        <f>IF($A159="","",IFERROR(INDEX('INPUT-SIF_Questions'!$G$2:$G$300,MATCH($A159,'INPUT-SIF_Questions'!$A$2:$A$300,0)),""))</f>
        <v/>
      </c>
      <c r="L159" s="1" t="str">
        <f>IF($A159="","",IFERROR(INDEX('INPUT-SIF_Questions'!$E$2:$E$300,MATCH($A159,'INPUT-SIF_Questions'!$A$2:$A$300,0)),""))</f>
        <v/>
      </c>
    </row>
    <row r="160" spans="9:12" ht="14.25" customHeight="1" x14ac:dyDescent="0.45">
      <c r="I160" s="1" t="str">
        <f>IF($A160="","",IFERROR(INDEX('INPUT-SIF_Questions'!$B$2:$B$300,MATCH($A160,'INPUT-SIF_Questions'!$A$2:$A$300,0)),""))</f>
        <v/>
      </c>
      <c r="J160" s="1" t="str">
        <f>IF($A160="","",IFERROR(INDEX('INPUT-SIF_Questions'!$F$2:$F$300,MATCH($A160,'INPUT-SIF_Questions'!$A$2:$A$300,0)),""))</f>
        <v/>
      </c>
      <c r="K160" s="1" t="str">
        <f>IF($A160="","",IFERROR(INDEX('INPUT-SIF_Questions'!$G$2:$G$300,MATCH($A160,'INPUT-SIF_Questions'!$A$2:$A$300,0)),""))</f>
        <v/>
      </c>
      <c r="L160" s="1" t="str">
        <f>IF($A160="","",IFERROR(INDEX('INPUT-SIF_Questions'!$E$2:$E$300,MATCH($A160,'INPUT-SIF_Questions'!$A$2:$A$300,0)),""))</f>
        <v/>
      </c>
    </row>
    <row r="161" spans="9:12" ht="14.25" customHeight="1" x14ac:dyDescent="0.45">
      <c r="I161" s="1" t="str">
        <f>IF($A161="","",IFERROR(INDEX('INPUT-SIF_Questions'!$B$2:$B$300,MATCH($A161,'INPUT-SIF_Questions'!$A$2:$A$300,0)),""))</f>
        <v/>
      </c>
      <c r="J161" s="1" t="str">
        <f>IF($A161="","",IFERROR(INDEX('INPUT-SIF_Questions'!$F$2:$F$300,MATCH($A161,'INPUT-SIF_Questions'!$A$2:$A$300,0)),""))</f>
        <v/>
      </c>
      <c r="K161" s="1" t="str">
        <f>IF($A161="","",IFERROR(INDEX('INPUT-SIF_Questions'!$G$2:$G$300,MATCH($A161,'INPUT-SIF_Questions'!$A$2:$A$300,0)),""))</f>
        <v/>
      </c>
      <c r="L161" s="1" t="str">
        <f>IF($A161="","",IFERROR(INDEX('INPUT-SIF_Questions'!$E$2:$E$300,MATCH($A161,'INPUT-SIF_Questions'!$A$2:$A$300,0)),""))</f>
        <v/>
      </c>
    </row>
    <row r="162" spans="9:12" ht="14.25" customHeight="1" x14ac:dyDescent="0.45">
      <c r="I162" s="1" t="str">
        <f>IF($A162="","",IFERROR(INDEX('INPUT-SIF_Questions'!$B$2:$B$300,MATCH($A162,'INPUT-SIF_Questions'!$A$2:$A$300,0)),""))</f>
        <v/>
      </c>
      <c r="J162" s="1" t="str">
        <f>IF($A162="","",IFERROR(INDEX('INPUT-SIF_Questions'!$F$2:$F$300,MATCH($A162,'INPUT-SIF_Questions'!$A$2:$A$300,0)),""))</f>
        <v/>
      </c>
      <c r="K162" s="1" t="str">
        <f>IF($A162="","",IFERROR(INDEX('INPUT-SIF_Questions'!$G$2:$G$300,MATCH($A162,'INPUT-SIF_Questions'!$A$2:$A$300,0)),""))</f>
        <v/>
      </c>
      <c r="L162" s="1" t="str">
        <f>IF($A162="","",IFERROR(INDEX('INPUT-SIF_Questions'!$E$2:$E$300,MATCH($A162,'INPUT-SIF_Questions'!$A$2:$A$300,0)),""))</f>
        <v/>
      </c>
    </row>
    <row r="163" spans="9:12" ht="14.25" customHeight="1" x14ac:dyDescent="0.45">
      <c r="I163" s="1" t="str">
        <f>IF($A163="","",IFERROR(INDEX('INPUT-SIF_Questions'!$B$2:$B$300,MATCH($A163,'INPUT-SIF_Questions'!$A$2:$A$300,0)),""))</f>
        <v/>
      </c>
      <c r="J163" s="1" t="str">
        <f>IF($A163="","",IFERROR(INDEX('INPUT-SIF_Questions'!$F$2:$F$300,MATCH($A163,'INPUT-SIF_Questions'!$A$2:$A$300,0)),""))</f>
        <v/>
      </c>
      <c r="K163" s="1" t="str">
        <f>IF($A163="","",IFERROR(INDEX('INPUT-SIF_Questions'!$G$2:$G$300,MATCH($A163,'INPUT-SIF_Questions'!$A$2:$A$300,0)),""))</f>
        <v/>
      </c>
      <c r="L163" s="1" t="str">
        <f>IF($A163="","",IFERROR(INDEX('INPUT-SIF_Questions'!$E$2:$E$300,MATCH($A163,'INPUT-SIF_Questions'!$A$2:$A$300,0)),""))</f>
        <v/>
      </c>
    </row>
    <row r="164" spans="9:12" ht="14.25" customHeight="1" x14ac:dyDescent="0.45">
      <c r="I164" s="1" t="str">
        <f>IF($A164="","",IFERROR(INDEX('INPUT-SIF_Questions'!$B$2:$B$300,MATCH($A164,'INPUT-SIF_Questions'!$A$2:$A$300,0)),""))</f>
        <v/>
      </c>
      <c r="J164" s="1" t="str">
        <f>IF($A164="","",IFERROR(INDEX('INPUT-SIF_Questions'!$F$2:$F$300,MATCH($A164,'INPUT-SIF_Questions'!$A$2:$A$300,0)),""))</f>
        <v/>
      </c>
      <c r="K164" s="1" t="str">
        <f>IF($A164="","",IFERROR(INDEX('INPUT-SIF_Questions'!$G$2:$G$300,MATCH($A164,'INPUT-SIF_Questions'!$A$2:$A$300,0)),""))</f>
        <v/>
      </c>
      <c r="L164" s="1" t="str">
        <f>IF($A164="","",IFERROR(INDEX('INPUT-SIF_Questions'!$E$2:$E$300,MATCH($A164,'INPUT-SIF_Questions'!$A$2:$A$300,0)),""))</f>
        <v/>
      </c>
    </row>
    <row r="165" spans="9:12" ht="14.25" customHeight="1" x14ac:dyDescent="0.45">
      <c r="I165" s="1" t="str">
        <f>IF($A165="","",IFERROR(INDEX('INPUT-SIF_Questions'!$B$2:$B$300,MATCH($A165,'INPUT-SIF_Questions'!$A$2:$A$300,0)),""))</f>
        <v/>
      </c>
      <c r="J165" s="1" t="str">
        <f>IF($A165="","",IFERROR(INDEX('INPUT-SIF_Questions'!$F$2:$F$300,MATCH($A165,'INPUT-SIF_Questions'!$A$2:$A$300,0)),""))</f>
        <v/>
      </c>
      <c r="K165" s="1" t="str">
        <f>IF($A165="","",IFERROR(INDEX('INPUT-SIF_Questions'!$G$2:$G$300,MATCH($A165,'INPUT-SIF_Questions'!$A$2:$A$300,0)),""))</f>
        <v/>
      </c>
      <c r="L165" s="1" t="str">
        <f>IF($A165="","",IFERROR(INDEX('INPUT-SIF_Questions'!$E$2:$E$300,MATCH($A165,'INPUT-SIF_Questions'!$A$2:$A$300,0)),""))</f>
        <v/>
      </c>
    </row>
    <row r="166" spans="9:12" ht="14.25" customHeight="1" x14ac:dyDescent="0.45">
      <c r="I166" s="1" t="str">
        <f>IF($A166="","",IFERROR(INDEX('INPUT-SIF_Questions'!$B$2:$B$300,MATCH($A166,'INPUT-SIF_Questions'!$A$2:$A$300,0)),""))</f>
        <v/>
      </c>
      <c r="J166" s="1" t="str">
        <f>IF($A166="","",IFERROR(INDEX('INPUT-SIF_Questions'!$F$2:$F$300,MATCH($A166,'INPUT-SIF_Questions'!$A$2:$A$300,0)),""))</f>
        <v/>
      </c>
      <c r="K166" s="1" t="str">
        <f>IF($A166="","",IFERROR(INDEX('INPUT-SIF_Questions'!$G$2:$G$300,MATCH($A166,'INPUT-SIF_Questions'!$A$2:$A$300,0)),""))</f>
        <v/>
      </c>
      <c r="L166" s="1" t="str">
        <f>IF($A166="","",IFERROR(INDEX('INPUT-SIF_Questions'!$E$2:$E$300,MATCH($A166,'INPUT-SIF_Questions'!$A$2:$A$300,0)),""))</f>
        <v/>
      </c>
    </row>
    <row r="167" spans="9:12" ht="14.25" customHeight="1" x14ac:dyDescent="0.45">
      <c r="I167" s="1" t="str">
        <f>IF($A167="","",IFERROR(INDEX('INPUT-SIF_Questions'!$B$2:$B$300,MATCH($A167,'INPUT-SIF_Questions'!$A$2:$A$300,0)),""))</f>
        <v/>
      </c>
      <c r="J167" s="1" t="str">
        <f>IF($A167="","",IFERROR(INDEX('INPUT-SIF_Questions'!$F$2:$F$300,MATCH($A167,'INPUT-SIF_Questions'!$A$2:$A$300,0)),""))</f>
        <v/>
      </c>
      <c r="K167" s="1" t="str">
        <f>IF($A167="","",IFERROR(INDEX('INPUT-SIF_Questions'!$G$2:$G$300,MATCH($A167,'INPUT-SIF_Questions'!$A$2:$A$300,0)),""))</f>
        <v/>
      </c>
      <c r="L167" s="1" t="str">
        <f>IF($A167="","",IFERROR(INDEX('INPUT-SIF_Questions'!$E$2:$E$300,MATCH($A167,'INPUT-SIF_Questions'!$A$2:$A$300,0)),""))</f>
        <v/>
      </c>
    </row>
    <row r="168" spans="9:12" ht="14.25" customHeight="1" x14ac:dyDescent="0.45">
      <c r="I168" s="1" t="str">
        <f>IF($A168="","",IFERROR(INDEX('INPUT-SIF_Questions'!$B$2:$B$300,MATCH($A168,'INPUT-SIF_Questions'!$A$2:$A$300,0)),""))</f>
        <v/>
      </c>
      <c r="J168" s="1" t="str">
        <f>IF($A168="","",IFERROR(INDEX('INPUT-SIF_Questions'!$F$2:$F$300,MATCH($A168,'INPUT-SIF_Questions'!$A$2:$A$300,0)),""))</f>
        <v/>
      </c>
      <c r="K168" s="1" t="str">
        <f>IF($A168="","",IFERROR(INDEX('INPUT-SIF_Questions'!$G$2:$G$300,MATCH($A168,'INPUT-SIF_Questions'!$A$2:$A$300,0)),""))</f>
        <v/>
      </c>
      <c r="L168" s="1" t="str">
        <f>IF($A168="","",IFERROR(INDEX('INPUT-SIF_Questions'!$E$2:$E$300,MATCH($A168,'INPUT-SIF_Questions'!$A$2:$A$300,0)),""))</f>
        <v/>
      </c>
    </row>
    <row r="169" spans="9:12" ht="14.25" customHeight="1" x14ac:dyDescent="0.45">
      <c r="I169" s="1" t="str">
        <f>IF($A169="","",IFERROR(INDEX('INPUT-SIF_Questions'!$B$2:$B$300,MATCH($A169,'INPUT-SIF_Questions'!$A$2:$A$300,0)),""))</f>
        <v/>
      </c>
      <c r="J169" s="1" t="str">
        <f>IF($A169="","",IFERROR(INDEX('INPUT-SIF_Questions'!$F$2:$F$300,MATCH($A169,'INPUT-SIF_Questions'!$A$2:$A$300,0)),""))</f>
        <v/>
      </c>
      <c r="K169" s="1" t="str">
        <f>IF($A169="","",IFERROR(INDEX('INPUT-SIF_Questions'!$G$2:$G$300,MATCH($A169,'INPUT-SIF_Questions'!$A$2:$A$300,0)),""))</f>
        <v/>
      </c>
      <c r="L169" s="1" t="str">
        <f>IF($A169="","",IFERROR(INDEX('INPUT-SIF_Questions'!$E$2:$E$300,MATCH($A169,'INPUT-SIF_Questions'!$A$2:$A$300,0)),""))</f>
        <v/>
      </c>
    </row>
    <row r="170" spans="9:12" ht="14.25" customHeight="1" x14ac:dyDescent="0.45">
      <c r="I170" s="1" t="str">
        <f>IF($A170="","",IFERROR(INDEX('INPUT-SIF_Questions'!$B$2:$B$300,MATCH($A170,'INPUT-SIF_Questions'!$A$2:$A$300,0)),""))</f>
        <v/>
      </c>
      <c r="J170" s="1" t="str">
        <f>IF($A170="","",IFERROR(INDEX('INPUT-SIF_Questions'!$F$2:$F$300,MATCH($A170,'INPUT-SIF_Questions'!$A$2:$A$300,0)),""))</f>
        <v/>
      </c>
      <c r="K170" s="1" t="str">
        <f>IF($A170="","",IFERROR(INDEX('INPUT-SIF_Questions'!$G$2:$G$300,MATCH($A170,'INPUT-SIF_Questions'!$A$2:$A$300,0)),""))</f>
        <v/>
      </c>
      <c r="L170" s="1" t="str">
        <f>IF($A170="","",IFERROR(INDEX('INPUT-SIF_Questions'!$E$2:$E$300,MATCH($A170,'INPUT-SIF_Questions'!$A$2:$A$300,0)),""))</f>
        <v/>
      </c>
    </row>
    <row r="171" spans="9:12" ht="14.25" customHeight="1" x14ac:dyDescent="0.45">
      <c r="I171" s="1" t="str">
        <f>IF($A171="","",IFERROR(INDEX('INPUT-SIF_Questions'!$B$2:$B$300,MATCH($A171,'INPUT-SIF_Questions'!$A$2:$A$300,0)),""))</f>
        <v/>
      </c>
      <c r="J171" s="1" t="str">
        <f>IF($A171="","",IFERROR(INDEX('INPUT-SIF_Questions'!$F$2:$F$300,MATCH($A171,'INPUT-SIF_Questions'!$A$2:$A$300,0)),""))</f>
        <v/>
      </c>
      <c r="K171" s="1" t="str">
        <f>IF($A171="","",IFERROR(INDEX('INPUT-SIF_Questions'!$G$2:$G$300,MATCH($A171,'INPUT-SIF_Questions'!$A$2:$A$300,0)),""))</f>
        <v/>
      </c>
      <c r="L171" s="1" t="str">
        <f>IF($A171="","",IFERROR(INDEX('INPUT-SIF_Questions'!$E$2:$E$300,MATCH($A171,'INPUT-SIF_Questions'!$A$2:$A$300,0)),""))</f>
        <v/>
      </c>
    </row>
    <row r="172" spans="9:12" ht="14.25" customHeight="1" x14ac:dyDescent="0.45">
      <c r="I172" s="1" t="str">
        <f>IF($A172="","",IFERROR(INDEX('INPUT-SIF_Questions'!$B$2:$B$300,MATCH($A172,'INPUT-SIF_Questions'!$A$2:$A$300,0)),""))</f>
        <v/>
      </c>
      <c r="J172" s="1" t="str">
        <f>IF($A172="","",IFERROR(INDEX('INPUT-SIF_Questions'!$F$2:$F$300,MATCH($A172,'INPUT-SIF_Questions'!$A$2:$A$300,0)),""))</f>
        <v/>
      </c>
      <c r="K172" s="1" t="str">
        <f>IF($A172="","",IFERROR(INDEX('INPUT-SIF_Questions'!$G$2:$G$300,MATCH($A172,'INPUT-SIF_Questions'!$A$2:$A$300,0)),""))</f>
        <v/>
      </c>
      <c r="L172" s="1" t="str">
        <f>IF($A172="","",IFERROR(INDEX('INPUT-SIF_Questions'!$E$2:$E$300,MATCH($A172,'INPUT-SIF_Questions'!$A$2:$A$300,0)),""))</f>
        <v/>
      </c>
    </row>
    <row r="173" spans="9:12" ht="14.25" customHeight="1" x14ac:dyDescent="0.45">
      <c r="I173" s="1" t="str">
        <f>IF($A173="","",IFERROR(INDEX('INPUT-SIF_Questions'!$B$2:$B$300,MATCH($A173,'INPUT-SIF_Questions'!$A$2:$A$300,0)),""))</f>
        <v/>
      </c>
      <c r="J173" s="1" t="str">
        <f>IF($A173="","",IFERROR(INDEX('INPUT-SIF_Questions'!$F$2:$F$300,MATCH($A173,'INPUT-SIF_Questions'!$A$2:$A$300,0)),""))</f>
        <v/>
      </c>
      <c r="K173" s="1" t="str">
        <f>IF($A173="","",IFERROR(INDEX('INPUT-SIF_Questions'!$G$2:$G$300,MATCH($A173,'INPUT-SIF_Questions'!$A$2:$A$300,0)),""))</f>
        <v/>
      </c>
      <c r="L173" s="1" t="str">
        <f>IF($A173="","",IFERROR(INDEX('INPUT-SIF_Questions'!$E$2:$E$300,MATCH($A173,'INPUT-SIF_Questions'!$A$2:$A$300,0)),""))</f>
        <v/>
      </c>
    </row>
    <row r="174" spans="9:12" ht="14.25" customHeight="1" x14ac:dyDescent="0.45">
      <c r="I174" s="1" t="str">
        <f>IF($A174="","",IFERROR(INDEX('INPUT-SIF_Questions'!$B$2:$B$300,MATCH($A174,'INPUT-SIF_Questions'!$A$2:$A$300,0)),""))</f>
        <v/>
      </c>
      <c r="J174" s="1" t="str">
        <f>IF($A174="","",IFERROR(INDEX('INPUT-SIF_Questions'!$F$2:$F$300,MATCH($A174,'INPUT-SIF_Questions'!$A$2:$A$300,0)),""))</f>
        <v/>
      </c>
      <c r="K174" s="1" t="str">
        <f>IF($A174="","",IFERROR(INDEX('INPUT-SIF_Questions'!$G$2:$G$300,MATCH($A174,'INPUT-SIF_Questions'!$A$2:$A$300,0)),""))</f>
        <v/>
      </c>
      <c r="L174" s="1" t="str">
        <f>IF($A174="","",IFERROR(INDEX('INPUT-SIF_Questions'!$E$2:$E$300,MATCH($A174,'INPUT-SIF_Questions'!$A$2:$A$300,0)),""))</f>
        <v/>
      </c>
    </row>
    <row r="175" spans="9:12" ht="14.25" customHeight="1" x14ac:dyDescent="0.45">
      <c r="I175" s="1" t="str">
        <f>IF($A175="","",IFERROR(INDEX('INPUT-SIF_Questions'!$B$2:$B$300,MATCH($A175,'INPUT-SIF_Questions'!$A$2:$A$300,0)),""))</f>
        <v/>
      </c>
      <c r="J175" s="1" t="str">
        <f>IF($A175="","",IFERROR(INDEX('INPUT-SIF_Questions'!$F$2:$F$300,MATCH($A175,'INPUT-SIF_Questions'!$A$2:$A$300,0)),""))</f>
        <v/>
      </c>
      <c r="K175" s="1" t="str">
        <f>IF($A175="","",IFERROR(INDEX('INPUT-SIF_Questions'!$G$2:$G$300,MATCH($A175,'INPUT-SIF_Questions'!$A$2:$A$300,0)),""))</f>
        <v/>
      </c>
      <c r="L175" s="1" t="str">
        <f>IF($A175="","",IFERROR(INDEX('INPUT-SIF_Questions'!$E$2:$E$300,MATCH($A175,'INPUT-SIF_Questions'!$A$2:$A$300,0)),""))</f>
        <v/>
      </c>
    </row>
    <row r="176" spans="9:12" ht="14.25" customHeight="1" x14ac:dyDescent="0.45">
      <c r="I176" s="1" t="str">
        <f>IF($A176="","",IFERROR(INDEX('INPUT-SIF_Questions'!$B$2:$B$300,MATCH($A176,'INPUT-SIF_Questions'!$A$2:$A$300,0)),""))</f>
        <v/>
      </c>
      <c r="J176" s="1" t="str">
        <f>IF($A176="","",IFERROR(INDEX('INPUT-SIF_Questions'!$F$2:$F$300,MATCH($A176,'INPUT-SIF_Questions'!$A$2:$A$300,0)),""))</f>
        <v/>
      </c>
      <c r="K176" s="1" t="str">
        <f>IF($A176="","",IFERROR(INDEX('INPUT-SIF_Questions'!$G$2:$G$300,MATCH($A176,'INPUT-SIF_Questions'!$A$2:$A$300,0)),""))</f>
        <v/>
      </c>
      <c r="L176" s="1" t="str">
        <f>IF($A176="","",IFERROR(INDEX('INPUT-SIF_Questions'!$E$2:$E$300,MATCH($A176,'INPUT-SIF_Questions'!$A$2:$A$300,0)),""))</f>
        <v/>
      </c>
    </row>
    <row r="177" spans="9:12" ht="14.25" customHeight="1" x14ac:dyDescent="0.45">
      <c r="I177" s="1" t="str">
        <f>IF($A177="","",IFERROR(INDEX('INPUT-SIF_Questions'!$B$2:$B$300,MATCH($A177,'INPUT-SIF_Questions'!$A$2:$A$300,0)),""))</f>
        <v/>
      </c>
      <c r="J177" s="1" t="str">
        <f>IF($A177="","",IFERROR(INDEX('INPUT-SIF_Questions'!$F$2:$F$300,MATCH($A177,'INPUT-SIF_Questions'!$A$2:$A$300,0)),""))</f>
        <v/>
      </c>
      <c r="K177" s="1" t="str">
        <f>IF($A177="","",IFERROR(INDEX('INPUT-SIF_Questions'!$G$2:$G$300,MATCH($A177,'INPUT-SIF_Questions'!$A$2:$A$300,0)),""))</f>
        <v/>
      </c>
      <c r="L177" s="1" t="str">
        <f>IF($A177="","",IFERROR(INDEX('INPUT-SIF_Questions'!$E$2:$E$300,MATCH($A177,'INPUT-SIF_Questions'!$A$2:$A$300,0)),""))</f>
        <v/>
      </c>
    </row>
    <row r="178" spans="9:12" ht="14.25" customHeight="1" x14ac:dyDescent="0.45">
      <c r="I178" s="1" t="str">
        <f>IF($A178="","",IFERROR(INDEX('INPUT-SIF_Questions'!$B$2:$B$300,MATCH($A178,'INPUT-SIF_Questions'!$A$2:$A$300,0)),""))</f>
        <v/>
      </c>
      <c r="J178" s="1" t="str">
        <f>IF($A178="","",IFERROR(INDEX('INPUT-SIF_Questions'!$F$2:$F$300,MATCH($A178,'INPUT-SIF_Questions'!$A$2:$A$300,0)),""))</f>
        <v/>
      </c>
      <c r="K178" s="1" t="str">
        <f>IF($A178="","",IFERROR(INDEX('INPUT-SIF_Questions'!$G$2:$G$300,MATCH($A178,'INPUT-SIF_Questions'!$A$2:$A$300,0)),""))</f>
        <v/>
      </c>
      <c r="L178" s="1" t="str">
        <f>IF($A178="","",IFERROR(INDEX('INPUT-SIF_Questions'!$E$2:$E$300,MATCH($A178,'INPUT-SIF_Questions'!$A$2:$A$300,0)),""))</f>
        <v/>
      </c>
    </row>
    <row r="179" spans="9:12" ht="14.25" customHeight="1" x14ac:dyDescent="0.45">
      <c r="I179" s="1" t="str">
        <f>IF($A179="","",IFERROR(INDEX('INPUT-SIF_Questions'!$B$2:$B$300,MATCH($A179,'INPUT-SIF_Questions'!$A$2:$A$300,0)),""))</f>
        <v/>
      </c>
      <c r="J179" s="1" t="str">
        <f>IF($A179="","",IFERROR(INDEX('INPUT-SIF_Questions'!$F$2:$F$300,MATCH($A179,'INPUT-SIF_Questions'!$A$2:$A$300,0)),""))</f>
        <v/>
      </c>
      <c r="K179" s="1" t="str">
        <f>IF($A179="","",IFERROR(INDEX('INPUT-SIF_Questions'!$G$2:$G$300,MATCH($A179,'INPUT-SIF_Questions'!$A$2:$A$300,0)),""))</f>
        <v/>
      </c>
      <c r="L179" s="1" t="str">
        <f>IF($A179="","",IFERROR(INDEX('INPUT-SIF_Questions'!$E$2:$E$300,MATCH($A179,'INPUT-SIF_Questions'!$A$2:$A$300,0)),""))</f>
        <v/>
      </c>
    </row>
    <row r="180" spans="9:12" ht="14.25" customHeight="1" x14ac:dyDescent="0.45">
      <c r="I180" s="1" t="str">
        <f>IF($A180="","",IFERROR(INDEX('INPUT-SIF_Questions'!$B$2:$B$300,MATCH($A180,'INPUT-SIF_Questions'!$A$2:$A$300,0)),""))</f>
        <v/>
      </c>
      <c r="J180" s="1" t="str">
        <f>IF($A180="","",IFERROR(INDEX('INPUT-SIF_Questions'!$F$2:$F$300,MATCH($A180,'INPUT-SIF_Questions'!$A$2:$A$300,0)),""))</f>
        <v/>
      </c>
      <c r="K180" s="1" t="str">
        <f>IF($A180="","",IFERROR(INDEX('INPUT-SIF_Questions'!$G$2:$G$300,MATCH($A180,'INPUT-SIF_Questions'!$A$2:$A$300,0)),""))</f>
        <v/>
      </c>
      <c r="L180" s="1" t="str">
        <f>IF($A180="","",IFERROR(INDEX('INPUT-SIF_Questions'!$E$2:$E$300,MATCH($A180,'INPUT-SIF_Questions'!$A$2:$A$300,0)),""))</f>
        <v/>
      </c>
    </row>
    <row r="181" spans="9:12" ht="14.25" customHeight="1" x14ac:dyDescent="0.45">
      <c r="I181" s="1" t="str">
        <f>IF($A181="","",IFERROR(INDEX('INPUT-SIF_Questions'!$B$2:$B$300,MATCH($A181,'INPUT-SIF_Questions'!$A$2:$A$300,0)),""))</f>
        <v/>
      </c>
      <c r="J181" s="1" t="str">
        <f>IF($A181="","",IFERROR(INDEX('INPUT-SIF_Questions'!$F$2:$F$300,MATCH($A181,'INPUT-SIF_Questions'!$A$2:$A$300,0)),""))</f>
        <v/>
      </c>
      <c r="K181" s="1" t="str">
        <f>IF($A181="","",IFERROR(INDEX('INPUT-SIF_Questions'!$G$2:$G$300,MATCH($A181,'INPUT-SIF_Questions'!$A$2:$A$300,0)),""))</f>
        <v/>
      </c>
      <c r="L181" s="1" t="str">
        <f>IF($A181="","",IFERROR(INDEX('INPUT-SIF_Questions'!$E$2:$E$300,MATCH($A181,'INPUT-SIF_Questions'!$A$2:$A$300,0)),""))</f>
        <v/>
      </c>
    </row>
    <row r="182" spans="9:12" ht="14.25" customHeight="1" x14ac:dyDescent="0.45">
      <c r="I182" s="1" t="str">
        <f>IF($A182="","",IFERROR(INDEX('INPUT-SIF_Questions'!$B$2:$B$300,MATCH($A182,'INPUT-SIF_Questions'!$A$2:$A$300,0)),""))</f>
        <v/>
      </c>
      <c r="J182" s="1" t="str">
        <f>IF($A182="","",IFERROR(INDEX('INPUT-SIF_Questions'!$F$2:$F$300,MATCH($A182,'INPUT-SIF_Questions'!$A$2:$A$300,0)),""))</f>
        <v/>
      </c>
      <c r="K182" s="1" t="str">
        <f>IF($A182="","",IFERROR(INDEX('INPUT-SIF_Questions'!$G$2:$G$300,MATCH($A182,'INPUT-SIF_Questions'!$A$2:$A$300,0)),""))</f>
        <v/>
      </c>
      <c r="L182" s="1" t="str">
        <f>IF($A182="","",IFERROR(INDEX('INPUT-SIF_Questions'!$E$2:$E$300,MATCH($A182,'INPUT-SIF_Questions'!$A$2:$A$300,0)),""))</f>
        <v/>
      </c>
    </row>
    <row r="183" spans="9:12" ht="14.25" customHeight="1" x14ac:dyDescent="0.45">
      <c r="I183" s="1" t="str">
        <f>IF($A183="","",IFERROR(INDEX('INPUT-SIF_Questions'!$B$2:$B$300,MATCH($A183,'INPUT-SIF_Questions'!$A$2:$A$300,0)),""))</f>
        <v/>
      </c>
      <c r="J183" s="1" t="str">
        <f>IF($A183="","",IFERROR(INDEX('INPUT-SIF_Questions'!$F$2:$F$300,MATCH($A183,'INPUT-SIF_Questions'!$A$2:$A$300,0)),""))</f>
        <v/>
      </c>
      <c r="K183" s="1" t="str">
        <f>IF($A183="","",IFERROR(INDEX('INPUT-SIF_Questions'!$G$2:$G$300,MATCH($A183,'INPUT-SIF_Questions'!$A$2:$A$300,0)),""))</f>
        <v/>
      </c>
      <c r="L183" s="1" t="str">
        <f>IF($A183="","",IFERROR(INDEX('INPUT-SIF_Questions'!$E$2:$E$300,MATCH($A183,'INPUT-SIF_Questions'!$A$2:$A$300,0)),""))</f>
        <v/>
      </c>
    </row>
    <row r="184" spans="9:12" ht="14.25" customHeight="1" x14ac:dyDescent="0.45">
      <c r="I184" s="1" t="str">
        <f>IF($A184="","",IFERROR(INDEX('INPUT-SIF_Questions'!$B$2:$B$300,MATCH($A184,'INPUT-SIF_Questions'!$A$2:$A$300,0)),""))</f>
        <v/>
      </c>
      <c r="J184" s="1" t="str">
        <f>IF($A184="","",IFERROR(INDEX('INPUT-SIF_Questions'!$F$2:$F$300,MATCH($A184,'INPUT-SIF_Questions'!$A$2:$A$300,0)),""))</f>
        <v/>
      </c>
      <c r="K184" s="1" t="str">
        <f>IF($A184="","",IFERROR(INDEX('INPUT-SIF_Questions'!$G$2:$G$300,MATCH($A184,'INPUT-SIF_Questions'!$A$2:$A$300,0)),""))</f>
        <v/>
      </c>
      <c r="L184" s="1" t="str">
        <f>IF($A184="","",IFERROR(INDEX('INPUT-SIF_Questions'!$E$2:$E$300,MATCH($A184,'INPUT-SIF_Questions'!$A$2:$A$300,0)),""))</f>
        <v/>
      </c>
    </row>
    <row r="185" spans="9:12" ht="14.25" customHeight="1" x14ac:dyDescent="0.45">
      <c r="I185" s="1" t="str">
        <f>IF($A185="","",IFERROR(INDEX('INPUT-SIF_Questions'!$B$2:$B$300,MATCH($A185,'INPUT-SIF_Questions'!$A$2:$A$300,0)),""))</f>
        <v/>
      </c>
      <c r="J185" s="1" t="str">
        <f>IF($A185="","",IFERROR(INDEX('INPUT-SIF_Questions'!$F$2:$F$300,MATCH($A185,'INPUT-SIF_Questions'!$A$2:$A$300,0)),""))</f>
        <v/>
      </c>
      <c r="K185" s="1" t="str">
        <f>IF($A185="","",IFERROR(INDEX('INPUT-SIF_Questions'!$G$2:$G$300,MATCH($A185,'INPUT-SIF_Questions'!$A$2:$A$300,0)),""))</f>
        <v/>
      </c>
      <c r="L185" s="1" t="str">
        <f>IF($A185="","",IFERROR(INDEX('INPUT-SIF_Questions'!$E$2:$E$300,MATCH($A185,'INPUT-SIF_Questions'!$A$2:$A$300,0)),""))</f>
        <v/>
      </c>
    </row>
    <row r="186" spans="9:12" ht="14.25" customHeight="1" x14ac:dyDescent="0.45">
      <c r="I186" s="1" t="str">
        <f>IF($A186="","",IFERROR(INDEX('INPUT-SIF_Questions'!$B$2:$B$300,MATCH($A186,'INPUT-SIF_Questions'!$A$2:$A$300,0)),""))</f>
        <v/>
      </c>
      <c r="J186" s="1" t="str">
        <f>IF($A186="","",IFERROR(INDEX('INPUT-SIF_Questions'!$F$2:$F$300,MATCH($A186,'INPUT-SIF_Questions'!$A$2:$A$300,0)),""))</f>
        <v/>
      </c>
      <c r="K186" s="1" t="str">
        <f>IF($A186="","",IFERROR(INDEX('INPUT-SIF_Questions'!$G$2:$G$300,MATCH($A186,'INPUT-SIF_Questions'!$A$2:$A$300,0)),""))</f>
        <v/>
      </c>
      <c r="L186" s="1" t="str">
        <f>IF($A186="","",IFERROR(INDEX('INPUT-SIF_Questions'!$E$2:$E$300,MATCH($A186,'INPUT-SIF_Questions'!$A$2:$A$300,0)),""))</f>
        <v/>
      </c>
    </row>
    <row r="187" spans="9:12" ht="14.25" customHeight="1" x14ac:dyDescent="0.45">
      <c r="I187" s="1" t="str">
        <f>IF($A187="","",IFERROR(INDEX('INPUT-SIF_Questions'!$B$2:$B$300,MATCH($A187,'INPUT-SIF_Questions'!$A$2:$A$300,0)),""))</f>
        <v/>
      </c>
      <c r="J187" s="1" t="str">
        <f>IF($A187="","",IFERROR(INDEX('INPUT-SIF_Questions'!$F$2:$F$300,MATCH($A187,'INPUT-SIF_Questions'!$A$2:$A$300,0)),""))</f>
        <v/>
      </c>
      <c r="K187" s="1" t="str">
        <f>IF($A187="","",IFERROR(INDEX('INPUT-SIF_Questions'!$G$2:$G$300,MATCH($A187,'INPUT-SIF_Questions'!$A$2:$A$300,0)),""))</f>
        <v/>
      </c>
      <c r="L187" s="1" t="str">
        <f>IF($A187="","",IFERROR(INDEX('INPUT-SIF_Questions'!$E$2:$E$300,MATCH($A187,'INPUT-SIF_Questions'!$A$2:$A$300,0)),""))</f>
        <v/>
      </c>
    </row>
    <row r="188" spans="9:12" ht="14.25" customHeight="1" x14ac:dyDescent="0.45">
      <c r="I188" s="1" t="str">
        <f>IF($A188="","",IFERROR(INDEX('INPUT-SIF_Questions'!$B$2:$B$300,MATCH($A188,'INPUT-SIF_Questions'!$A$2:$A$300,0)),""))</f>
        <v/>
      </c>
      <c r="J188" s="1" t="str">
        <f>IF($A188="","",IFERROR(INDEX('INPUT-SIF_Questions'!$F$2:$F$300,MATCH($A188,'INPUT-SIF_Questions'!$A$2:$A$300,0)),""))</f>
        <v/>
      </c>
      <c r="K188" s="1" t="str">
        <f>IF($A188="","",IFERROR(INDEX('INPUT-SIF_Questions'!$G$2:$G$300,MATCH($A188,'INPUT-SIF_Questions'!$A$2:$A$300,0)),""))</f>
        <v/>
      </c>
      <c r="L188" s="1" t="str">
        <f>IF($A188="","",IFERROR(INDEX('INPUT-SIF_Questions'!$E$2:$E$300,MATCH($A188,'INPUT-SIF_Questions'!$A$2:$A$300,0)),""))</f>
        <v/>
      </c>
    </row>
    <row r="189" spans="9:12" ht="14.25" customHeight="1" x14ac:dyDescent="0.45">
      <c r="I189" s="1" t="str">
        <f>IF($A189="","",IFERROR(INDEX('INPUT-SIF_Questions'!$B$2:$B$300,MATCH($A189,'INPUT-SIF_Questions'!$A$2:$A$300,0)),""))</f>
        <v/>
      </c>
      <c r="J189" s="1" t="str">
        <f>IF($A189="","",IFERROR(INDEX('INPUT-SIF_Questions'!$F$2:$F$300,MATCH($A189,'INPUT-SIF_Questions'!$A$2:$A$300,0)),""))</f>
        <v/>
      </c>
      <c r="K189" s="1" t="str">
        <f>IF($A189="","",IFERROR(INDEX('INPUT-SIF_Questions'!$G$2:$G$300,MATCH($A189,'INPUT-SIF_Questions'!$A$2:$A$300,0)),""))</f>
        <v/>
      </c>
      <c r="L189" s="1" t="str">
        <f>IF($A189="","",IFERROR(INDEX('INPUT-SIF_Questions'!$E$2:$E$300,MATCH($A189,'INPUT-SIF_Questions'!$A$2:$A$300,0)),""))</f>
        <v/>
      </c>
    </row>
    <row r="190" spans="9:12" ht="14.25" customHeight="1" x14ac:dyDescent="0.45">
      <c r="I190" s="1" t="str">
        <f>IF($A190="","",IFERROR(INDEX('INPUT-SIF_Questions'!$B$2:$B$300,MATCH($A190,'INPUT-SIF_Questions'!$A$2:$A$300,0)),""))</f>
        <v/>
      </c>
      <c r="J190" s="1" t="str">
        <f>IF($A190="","",IFERROR(INDEX('INPUT-SIF_Questions'!$F$2:$F$300,MATCH($A190,'INPUT-SIF_Questions'!$A$2:$A$300,0)),""))</f>
        <v/>
      </c>
      <c r="K190" s="1" t="str">
        <f>IF($A190="","",IFERROR(INDEX('INPUT-SIF_Questions'!$G$2:$G$300,MATCH($A190,'INPUT-SIF_Questions'!$A$2:$A$300,0)),""))</f>
        <v/>
      </c>
      <c r="L190" s="1" t="str">
        <f>IF($A190="","",IFERROR(INDEX('INPUT-SIF_Questions'!$E$2:$E$300,MATCH($A190,'INPUT-SIF_Questions'!$A$2:$A$300,0)),""))</f>
        <v/>
      </c>
    </row>
    <row r="191" spans="9:12" ht="14.25" customHeight="1" x14ac:dyDescent="0.45">
      <c r="I191" s="1" t="str">
        <f>IF($A191="","",IFERROR(INDEX('INPUT-SIF_Questions'!$B$2:$B$300,MATCH($A191,'INPUT-SIF_Questions'!$A$2:$A$300,0)),""))</f>
        <v/>
      </c>
      <c r="J191" s="1" t="str">
        <f>IF($A191="","",IFERROR(INDEX('INPUT-SIF_Questions'!$F$2:$F$300,MATCH($A191,'INPUT-SIF_Questions'!$A$2:$A$300,0)),""))</f>
        <v/>
      </c>
      <c r="K191" s="1" t="str">
        <f>IF($A191="","",IFERROR(INDEX('INPUT-SIF_Questions'!$G$2:$G$300,MATCH($A191,'INPUT-SIF_Questions'!$A$2:$A$300,0)),""))</f>
        <v/>
      </c>
      <c r="L191" s="1" t="str">
        <f>IF($A191="","",IFERROR(INDEX('INPUT-SIF_Questions'!$E$2:$E$300,MATCH($A191,'INPUT-SIF_Questions'!$A$2:$A$300,0)),""))</f>
        <v/>
      </c>
    </row>
    <row r="192" spans="9:12" ht="14.25" customHeight="1" x14ac:dyDescent="0.45">
      <c r="I192" s="1" t="str">
        <f>IF($A192="","",IFERROR(INDEX('INPUT-SIF_Questions'!$B$2:$B$300,MATCH($A192,'INPUT-SIF_Questions'!$A$2:$A$300,0)),""))</f>
        <v/>
      </c>
      <c r="J192" s="1" t="str">
        <f>IF($A192="","",IFERROR(INDEX('INPUT-SIF_Questions'!$F$2:$F$300,MATCH($A192,'INPUT-SIF_Questions'!$A$2:$A$300,0)),""))</f>
        <v/>
      </c>
      <c r="K192" s="1" t="str">
        <f>IF($A192="","",IFERROR(INDEX('INPUT-SIF_Questions'!$G$2:$G$300,MATCH($A192,'INPUT-SIF_Questions'!$A$2:$A$300,0)),""))</f>
        <v/>
      </c>
      <c r="L192" s="1" t="str">
        <f>IF($A192="","",IFERROR(INDEX('INPUT-SIF_Questions'!$E$2:$E$300,MATCH($A192,'INPUT-SIF_Questions'!$A$2:$A$300,0)),""))</f>
        <v/>
      </c>
    </row>
    <row r="193" spans="9:12" ht="14.25" customHeight="1" x14ac:dyDescent="0.45">
      <c r="I193" s="1" t="str">
        <f>IF($A193="","",IFERROR(INDEX('INPUT-SIF_Questions'!$B$2:$B$300,MATCH($A193,'INPUT-SIF_Questions'!$A$2:$A$300,0)),""))</f>
        <v/>
      </c>
      <c r="J193" s="1" t="str">
        <f>IF($A193="","",IFERROR(INDEX('INPUT-SIF_Questions'!$F$2:$F$300,MATCH($A193,'INPUT-SIF_Questions'!$A$2:$A$300,0)),""))</f>
        <v/>
      </c>
      <c r="K193" s="1" t="str">
        <f>IF($A193="","",IFERROR(INDEX('INPUT-SIF_Questions'!$G$2:$G$300,MATCH($A193,'INPUT-SIF_Questions'!$A$2:$A$300,0)),""))</f>
        <v/>
      </c>
      <c r="L193" s="1" t="str">
        <f>IF($A193="","",IFERROR(INDEX('INPUT-SIF_Questions'!$E$2:$E$300,MATCH($A193,'INPUT-SIF_Questions'!$A$2:$A$300,0)),""))</f>
        <v/>
      </c>
    </row>
    <row r="194" spans="9:12" ht="14.25" customHeight="1" x14ac:dyDescent="0.45">
      <c r="I194" s="1" t="str">
        <f>IF($A194="","",IFERROR(INDEX('INPUT-SIF_Questions'!$B$2:$B$300,MATCH($A194,'INPUT-SIF_Questions'!$A$2:$A$300,0)),""))</f>
        <v/>
      </c>
      <c r="J194" s="1" t="str">
        <f>IF($A194="","",IFERROR(INDEX('INPUT-SIF_Questions'!$F$2:$F$300,MATCH($A194,'INPUT-SIF_Questions'!$A$2:$A$300,0)),""))</f>
        <v/>
      </c>
      <c r="K194" s="1" t="str">
        <f>IF($A194="","",IFERROR(INDEX('INPUT-SIF_Questions'!$G$2:$G$300,MATCH($A194,'INPUT-SIF_Questions'!$A$2:$A$300,0)),""))</f>
        <v/>
      </c>
      <c r="L194" s="1" t="str">
        <f>IF($A194="","",IFERROR(INDEX('INPUT-SIF_Questions'!$E$2:$E$300,MATCH($A194,'INPUT-SIF_Questions'!$A$2:$A$300,0)),""))</f>
        <v/>
      </c>
    </row>
    <row r="195" spans="9:12" ht="14.25" customHeight="1" x14ac:dyDescent="0.45">
      <c r="I195" s="1" t="str">
        <f>IF($A195="","",IFERROR(INDEX('INPUT-SIF_Questions'!$B$2:$B$300,MATCH($A195,'INPUT-SIF_Questions'!$A$2:$A$300,0)),""))</f>
        <v/>
      </c>
      <c r="J195" s="1" t="str">
        <f>IF($A195="","",IFERROR(INDEX('INPUT-SIF_Questions'!$F$2:$F$300,MATCH($A195,'INPUT-SIF_Questions'!$A$2:$A$300,0)),""))</f>
        <v/>
      </c>
      <c r="K195" s="1" t="str">
        <f>IF($A195="","",IFERROR(INDEX('INPUT-SIF_Questions'!$G$2:$G$300,MATCH($A195,'INPUT-SIF_Questions'!$A$2:$A$300,0)),""))</f>
        <v/>
      </c>
      <c r="L195" s="1" t="str">
        <f>IF($A195="","",IFERROR(INDEX('INPUT-SIF_Questions'!$E$2:$E$300,MATCH($A195,'INPUT-SIF_Questions'!$A$2:$A$300,0)),""))</f>
        <v/>
      </c>
    </row>
    <row r="196" spans="9:12" ht="14.25" customHeight="1" x14ac:dyDescent="0.45">
      <c r="I196" s="1" t="str">
        <f>IF($A196="","",IFERROR(INDEX('INPUT-SIF_Questions'!$B$2:$B$300,MATCH($A196,'INPUT-SIF_Questions'!$A$2:$A$300,0)),""))</f>
        <v/>
      </c>
      <c r="J196" s="1" t="str">
        <f>IF($A196="","",IFERROR(INDEX('INPUT-SIF_Questions'!$F$2:$F$300,MATCH($A196,'INPUT-SIF_Questions'!$A$2:$A$300,0)),""))</f>
        <v/>
      </c>
      <c r="K196" s="1" t="str">
        <f>IF($A196="","",IFERROR(INDEX('INPUT-SIF_Questions'!$G$2:$G$300,MATCH($A196,'INPUT-SIF_Questions'!$A$2:$A$300,0)),""))</f>
        <v/>
      </c>
      <c r="L196" s="1" t="str">
        <f>IF($A196="","",IFERROR(INDEX('INPUT-SIF_Questions'!$E$2:$E$300,MATCH($A196,'INPUT-SIF_Questions'!$A$2:$A$300,0)),""))</f>
        <v/>
      </c>
    </row>
    <row r="197" spans="9:12" ht="14.25" customHeight="1" x14ac:dyDescent="0.45">
      <c r="I197" s="1" t="str">
        <f>IF($A197="","",IFERROR(INDEX('INPUT-SIF_Questions'!$B$2:$B$300,MATCH($A197,'INPUT-SIF_Questions'!$A$2:$A$300,0)),""))</f>
        <v/>
      </c>
      <c r="J197" s="1" t="str">
        <f>IF($A197="","",IFERROR(INDEX('INPUT-SIF_Questions'!$F$2:$F$300,MATCH($A197,'INPUT-SIF_Questions'!$A$2:$A$300,0)),""))</f>
        <v/>
      </c>
      <c r="K197" s="1" t="str">
        <f>IF($A197="","",IFERROR(INDEX('INPUT-SIF_Questions'!$G$2:$G$300,MATCH($A197,'INPUT-SIF_Questions'!$A$2:$A$300,0)),""))</f>
        <v/>
      </c>
      <c r="L197" s="1" t="str">
        <f>IF($A197="","",IFERROR(INDEX('INPUT-SIF_Questions'!$E$2:$E$300,MATCH($A197,'INPUT-SIF_Questions'!$A$2:$A$300,0)),""))</f>
        <v/>
      </c>
    </row>
    <row r="198" spans="9:12" ht="14.25" customHeight="1" x14ac:dyDescent="0.45">
      <c r="I198" s="1" t="str">
        <f>IF($A198="","",IFERROR(INDEX('INPUT-SIF_Questions'!$B$2:$B$300,MATCH($A198,'INPUT-SIF_Questions'!$A$2:$A$300,0)),""))</f>
        <v/>
      </c>
      <c r="J198" s="1" t="str">
        <f>IF($A198="","",IFERROR(INDEX('INPUT-SIF_Questions'!$F$2:$F$300,MATCH($A198,'INPUT-SIF_Questions'!$A$2:$A$300,0)),""))</f>
        <v/>
      </c>
      <c r="K198" s="1" t="str">
        <f>IF($A198="","",IFERROR(INDEX('INPUT-SIF_Questions'!$G$2:$G$300,MATCH($A198,'INPUT-SIF_Questions'!$A$2:$A$300,0)),""))</f>
        <v/>
      </c>
      <c r="L198" s="1" t="str">
        <f>IF($A198="","",IFERROR(INDEX('INPUT-SIF_Questions'!$E$2:$E$300,MATCH($A198,'INPUT-SIF_Questions'!$A$2:$A$300,0)),""))</f>
        <v/>
      </c>
    </row>
    <row r="199" spans="9:12" ht="14.25" customHeight="1" x14ac:dyDescent="0.45">
      <c r="I199" s="1" t="str">
        <f>IF($A199="","",IFERROR(INDEX('INPUT-SIF_Questions'!$B$2:$B$300,MATCH($A199,'INPUT-SIF_Questions'!$A$2:$A$300,0)),""))</f>
        <v/>
      </c>
      <c r="J199" s="1" t="str">
        <f>IF($A199="","",IFERROR(INDEX('INPUT-SIF_Questions'!$F$2:$F$300,MATCH($A199,'INPUT-SIF_Questions'!$A$2:$A$300,0)),""))</f>
        <v/>
      </c>
      <c r="K199" s="1" t="str">
        <f>IF($A199="","",IFERROR(INDEX('INPUT-SIF_Questions'!$G$2:$G$300,MATCH($A199,'INPUT-SIF_Questions'!$A$2:$A$300,0)),""))</f>
        <v/>
      </c>
      <c r="L199" s="1" t="str">
        <f>IF($A199="","",IFERROR(INDEX('INPUT-SIF_Questions'!$E$2:$E$300,MATCH($A199,'INPUT-SIF_Questions'!$A$2:$A$300,0)),""))</f>
        <v/>
      </c>
    </row>
    <row r="200" spans="9:12" ht="14.25" customHeight="1" x14ac:dyDescent="0.45">
      <c r="I200" s="1" t="str">
        <f>IF($A200="","",IFERROR(INDEX('INPUT-SIF_Questions'!$B$2:$B$300,MATCH($A200,'INPUT-SIF_Questions'!$A$2:$A$300,0)),""))</f>
        <v/>
      </c>
      <c r="J200" s="1" t="str">
        <f>IF($A200="","",IFERROR(INDEX('INPUT-SIF_Questions'!$F$2:$F$300,MATCH($A200,'INPUT-SIF_Questions'!$A$2:$A$300,0)),""))</f>
        <v/>
      </c>
      <c r="K200" s="1" t="str">
        <f>IF($A200="","",IFERROR(INDEX('INPUT-SIF_Questions'!$G$2:$G$300,MATCH($A200,'INPUT-SIF_Questions'!$A$2:$A$300,0)),""))</f>
        <v/>
      </c>
      <c r="L200" s="1" t="str">
        <f>IF($A200="","",IFERROR(INDEX('INPUT-SIF_Questions'!$E$2:$E$300,MATCH($A200,'INPUT-SIF_Questions'!$A$2:$A$300,0)),""))</f>
        <v/>
      </c>
    </row>
    <row r="201" spans="9:12" ht="14.25" customHeight="1" x14ac:dyDescent="0.45">
      <c r="I201" s="1" t="str">
        <f>IF($A201="","",IFERROR(INDEX('INPUT-SIF_Questions'!$B$2:$B$300,MATCH($A201,'INPUT-SIF_Questions'!$A$2:$A$300,0)),""))</f>
        <v/>
      </c>
      <c r="J201" s="1" t="str">
        <f>IF($A201="","",IFERROR(INDEX('INPUT-SIF_Questions'!$F$2:$F$300,MATCH($A201,'INPUT-SIF_Questions'!$A$2:$A$300,0)),""))</f>
        <v/>
      </c>
      <c r="K201" s="1" t="str">
        <f>IF($A201="","",IFERROR(INDEX('INPUT-SIF_Questions'!$G$2:$G$300,MATCH($A201,'INPUT-SIF_Questions'!$A$2:$A$300,0)),""))</f>
        <v/>
      </c>
      <c r="L201" s="1" t="str">
        <f>IF($A201="","",IFERROR(INDEX('INPUT-SIF_Questions'!$E$2:$E$300,MATCH($A201,'INPUT-SIF_Questions'!$A$2:$A$300,0)),""))</f>
        <v/>
      </c>
    </row>
    <row r="202" spans="9:12" ht="14.25" customHeight="1" x14ac:dyDescent="0.45">
      <c r="I202" s="1" t="str">
        <f>IF($A202="","",IFERROR(INDEX('INPUT-SIF_Questions'!$B$2:$B$300,MATCH($A202,'INPUT-SIF_Questions'!$A$2:$A$300,0)),""))</f>
        <v/>
      </c>
      <c r="J202" s="1" t="str">
        <f>IF($A202="","",IFERROR(INDEX('INPUT-SIF_Questions'!$F$2:$F$300,MATCH($A202,'INPUT-SIF_Questions'!$A$2:$A$300,0)),""))</f>
        <v/>
      </c>
      <c r="K202" s="1" t="str">
        <f>IF($A202="","",IFERROR(INDEX('INPUT-SIF_Questions'!$G$2:$G$300,MATCH($A202,'INPUT-SIF_Questions'!$A$2:$A$300,0)),""))</f>
        <v/>
      </c>
      <c r="L202" s="1" t="str">
        <f>IF($A202="","",IFERROR(INDEX('INPUT-SIF_Questions'!$E$2:$E$300,MATCH($A202,'INPUT-SIF_Questions'!$A$2:$A$300,0)),""))</f>
        <v/>
      </c>
    </row>
    <row r="203" spans="9:12" ht="14.25" customHeight="1" x14ac:dyDescent="0.45">
      <c r="I203" s="1" t="str">
        <f>IF($A203="","",IFERROR(INDEX('INPUT-SIF_Questions'!$B$2:$B$300,MATCH($A203,'INPUT-SIF_Questions'!$A$2:$A$300,0)),""))</f>
        <v/>
      </c>
      <c r="J203" s="1" t="str">
        <f>IF($A203="","",IFERROR(INDEX('INPUT-SIF_Questions'!$F$2:$F$300,MATCH($A203,'INPUT-SIF_Questions'!$A$2:$A$300,0)),""))</f>
        <v/>
      </c>
      <c r="K203" s="1" t="str">
        <f>IF($A203="","",IFERROR(INDEX('INPUT-SIF_Questions'!$G$2:$G$300,MATCH($A203,'INPUT-SIF_Questions'!$A$2:$A$300,0)),""))</f>
        <v/>
      </c>
      <c r="L203" s="1" t="str">
        <f>IF($A203="","",IFERROR(INDEX('INPUT-SIF_Questions'!$E$2:$E$300,MATCH($A203,'INPUT-SIF_Questions'!$A$2:$A$300,0)),""))</f>
        <v/>
      </c>
    </row>
    <row r="204" spans="9:12" ht="14.25" customHeight="1" x14ac:dyDescent="0.45">
      <c r="I204" s="1" t="str">
        <f>IF($A204="","",IFERROR(INDEX('INPUT-SIF_Questions'!$B$2:$B$300,MATCH($A204,'INPUT-SIF_Questions'!$A$2:$A$300,0)),""))</f>
        <v/>
      </c>
      <c r="J204" s="1" t="str">
        <f>IF($A204="","",IFERROR(INDEX('INPUT-SIF_Questions'!$F$2:$F$300,MATCH($A204,'INPUT-SIF_Questions'!$A$2:$A$300,0)),""))</f>
        <v/>
      </c>
      <c r="K204" s="1" t="str">
        <f>IF($A204="","",IFERROR(INDEX('INPUT-SIF_Questions'!$G$2:$G$300,MATCH($A204,'INPUT-SIF_Questions'!$A$2:$A$300,0)),""))</f>
        <v/>
      </c>
      <c r="L204" s="1" t="str">
        <f>IF($A204="","",IFERROR(INDEX('INPUT-SIF_Questions'!$E$2:$E$300,MATCH($A204,'INPUT-SIF_Questions'!$A$2:$A$300,0)),""))</f>
        <v/>
      </c>
    </row>
    <row r="205" spans="9:12" ht="14.25" customHeight="1" x14ac:dyDescent="0.45">
      <c r="I205" s="1" t="str">
        <f>IF($A205="","",IFERROR(INDEX('INPUT-SIF_Questions'!$B$2:$B$300,MATCH($A205,'INPUT-SIF_Questions'!$A$2:$A$300,0)),""))</f>
        <v/>
      </c>
      <c r="J205" s="1" t="str">
        <f>IF($A205="","",IFERROR(INDEX('INPUT-SIF_Questions'!$F$2:$F$300,MATCH($A205,'INPUT-SIF_Questions'!$A$2:$A$300,0)),""))</f>
        <v/>
      </c>
      <c r="K205" s="1" t="str">
        <f>IF($A205="","",IFERROR(INDEX('INPUT-SIF_Questions'!$G$2:$G$300,MATCH($A205,'INPUT-SIF_Questions'!$A$2:$A$300,0)),""))</f>
        <v/>
      </c>
      <c r="L205" s="1" t="str">
        <f>IF($A205="","",IFERROR(INDEX('INPUT-SIF_Questions'!$E$2:$E$300,MATCH($A205,'INPUT-SIF_Questions'!$A$2:$A$300,0)),""))</f>
        <v/>
      </c>
    </row>
    <row r="206" spans="9:12" ht="14.25" customHeight="1" x14ac:dyDescent="0.45">
      <c r="I206" s="1" t="str">
        <f>IF($A206="","",IFERROR(INDEX('INPUT-SIF_Questions'!$B$2:$B$300,MATCH($A206,'INPUT-SIF_Questions'!$A$2:$A$300,0)),""))</f>
        <v/>
      </c>
      <c r="J206" s="1" t="str">
        <f>IF($A206="","",IFERROR(INDEX('INPUT-SIF_Questions'!$F$2:$F$300,MATCH($A206,'INPUT-SIF_Questions'!$A$2:$A$300,0)),""))</f>
        <v/>
      </c>
      <c r="K206" s="1" t="str">
        <f>IF($A206="","",IFERROR(INDEX('INPUT-SIF_Questions'!$G$2:$G$300,MATCH($A206,'INPUT-SIF_Questions'!$A$2:$A$300,0)),""))</f>
        <v/>
      </c>
      <c r="L206" s="1" t="str">
        <f>IF($A206="","",IFERROR(INDEX('INPUT-SIF_Questions'!$E$2:$E$300,MATCH($A206,'INPUT-SIF_Questions'!$A$2:$A$300,0)),""))</f>
        <v/>
      </c>
    </row>
    <row r="207" spans="9:12" ht="14.25" customHeight="1" x14ac:dyDescent="0.45">
      <c r="I207" s="1" t="str">
        <f>IF($A207="","",IFERROR(INDEX('INPUT-SIF_Questions'!$B$2:$B$300,MATCH($A207,'INPUT-SIF_Questions'!$A$2:$A$300,0)),""))</f>
        <v/>
      </c>
      <c r="J207" s="1" t="str">
        <f>IF($A207="","",IFERROR(INDEX('INPUT-SIF_Questions'!$F$2:$F$300,MATCH($A207,'INPUT-SIF_Questions'!$A$2:$A$300,0)),""))</f>
        <v/>
      </c>
      <c r="K207" s="1" t="str">
        <f>IF($A207="","",IFERROR(INDEX('INPUT-SIF_Questions'!$G$2:$G$300,MATCH($A207,'INPUT-SIF_Questions'!$A$2:$A$300,0)),""))</f>
        <v/>
      </c>
      <c r="L207" s="1" t="str">
        <f>IF($A207="","",IFERROR(INDEX('INPUT-SIF_Questions'!$E$2:$E$300,MATCH($A207,'INPUT-SIF_Questions'!$A$2:$A$300,0)),""))</f>
        <v/>
      </c>
    </row>
    <row r="208" spans="9:12" ht="14.25" customHeight="1" x14ac:dyDescent="0.45">
      <c r="I208" s="1" t="str">
        <f>IF($A208="","",IFERROR(INDEX('INPUT-SIF_Questions'!$B$2:$B$300,MATCH($A208,'INPUT-SIF_Questions'!$A$2:$A$300,0)),""))</f>
        <v/>
      </c>
      <c r="J208" s="1" t="str">
        <f>IF($A208="","",IFERROR(INDEX('INPUT-SIF_Questions'!$F$2:$F$300,MATCH($A208,'INPUT-SIF_Questions'!$A$2:$A$300,0)),""))</f>
        <v/>
      </c>
      <c r="K208" s="1" t="str">
        <f>IF($A208="","",IFERROR(INDEX('INPUT-SIF_Questions'!$G$2:$G$300,MATCH($A208,'INPUT-SIF_Questions'!$A$2:$A$300,0)),""))</f>
        <v/>
      </c>
      <c r="L208" s="1" t="str">
        <f>IF($A208="","",IFERROR(INDEX('INPUT-SIF_Questions'!$E$2:$E$300,MATCH($A208,'INPUT-SIF_Questions'!$A$2:$A$300,0)),""))</f>
        <v/>
      </c>
    </row>
    <row r="209" spans="9:12" ht="14.25" customHeight="1" x14ac:dyDescent="0.45">
      <c r="I209" s="1" t="str">
        <f>IF($A209="","",IFERROR(INDEX('INPUT-SIF_Questions'!$B$2:$B$300,MATCH($A209,'INPUT-SIF_Questions'!$A$2:$A$300,0)),""))</f>
        <v/>
      </c>
      <c r="J209" s="1" t="str">
        <f>IF($A209="","",IFERROR(INDEX('INPUT-SIF_Questions'!$F$2:$F$300,MATCH($A209,'INPUT-SIF_Questions'!$A$2:$A$300,0)),""))</f>
        <v/>
      </c>
      <c r="K209" s="1" t="str">
        <f>IF($A209="","",IFERROR(INDEX('INPUT-SIF_Questions'!$G$2:$G$300,MATCH($A209,'INPUT-SIF_Questions'!$A$2:$A$300,0)),""))</f>
        <v/>
      </c>
      <c r="L209" s="1" t="str">
        <f>IF($A209="","",IFERROR(INDEX('INPUT-SIF_Questions'!$E$2:$E$300,MATCH($A209,'INPUT-SIF_Questions'!$A$2:$A$300,0)),""))</f>
        <v/>
      </c>
    </row>
    <row r="210" spans="9:12" ht="14.25" customHeight="1" x14ac:dyDescent="0.45">
      <c r="I210" s="1" t="str">
        <f>IF($A210="","",IFERROR(INDEX('INPUT-SIF_Questions'!$B$2:$B$300,MATCH($A210,'INPUT-SIF_Questions'!$A$2:$A$300,0)),""))</f>
        <v/>
      </c>
      <c r="J210" s="1" t="str">
        <f>IF($A210="","",IFERROR(INDEX('INPUT-SIF_Questions'!$F$2:$F$300,MATCH($A210,'INPUT-SIF_Questions'!$A$2:$A$300,0)),""))</f>
        <v/>
      </c>
      <c r="K210" s="1" t="str">
        <f>IF($A210="","",IFERROR(INDEX('INPUT-SIF_Questions'!$G$2:$G$300,MATCH($A210,'INPUT-SIF_Questions'!$A$2:$A$300,0)),""))</f>
        <v/>
      </c>
      <c r="L210" s="1" t="str">
        <f>IF($A210="","",IFERROR(INDEX('INPUT-SIF_Questions'!$E$2:$E$300,MATCH($A210,'INPUT-SIF_Questions'!$A$2:$A$300,0)),""))</f>
        <v/>
      </c>
    </row>
    <row r="211" spans="9:12" ht="14.25" customHeight="1" x14ac:dyDescent="0.45">
      <c r="I211" s="1" t="str">
        <f>IF($A211="","",IFERROR(INDEX('INPUT-SIF_Questions'!$B$2:$B$300,MATCH($A211,'INPUT-SIF_Questions'!$A$2:$A$300,0)),""))</f>
        <v/>
      </c>
      <c r="J211" s="1" t="str">
        <f>IF($A211="","",IFERROR(INDEX('INPUT-SIF_Questions'!$F$2:$F$300,MATCH($A211,'INPUT-SIF_Questions'!$A$2:$A$300,0)),""))</f>
        <v/>
      </c>
      <c r="K211" s="1" t="str">
        <f>IF($A211="","",IFERROR(INDEX('INPUT-SIF_Questions'!$G$2:$G$300,MATCH($A211,'INPUT-SIF_Questions'!$A$2:$A$300,0)),""))</f>
        <v/>
      </c>
      <c r="L211" s="1" t="str">
        <f>IF($A211="","",IFERROR(INDEX('INPUT-SIF_Questions'!$E$2:$E$300,MATCH($A211,'INPUT-SIF_Questions'!$A$2:$A$300,0)),""))</f>
        <v/>
      </c>
    </row>
    <row r="212" spans="9:12" ht="14.25" customHeight="1" x14ac:dyDescent="0.45">
      <c r="I212" s="1" t="str">
        <f>IF($A212="","",IFERROR(INDEX('INPUT-SIF_Questions'!$B$2:$B$300,MATCH($A212,'INPUT-SIF_Questions'!$A$2:$A$300,0)),""))</f>
        <v/>
      </c>
      <c r="J212" s="1" t="str">
        <f>IF($A212="","",IFERROR(INDEX('INPUT-SIF_Questions'!$F$2:$F$300,MATCH($A212,'INPUT-SIF_Questions'!$A$2:$A$300,0)),""))</f>
        <v/>
      </c>
      <c r="K212" s="1" t="str">
        <f>IF($A212="","",IFERROR(INDEX('INPUT-SIF_Questions'!$G$2:$G$300,MATCH($A212,'INPUT-SIF_Questions'!$A$2:$A$300,0)),""))</f>
        <v/>
      </c>
      <c r="L212" s="1" t="str">
        <f>IF($A212="","",IFERROR(INDEX('INPUT-SIF_Questions'!$E$2:$E$300,MATCH($A212,'INPUT-SIF_Questions'!$A$2:$A$300,0)),""))</f>
        <v/>
      </c>
    </row>
    <row r="213" spans="9:12" ht="14.25" customHeight="1" x14ac:dyDescent="0.45">
      <c r="I213" s="1" t="str">
        <f>IF($A213="","",IFERROR(INDEX('INPUT-SIF_Questions'!$B$2:$B$300,MATCH($A213,'INPUT-SIF_Questions'!$A$2:$A$300,0)),""))</f>
        <v/>
      </c>
      <c r="J213" s="1" t="str">
        <f>IF($A213="","",IFERROR(INDEX('INPUT-SIF_Questions'!$F$2:$F$300,MATCH($A213,'INPUT-SIF_Questions'!$A$2:$A$300,0)),""))</f>
        <v/>
      </c>
      <c r="K213" s="1" t="str">
        <f>IF($A213="","",IFERROR(INDEX('INPUT-SIF_Questions'!$G$2:$G$300,MATCH($A213,'INPUT-SIF_Questions'!$A$2:$A$300,0)),""))</f>
        <v/>
      </c>
      <c r="L213" s="1" t="str">
        <f>IF($A213="","",IFERROR(INDEX('INPUT-SIF_Questions'!$E$2:$E$300,MATCH($A213,'INPUT-SIF_Questions'!$A$2:$A$300,0)),""))</f>
        <v/>
      </c>
    </row>
    <row r="214" spans="9:12" ht="14.25" customHeight="1" x14ac:dyDescent="0.45">
      <c r="I214" s="1" t="str">
        <f>IF($A214="","",IFERROR(INDEX('INPUT-SIF_Questions'!$B$2:$B$300,MATCH($A214,'INPUT-SIF_Questions'!$A$2:$A$300,0)),""))</f>
        <v/>
      </c>
      <c r="J214" s="1" t="str">
        <f>IF($A214="","",IFERROR(INDEX('INPUT-SIF_Questions'!$F$2:$F$300,MATCH($A214,'INPUT-SIF_Questions'!$A$2:$A$300,0)),""))</f>
        <v/>
      </c>
      <c r="K214" s="1" t="str">
        <f>IF($A214="","",IFERROR(INDEX('INPUT-SIF_Questions'!$G$2:$G$300,MATCH($A214,'INPUT-SIF_Questions'!$A$2:$A$300,0)),""))</f>
        <v/>
      </c>
      <c r="L214" s="1" t="str">
        <f>IF($A214="","",IFERROR(INDEX('INPUT-SIF_Questions'!$E$2:$E$300,MATCH($A214,'INPUT-SIF_Questions'!$A$2:$A$300,0)),""))</f>
        <v/>
      </c>
    </row>
    <row r="215" spans="9:12" ht="14.25" customHeight="1" x14ac:dyDescent="0.45">
      <c r="I215" s="1" t="str">
        <f>IF($A215="","",IFERROR(INDEX('INPUT-SIF_Questions'!$B$2:$B$300,MATCH($A215,'INPUT-SIF_Questions'!$A$2:$A$300,0)),""))</f>
        <v/>
      </c>
      <c r="J215" s="1" t="str">
        <f>IF($A215="","",IFERROR(INDEX('INPUT-SIF_Questions'!$F$2:$F$300,MATCH($A215,'INPUT-SIF_Questions'!$A$2:$A$300,0)),""))</f>
        <v/>
      </c>
      <c r="K215" s="1" t="str">
        <f>IF($A215="","",IFERROR(INDEX('INPUT-SIF_Questions'!$G$2:$G$300,MATCH($A215,'INPUT-SIF_Questions'!$A$2:$A$300,0)),""))</f>
        <v/>
      </c>
      <c r="L215" s="1" t="str">
        <f>IF($A215="","",IFERROR(INDEX('INPUT-SIF_Questions'!$E$2:$E$300,MATCH($A215,'INPUT-SIF_Questions'!$A$2:$A$300,0)),""))</f>
        <v/>
      </c>
    </row>
    <row r="216" spans="9:12" ht="14.25" customHeight="1" x14ac:dyDescent="0.45">
      <c r="I216" s="1" t="str">
        <f>IF($A216="","",IFERROR(INDEX('INPUT-SIF_Questions'!$B$2:$B$300,MATCH($A216,'INPUT-SIF_Questions'!$A$2:$A$300,0)),""))</f>
        <v/>
      </c>
      <c r="J216" s="1" t="str">
        <f>IF($A216="","",IFERROR(INDEX('INPUT-SIF_Questions'!$F$2:$F$300,MATCH($A216,'INPUT-SIF_Questions'!$A$2:$A$300,0)),""))</f>
        <v/>
      </c>
      <c r="K216" s="1" t="str">
        <f>IF($A216="","",IFERROR(INDEX('INPUT-SIF_Questions'!$G$2:$G$300,MATCH($A216,'INPUT-SIF_Questions'!$A$2:$A$300,0)),""))</f>
        <v/>
      </c>
      <c r="L216" s="1" t="str">
        <f>IF($A216="","",IFERROR(INDEX('INPUT-SIF_Questions'!$E$2:$E$300,MATCH($A216,'INPUT-SIF_Questions'!$A$2:$A$300,0)),""))</f>
        <v/>
      </c>
    </row>
    <row r="217" spans="9:12" ht="14.25" customHeight="1" x14ac:dyDescent="0.45">
      <c r="I217" s="1" t="str">
        <f>IF($A217="","",IFERROR(INDEX('INPUT-SIF_Questions'!$B$2:$B$300,MATCH($A217,'INPUT-SIF_Questions'!$A$2:$A$300,0)),""))</f>
        <v/>
      </c>
      <c r="J217" s="1" t="str">
        <f>IF($A217="","",IFERROR(INDEX('INPUT-SIF_Questions'!$F$2:$F$300,MATCH($A217,'INPUT-SIF_Questions'!$A$2:$A$300,0)),""))</f>
        <v/>
      </c>
      <c r="K217" s="1" t="str">
        <f>IF($A217="","",IFERROR(INDEX('INPUT-SIF_Questions'!$G$2:$G$300,MATCH($A217,'INPUT-SIF_Questions'!$A$2:$A$300,0)),""))</f>
        <v/>
      </c>
      <c r="L217" s="1" t="str">
        <f>IF($A217="","",IFERROR(INDEX('INPUT-SIF_Questions'!$E$2:$E$300,MATCH($A217,'INPUT-SIF_Questions'!$A$2:$A$300,0)),""))</f>
        <v/>
      </c>
    </row>
    <row r="218" spans="9:12" ht="14.25" customHeight="1" x14ac:dyDescent="0.45">
      <c r="I218" s="1" t="str">
        <f>IF($A218="","",IFERROR(INDEX('INPUT-SIF_Questions'!$B$2:$B$300,MATCH($A218,'INPUT-SIF_Questions'!$A$2:$A$300,0)),""))</f>
        <v/>
      </c>
      <c r="J218" s="1" t="str">
        <f>IF($A218="","",IFERROR(INDEX('INPUT-SIF_Questions'!$F$2:$F$300,MATCH($A218,'INPUT-SIF_Questions'!$A$2:$A$300,0)),""))</f>
        <v/>
      </c>
      <c r="K218" s="1" t="str">
        <f>IF($A218="","",IFERROR(INDEX('INPUT-SIF_Questions'!$G$2:$G$300,MATCH($A218,'INPUT-SIF_Questions'!$A$2:$A$300,0)),""))</f>
        <v/>
      </c>
      <c r="L218" s="1" t="str">
        <f>IF($A218="","",IFERROR(INDEX('INPUT-SIF_Questions'!$E$2:$E$300,MATCH($A218,'INPUT-SIF_Questions'!$A$2:$A$300,0)),""))</f>
        <v/>
      </c>
    </row>
    <row r="219" spans="9:12" ht="14.25" customHeight="1" x14ac:dyDescent="0.45">
      <c r="I219" s="1" t="str">
        <f>IF($A219="","",IFERROR(INDEX('INPUT-SIF_Questions'!$B$2:$B$300,MATCH($A219,'INPUT-SIF_Questions'!$A$2:$A$300,0)),""))</f>
        <v/>
      </c>
      <c r="J219" s="1" t="str">
        <f>IF($A219="","",IFERROR(INDEX('INPUT-SIF_Questions'!$F$2:$F$300,MATCH($A219,'INPUT-SIF_Questions'!$A$2:$A$300,0)),""))</f>
        <v/>
      </c>
      <c r="K219" s="1" t="str">
        <f>IF($A219="","",IFERROR(INDEX('INPUT-SIF_Questions'!$G$2:$G$300,MATCH($A219,'INPUT-SIF_Questions'!$A$2:$A$300,0)),""))</f>
        <v/>
      </c>
      <c r="L219" s="1" t="str">
        <f>IF($A219="","",IFERROR(INDEX('INPUT-SIF_Questions'!$E$2:$E$300,MATCH($A219,'INPUT-SIF_Questions'!$A$2:$A$300,0)),""))</f>
        <v/>
      </c>
    </row>
    <row r="220" spans="9:12" ht="14.25" customHeight="1" x14ac:dyDescent="0.45">
      <c r="I220" s="1" t="str">
        <f>IF($A220="","",IFERROR(INDEX('INPUT-SIF_Questions'!$B$2:$B$300,MATCH($A220,'INPUT-SIF_Questions'!$A$2:$A$300,0)),""))</f>
        <v/>
      </c>
      <c r="J220" s="1" t="str">
        <f>IF($A220="","",IFERROR(INDEX('INPUT-SIF_Questions'!$F$2:$F$300,MATCH($A220,'INPUT-SIF_Questions'!$A$2:$A$300,0)),""))</f>
        <v/>
      </c>
      <c r="K220" s="1" t="str">
        <f>IF($A220="","",IFERROR(INDEX('INPUT-SIF_Questions'!$G$2:$G$300,MATCH($A220,'INPUT-SIF_Questions'!$A$2:$A$300,0)),""))</f>
        <v/>
      </c>
      <c r="L220" s="1" t="str">
        <f>IF($A220="","",IFERROR(INDEX('INPUT-SIF_Questions'!$E$2:$E$300,MATCH($A220,'INPUT-SIF_Questions'!$A$2:$A$300,0)),""))</f>
        <v/>
      </c>
    </row>
    <row r="221" spans="9:12" ht="14.25" customHeight="1" x14ac:dyDescent="0.45">
      <c r="I221" s="1" t="str">
        <f>IF($A221="","",IFERROR(INDEX('INPUT-SIF_Questions'!$B$2:$B$300,MATCH($A221,'INPUT-SIF_Questions'!$A$2:$A$300,0)),""))</f>
        <v/>
      </c>
      <c r="J221" s="1" t="str">
        <f>IF($A221="","",IFERROR(INDEX('INPUT-SIF_Questions'!$F$2:$F$300,MATCH($A221,'INPUT-SIF_Questions'!$A$2:$A$300,0)),""))</f>
        <v/>
      </c>
      <c r="K221" s="1" t="str">
        <f>IF($A221="","",IFERROR(INDEX('INPUT-SIF_Questions'!$G$2:$G$300,MATCH($A221,'INPUT-SIF_Questions'!$A$2:$A$300,0)),""))</f>
        <v/>
      </c>
      <c r="L221" s="1" t="str">
        <f>IF($A221="","",IFERROR(INDEX('INPUT-SIF_Questions'!$E$2:$E$300,MATCH($A221,'INPUT-SIF_Questions'!$A$2:$A$300,0)),""))</f>
        <v/>
      </c>
    </row>
    <row r="222" spans="9:12" ht="14.25" customHeight="1" x14ac:dyDescent="0.45">
      <c r="I222" s="1" t="str">
        <f>IF($A222="","",IFERROR(INDEX('INPUT-SIF_Questions'!$B$2:$B$300,MATCH($A222,'INPUT-SIF_Questions'!$A$2:$A$300,0)),""))</f>
        <v/>
      </c>
      <c r="J222" s="1" t="str">
        <f>IF($A222="","",IFERROR(INDEX('INPUT-SIF_Questions'!$F$2:$F$300,MATCH($A222,'INPUT-SIF_Questions'!$A$2:$A$300,0)),""))</f>
        <v/>
      </c>
      <c r="K222" s="1" t="str">
        <f>IF($A222="","",IFERROR(INDEX('INPUT-SIF_Questions'!$G$2:$G$300,MATCH($A222,'INPUT-SIF_Questions'!$A$2:$A$300,0)),""))</f>
        <v/>
      </c>
      <c r="L222" s="1" t="str">
        <f>IF($A222="","",IFERROR(INDEX('INPUT-SIF_Questions'!$E$2:$E$300,MATCH($A222,'INPUT-SIF_Questions'!$A$2:$A$300,0)),""))</f>
        <v/>
      </c>
    </row>
    <row r="223" spans="9:12" ht="14.25" customHeight="1" x14ac:dyDescent="0.45">
      <c r="I223" s="1" t="str">
        <f>IF($A223="","",IFERROR(INDEX('INPUT-SIF_Questions'!$B$2:$B$300,MATCH($A223,'INPUT-SIF_Questions'!$A$2:$A$300,0)),""))</f>
        <v/>
      </c>
      <c r="J223" s="1" t="str">
        <f>IF($A223="","",IFERROR(INDEX('INPUT-SIF_Questions'!$F$2:$F$300,MATCH($A223,'INPUT-SIF_Questions'!$A$2:$A$300,0)),""))</f>
        <v/>
      </c>
      <c r="K223" s="1" t="str">
        <f>IF($A223="","",IFERROR(INDEX('INPUT-SIF_Questions'!$G$2:$G$300,MATCH($A223,'INPUT-SIF_Questions'!$A$2:$A$300,0)),""))</f>
        <v/>
      </c>
      <c r="L223" s="1" t="str">
        <f>IF($A223="","",IFERROR(INDEX('INPUT-SIF_Questions'!$E$2:$E$300,MATCH($A223,'INPUT-SIF_Questions'!$A$2:$A$300,0)),""))</f>
        <v/>
      </c>
    </row>
    <row r="224" spans="9:12" ht="14.25" customHeight="1" x14ac:dyDescent="0.45">
      <c r="I224" s="1" t="str">
        <f>IF($A224="","",IFERROR(INDEX('INPUT-SIF_Questions'!$B$2:$B$300,MATCH($A224,'INPUT-SIF_Questions'!$A$2:$A$300,0)),""))</f>
        <v/>
      </c>
      <c r="J224" s="1" t="str">
        <f>IF($A224="","",IFERROR(INDEX('INPUT-SIF_Questions'!$F$2:$F$300,MATCH($A224,'INPUT-SIF_Questions'!$A$2:$A$300,0)),""))</f>
        <v/>
      </c>
      <c r="K224" s="1" t="str">
        <f>IF($A224="","",IFERROR(INDEX('INPUT-SIF_Questions'!$G$2:$G$300,MATCH($A224,'INPUT-SIF_Questions'!$A$2:$A$300,0)),""))</f>
        <v/>
      </c>
      <c r="L224" s="1" t="str">
        <f>IF($A224="","",IFERROR(INDEX('INPUT-SIF_Questions'!$E$2:$E$300,MATCH($A224,'INPUT-SIF_Questions'!$A$2:$A$300,0)),""))</f>
        <v/>
      </c>
    </row>
    <row r="225" spans="9:12" ht="14.25" customHeight="1" x14ac:dyDescent="0.45">
      <c r="I225" s="1" t="str">
        <f>IF($A225="","",IFERROR(INDEX('INPUT-SIF_Questions'!$B$2:$B$300,MATCH($A225,'INPUT-SIF_Questions'!$A$2:$A$300,0)),""))</f>
        <v/>
      </c>
      <c r="J225" s="1" t="str">
        <f>IF($A225="","",IFERROR(INDEX('INPUT-SIF_Questions'!$F$2:$F$300,MATCH($A225,'INPUT-SIF_Questions'!$A$2:$A$300,0)),""))</f>
        <v/>
      </c>
      <c r="K225" s="1" t="str">
        <f>IF($A225="","",IFERROR(INDEX('INPUT-SIF_Questions'!$G$2:$G$300,MATCH($A225,'INPUT-SIF_Questions'!$A$2:$A$300,0)),""))</f>
        <v/>
      </c>
      <c r="L225" s="1" t="str">
        <f>IF($A225="","",IFERROR(INDEX('INPUT-SIF_Questions'!$E$2:$E$300,MATCH($A225,'INPUT-SIF_Questions'!$A$2:$A$300,0)),""))</f>
        <v/>
      </c>
    </row>
    <row r="226" spans="9:12" ht="14.25" customHeight="1" x14ac:dyDescent="0.45">
      <c r="I226" s="1" t="str">
        <f>IF($A226="","",IFERROR(INDEX('INPUT-SIF_Questions'!$B$2:$B$300,MATCH($A226,'INPUT-SIF_Questions'!$A$2:$A$300,0)),""))</f>
        <v/>
      </c>
      <c r="J226" s="1" t="str">
        <f>IF($A226="","",IFERROR(INDEX('INPUT-SIF_Questions'!$F$2:$F$300,MATCH($A226,'INPUT-SIF_Questions'!$A$2:$A$300,0)),""))</f>
        <v/>
      </c>
      <c r="K226" s="1" t="str">
        <f>IF($A226="","",IFERROR(INDEX('INPUT-SIF_Questions'!$G$2:$G$300,MATCH($A226,'INPUT-SIF_Questions'!$A$2:$A$300,0)),""))</f>
        <v/>
      </c>
      <c r="L226" s="1" t="str">
        <f>IF($A226="","",IFERROR(INDEX('INPUT-SIF_Questions'!$E$2:$E$300,MATCH($A226,'INPUT-SIF_Questions'!$A$2:$A$300,0)),""))</f>
        <v/>
      </c>
    </row>
    <row r="227" spans="9:12" ht="14.25" customHeight="1" x14ac:dyDescent="0.45">
      <c r="I227" s="1" t="str">
        <f>IF($A227="","",IFERROR(INDEX('INPUT-SIF_Questions'!$B$2:$B$300,MATCH($A227,'INPUT-SIF_Questions'!$A$2:$A$300,0)),""))</f>
        <v/>
      </c>
      <c r="J227" s="1" t="str">
        <f>IF($A227="","",IFERROR(INDEX('INPUT-SIF_Questions'!$F$2:$F$300,MATCH($A227,'INPUT-SIF_Questions'!$A$2:$A$300,0)),""))</f>
        <v/>
      </c>
      <c r="K227" s="1" t="str">
        <f>IF($A227="","",IFERROR(INDEX('INPUT-SIF_Questions'!$G$2:$G$300,MATCH($A227,'INPUT-SIF_Questions'!$A$2:$A$300,0)),""))</f>
        <v/>
      </c>
      <c r="L227" s="1" t="str">
        <f>IF($A227="","",IFERROR(INDEX('INPUT-SIF_Questions'!$E$2:$E$300,MATCH($A227,'INPUT-SIF_Questions'!$A$2:$A$300,0)),""))</f>
        <v/>
      </c>
    </row>
    <row r="228" spans="9:12" ht="14.25" customHeight="1" x14ac:dyDescent="0.45">
      <c r="I228" s="1" t="str">
        <f>IF($A228="","",IFERROR(INDEX('INPUT-SIF_Questions'!$B$2:$B$300,MATCH($A228,'INPUT-SIF_Questions'!$A$2:$A$300,0)),""))</f>
        <v/>
      </c>
      <c r="J228" s="1" t="str">
        <f>IF($A228="","",IFERROR(INDEX('INPUT-SIF_Questions'!$F$2:$F$300,MATCH($A228,'INPUT-SIF_Questions'!$A$2:$A$300,0)),""))</f>
        <v/>
      </c>
      <c r="K228" s="1" t="str">
        <f>IF($A228="","",IFERROR(INDEX('INPUT-SIF_Questions'!$G$2:$G$300,MATCH($A228,'INPUT-SIF_Questions'!$A$2:$A$300,0)),""))</f>
        <v/>
      </c>
      <c r="L228" s="1" t="str">
        <f>IF($A228="","",IFERROR(INDEX('INPUT-SIF_Questions'!$E$2:$E$300,MATCH($A228,'INPUT-SIF_Questions'!$A$2:$A$300,0)),""))</f>
        <v/>
      </c>
    </row>
    <row r="229" spans="9:12" ht="14.25" customHeight="1" x14ac:dyDescent="0.45">
      <c r="I229" s="1" t="str">
        <f>IF($A229="","",IFERROR(INDEX('INPUT-SIF_Questions'!$B$2:$B$300,MATCH($A229,'INPUT-SIF_Questions'!$A$2:$A$300,0)),""))</f>
        <v/>
      </c>
      <c r="J229" s="1" t="str">
        <f>IF($A229="","",IFERROR(INDEX('INPUT-SIF_Questions'!$F$2:$F$300,MATCH($A229,'INPUT-SIF_Questions'!$A$2:$A$300,0)),""))</f>
        <v/>
      </c>
      <c r="K229" s="1" t="str">
        <f>IF($A229="","",IFERROR(INDEX('INPUT-SIF_Questions'!$G$2:$G$300,MATCH($A229,'INPUT-SIF_Questions'!$A$2:$A$300,0)),""))</f>
        <v/>
      </c>
      <c r="L229" s="1" t="str">
        <f>IF($A229="","",IFERROR(INDEX('INPUT-SIF_Questions'!$E$2:$E$300,MATCH($A229,'INPUT-SIF_Questions'!$A$2:$A$300,0)),""))</f>
        <v/>
      </c>
    </row>
    <row r="230" spans="9:12" ht="14.25" customHeight="1" x14ac:dyDescent="0.45">
      <c r="I230" s="1" t="str">
        <f>IF($A230="","",IFERROR(INDEX('INPUT-SIF_Questions'!$B$2:$B$300,MATCH($A230,'INPUT-SIF_Questions'!$A$2:$A$300,0)),""))</f>
        <v/>
      </c>
      <c r="J230" s="1" t="str">
        <f>IF($A230="","",IFERROR(INDEX('INPUT-SIF_Questions'!$F$2:$F$300,MATCH($A230,'INPUT-SIF_Questions'!$A$2:$A$300,0)),""))</f>
        <v/>
      </c>
      <c r="K230" s="1" t="str">
        <f>IF($A230="","",IFERROR(INDEX('INPUT-SIF_Questions'!$G$2:$G$300,MATCH($A230,'INPUT-SIF_Questions'!$A$2:$A$300,0)),""))</f>
        <v/>
      </c>
      <c r="L230" s="1" t="str">
        <f>IF($A230="","",IFERROR(INDEX('INPUT-SIF_Questions'!$E$2:$E$300,MATCH($A230,'INPUT-SIF_Questions'!$A$2:$A$300,0)),""))</f>
        <v/>
      </c>
    </row>
    <row r="231" spans="9:12" ht="14.25" customHeight="1" x14ac:dyDescent="0.45">
      <c r="I231" s="1" t="str">
        <f>IF($A231="","",IFERROR(INDEX('INPUT-SIF_Questions'!$B$2:$B$300,MATCH($A231,'INPUT-SIF_Questions'!$A$2:$A$300,0)),""))</f>
        <v/>
      </c>
      <c r="J231" s="1" t="str">
        <f>IF($A231="","",IFERROR(INDEX('INPUT-SIF_Questions'!$F$2:$F$300,MATCH($A231,'INPUT-SIF_Questions'!$A$2:$A$300,0)),""))</f>
        <v/>
      </c>
      <c r="K231" s="1" t="str">
        <f>IF($A231="","",IFERROR(INDEX('INPUT-SIF_Questions'!$G$2:$G$300,MATCH($A231,'INPUT-SIF_Questions'!$A$2:$A$300,0)),""))</f>
        <v/>
      </c>
      <c r="L231" s="1" t="str">
        <f>IF($A231="","",IFERROR(INDEX('INPUT-SIF_Questions'!$E$2:$E$300,MATCH($A231,'INPUT-SIF_Questions'!$A$2:$A$300,0)),""))</f>
        <v/>
      </c>
    </row>
    <row r="232" spans="9:12" ht="14.25" customHeight="1" x14ac:dyDescent="0.45">
      <c r="I232" s="1" t="str">
        <f>IF($A232="","",IFERROR(INDEX('INPUT-SIF_Questions'!$B$2:$B$300,MATCH($A232,'INPUT-SIF_Questions'!$A$2:$A$300,0)),""))</f>
        <v/>
      </c>
      <c r="J232" s="1" t="str">
        <f>IF($A232="","",IFERROR(INDEX('INPUT-SIF_Questions'!$F$2:$F$300,MATCH($A232,'INPUT-SIF_Questions'!$A$2:$A$300,0)),""))</f>
        <v/>
      </c>
      <c r="K232" s="1" t="str">
        <f>IF($A232="","",IFERROR(INDEX('INPUT-SIF_Questions'!$G$2:$G$300,MATCH($A232,'INPUT-SIF_Questions'!$A$2:$A$300,0)),""))</f>
        <v/>
      </c>
      <c r="L232" s="1" t="str">
        <f>IF($A232="","",IFERROR(INDEX('INPUT-SIF_Questions'!$E$2:$E$300,MATCH($A232,'INPUT-SIF_Questions'!$A$2:$A$300,0)),""))</f>
        <v/>
      </c>
    </row>
    <row r="233" spans="9:12" ht="14.25" customHeight="1" x14ac:dyDescent="0.45">
      <c r="I233" s="1" t="str">
        <f>IF($A233="","",IFERROR(INDEX('INPUT-SIF_Questions'!$B$2:$B$300,MATCH($A233,'INPUT-SIF_Questions'!$A$2:$A$300,0)),""))</f>
        <v/>
      </c>
      <c r="J233" s="1" t="str">
        <f>IF($A233="","",IFERROR(INDEX('INPUT-SIF_Questions'!$F$2:$F$300,MATCH($A233,'INPUT-SIF_Questions'!$A$2:$A$300,0)),""))</f>
        <v/>
      </c>
      <c r="K233" s="1" t="str">
        <f>IF($A233="","",IFERROR(INDEX('INPUT-SIF_Questions'!$G$2:$G$300,MATCH($A233,'INPUT-SIF_Questions'!$A$2:$A$300,0)),""))</f>
        <v/>
      </c>
      <c r="L233" s="1" t="str">
        <f>IF($A233="","",IFERROR(INDEX('INPUT-SIF_Questions'!$E$2:$E$300,MATCH($A233,'INPUT-SIF_Questions'!$A$2:$A$300,0)),""))</f>
        <v/>
      </c>
    </row>
    <row r="234" spans="9:12" ht="14.25" customHeight="1" x14ac:dyDescent="0.45">
      <c r="I234" s="1" t="str">
        <f>IF($A234="","",IFERROR(INDEX('INPUT-SIF_Questions'!$B$2:$B$300,MATCH($A234,'INPUT-SIF_Questions'!$A$2:$A$300,0)),""))</f>
        <v/>
      </c>
      <c r="J234" s="1" t="str">
        <f>IF($A234="","",IFERROR(INDEX('INPUT-SIF_Questions'!$F$2:$F$300,MATCH($A234,'INPUT-SIF_Questions'!$A$2:$A$300,0)),""))</f>
        <v/>
      </c>
      <c r="K234" s="1" t="str">
        <f>IF($A234="","",IFERROR(INDEX('INPUT-SIF_Questions'!$G$2:$G$300,MATCH($A234,'INPUT-SIF_Questions'!$A$2:$A$300,0)),""))</f>
        <v/>
      </c>
      <c r="L234" s="1" t="str">
        <f>IF($A234="","",IFERROR(INDEX('INPUT-SIF_Questions'!$E$2:$E$300,MATCH($A234,'INPUT-SIF_Questions'!$A$2:$A$300,0)),""))</f>
        <v/>
      </c>
    </row>
    <row r="235" spans="9:12" ht="14.25" customHeight="1" x14ac:dyDescent="0.45">
      <c r="I235" s="1" t="str">
        <f>IF($A235="","",IFERROR(INDEX('INPUT-SIF_Questions'!$B$2:$B$300,MATCH($A235,'INPUT-SIF_Questions'!$A$2:$A$300,0)),""))</f>
        <v/>
      </c>
      <c r="J235" s="1" t="str">
        <f>IF($A235="","",IFERROR(INDEX('INPUT-SIF_Questions'!$F$2:$F$300,MATCH($A235,'INPUT-SIF_Questions'!$A$2:$A$300,0)),""))</f>
        <v/>
      </c>
      <c r="K235" s="1" t="str">
        <f>IF($A235="","",IFERROR(INDEX('INPUT-SIF_Questions'!$G$2:$G$300,MATCH($A235,'INPUT-SIF_Questions'!$A$2:$A$300,0)),""))</f>
        <v/>
      </c>
      <c r="L235" s="1" t="str">
        <f>IF($A235="","",IFERROR(INDEX('INPUT-SIF_Questions'!$E$2:$E$300,MATCH($A235,'INPUT-SIF_Questions'!$A$2:$A$300,0)),""))</f>
        <v/>
      </c>
    </row>
    <row r="236" spans="9:12" ht="14.25" customHeight="1" x14ac:dyDescent="0.45">
      <c r="I236" s="1" t="str">
        <f>IF($A236="","",IFERROR(INDEX('INPUT-SIF_Questions'!$B$2:$B$300,MATCH($A236,'INPUT-SIF_Questions'!$A$2:$A$300,0)),""))</f>
        <v/>
      </c>
      <c r="J236" s="1" t="str">
        <f>IF($A236="","",IFERROR(INDEX('INPUT-SIF_Questions'!$F$2:$F$300,MATCH($A236,'INPUT-SIF_Questions'!$A$2:$A$300,0)),""))</f>
        <v/>
      </c>
      <c r="K236" s="1" t="str">
        <f>IF($A236="","",IFERROR(INDEX('INPUT-SIF_Questions'!$G$2:$G$300,MATCH($A236,'INPUT-SIF_Questions'!$A$2:$A$300,0)),""))</f>
        <v/>
      </c>
      <c r="L236" s="1" t="str">
        <f>IF($A236="","",IFERROR(INDEX('INPUT-SIF_Questions'!$E$2:$E$300,MATCH($A236,'INPUT-SIF_Questions'!$A$2:$A$300,0)),""))</f>
        <v/>
      </c>
    </row>
    <row r="237" spans="9:12" ht="14.25" customHeight="1" x14ac:dyDescent="0.45">
      <c r="I237" s="1" t="str">
        <f>IF($A237="","",IFERROR(INDEX('INPUT-SIF_Questions'!$B$2:$B$300,MATCH($A237,'INPUT-SIF_Questions'!$A$2:$A$300,0)),""))</f>
        <v/>
      </c>
      <c r="J237" s="1" t="str">
        <f>IF($A237="","",IFERROR(INDEX('INPUT-SIF_Questions'!$F$2:$F$300,MATCH($A237,'INPUT-SIF_Questions'!$A$2:$A$300,0)),""))</f>
        <v/>
      </c>
      <c r="K237" s="1" t="str">
        <f>IF($A237="","",IFERROR(INDEX('INPUT-SIF_Questions'!$G$2:$G$300,MATCH($A237,'INPUT-SIF_Questions'!$A$2:$A$300,0)),""))</f>
        <v/>
      </c>
      <c r="L237" s="1" t="str">
        <f>IF($A237="","",IFERROR(INDEX('INPUT-SIF_Questions'!$E$2:$E$300,MATCH($A237,'INPUT-SIF_Questions'!$A$2:$A$300,0)),""))</f>
        <v/>
      </c>
    </row>
    <row r="238" spans="9:12" ht="14.25" customHeight="1" x14ac:dyDescent="0.45">
      <c r="I238" s="1" t="str">
        <f>IF($A238="","",IFERROR(INDEX('INPUT-SIF_Questions'!$B$2:$B$300,MATCH($A238,'INPUT-SIF_Questions'!$A$2:$A$300,0)),""))</f>
        <v/>
      </c>
      <c r="J238" s="1" t="str">
        <f>IF($A238="","",IFERROR(INDEX('INPUT-SIF_Questions'!$F$2:$F$300,MATCH($A238,'INPUT-SIF_Questions'!$A$2:$A$300,0)),""))</f>
        <v/>
      </c>
      <c r="K238" s="1" t="str">
        <f>IF($A238="","",IFERROR(INDEX('INPUT-SIF_Questions'!$G$2:$G$300,MATCH($A238,'INPUT-SIF_Questions'!$A$2:$A$300,0)),""))</f>
        <v/>
      </c>
      <c r="L238" s="1" t="str">
        <f>IF($A238="","",IFERROR(INDEX('INPUT-SIF_Questions'!$E$2:$E$300,MATCH($A238,'INPUT-SIF_Questions'!$A$2:$A$300,0)),""))</f>
        <v/>
      </c>
    </row>
    <row r="239" spans="9:12" ht="14.25" customHeight="1" x14ac:dyDescent="0.45">
      <c r="I239" s="1" t="str">
        <f>IF($A239="","",IFERROR(INDEX('INPUT-SIF_Questions'!$B$2:$B$300,MATCH($A239,'INPUT-SIF_Questions'!$A$2:$A$300,0)),""))</f>
        <v/>
      </c>
      <c r="J239" s="1" t="str">
        <f>IF($A239="","",IFERROR(INDEX('INPUT-SIF_Questions'!$F$2:$F$300,MATCH($A239,'INPUT-SIF_Questions'!$A$2:$A$300,0)),""))</f>
        <v/>
      </c>
      <c r="K239" s="1" t="str">
        <f>IF($A239="","",IFERROR(INDEX('INPUT-SIF_Questions'!$G$2:$G$300,MATCH($A239,'INPUT-SIF_Questions'!$A$2:$A$300,0)),""))</f>
        <v/>
      </c>
      <c r="L239" s="1" t="str">
        <f>IF($A239="","",IFERROR(INDEX('INPUT-SIF_Questions'!$E$2:$E$300,MATCH($A239,'INPUT-SIF_Questions'!$A$2:$A$300,0)),""))</f>
        <v/>
      </c>
    </row>
    <row r="240" spans="9:12" ht="14.25" customHeight="1" x14ac:dyDescent="0.45">
      <c r="I240" s="1" t="str">
        <f>IF($A240="","",IFERROR(INDEX('INPUT-SIF_Questions'!$B$2:$B$300,MATCH($A240,'INPUT-SIF_Questions'!$A$2:$A$300,0)),""))</f>
        <v/>
      </c>
      <c r="J240" s="1" t="str">
        <f>IF($A240="","",IFERROR(INDEX('INPUT-SIF_Questions'!$F$2:$F$300,MATCH($A240,'INPUT-SIF_Questions'!$A$2:$A$300,0)),""))</f>
        <v/>
      </c>
      <c r="K240" s="1" t="str">
        <f>IF($A240="","",IFERROR(INDEX('INPUT-SIF_Questions'!$G$2:$G$300,MATCH($A240,'INPUT-SIF_Questions'!$A$2:$A$300,0)),""))</f>
        <v/>
      </c>
      <c r="L240" s="1" t="str">
        <f>IF($A240="","",IFERROR(INDEX('INPUT-SIF_Questions'!$E$2:$E$300,MATCH($A240,'INPUT-SIF_Questions'!$A$2:$A$300,0)),""))</f>
        <v/>
      </c>
    </row>
    <row r="241" spans="9:12" ht="14.25" customHeight="1" x14ac:dyDescent="0.45">
      <c r="I241" s="1" t="str">
        <f>IF($A241="","",IFERROR(INDEX('INPUT-SIF_Questions'!$B$2:$B$300,MATCH($A241,'INPUT-SIF_Questions'!$A$2:$A$300,0)),""))</f>
        <v/>
      </c>
      <c r="J241" s="1" t="str">
        <f>IF($A241="","",IFERROR(INDEX('INPUT-SIF_Questions'!$F$2:$F$300,MATCH($A241,'INPUT-SIF_Questions'!$A$2:$A$300,0)),""))</f>
        <v/>
      </c>
      <c r="K241" s="1" t="str">
        <f>IF($A241="","",IFERROR(INDEX('INPUT-SIF_Questions'!$G$2:$G$300,MATCH($A241,'INPUT-SIF_Questions'!$A$2:$A$300,0)),""))</f>
        <v/>
      </c>
      <c r="L241" s="1" t="str">
        <f>IF($A241="","",IFERROR(INDEX('INPUT-SIF_Questions'!$E$2:$E$300,MATCH($A241,'INPUT-SIF_Questions'!$A$2:$A$300,0)),""))</f>
        <v/>
      </c>
    </row>
    <row r="242" spans="9:12" ht="14.25" customHeight="1" x14ac:dyDescent="0.45">
      <c r="I242" s="1" t="str">
        <f>IF($A242="","",IFERROR(INDEX('INPUT-SIF_Questions'!$B$2:$B$300,MATCH($A242,'INPUT-SIF_Questions'!$A$2:$A$300,0)),""))</f>
        <v/>
      </c>
      <c r="J242" s="1" t="str">
        <f>IF($A242="","",IFERROR(INDEX('INPUT-SIF_Questions'!$F$2:$F$300,MATCH($A242,'INPUT-SIF_Questions'!$A$2:$A$300,0)),""))</f>
        <v/>
      </c>
      <c r="K242" s="1" t="str">
        <f>IF($A242="","",IFERROR(INDEX('INPUT-SIF_Questions'!$G$2:$G$300,MATCH($A242,'INPUT-SIF_Questions'!$A$2:$A$300,0)),""))</f>
        <v/>
      </c>
      <c r="L242" s="1" t="str">
        <f>IF($A242="","",IFERROR(INDEX('INPUT-SIF_Questions'!$E$2:$E$300,MATCH($A242,'INPUT-SIF_Questions'!$A$2:$A$300,0)),""))</f>
        <v/>
      </c>
    </row>
    <row r="243" spans="9:12" ht="14.25" customHeight="1" x14ac:dyDescent="0.45">
      <c r="I243" s="1" t="str">
        <f>IF($A243="","",IFERROR(INDEX('INPUT-SIF_Questions'!$B$2:$B$300,MATCH($A243,'INPUT-SIF_Questions'!$A$2:$A$300,0)),""))</f>
        <v/>
      </c>
      <c r="J243" s="1" t="str">
        <f>IF($A243="","",IFERROR(INDEX('INPUT-SIF_Questions'!$F$2:$F$300,MATCH($A243,'INPUT-SIF_Questions'!$A$2:$A$300,0)),""))</f>
        <v/>
      </c>
      <c r="K243" s="1" t="str">
        <f>IF($A243="","",IFERROR(INDEX('INPUT-SIF_Questions'!$G$2:$G$300,MATCH($A243,'INPUT-SIF_Questions'!$A$2:$A$300,0)),""))</f>
        <v/>
      </c>
      <c r="L243" s="1" t="str">
        <f>IF($A243="","",IFERROR(INDEX('INPUT-SIF_Questions'!$E$2:$E$300,MATCH($A243,'INPUT-SIF_Questions'!$A$2:$A$300,0)),""))</f>
        <v/>
      </c>
    </row>
    <row r="244" spans="9:12" ht="14.25" customHeight="1" x14ac:dyDescent="0.45">
      <c r="I244" s="1" t="str">
        <f>IF($A244="","",IFERROR(INDEX('INPUT-SIF_Questions'!$B$2:$B$300,MATCH($A244,'INPUT-SIF_Questions'!$A$2:$A$300,0)),""))</f>
        <v/>
      </c>
      <c r="J244" s="1" t="str">
        <f>IF($A244="","",IFERROR(INDEX('INPUT-SIF_Questions'!$F$2:$F$300,MATCH($A244,'INPUT-SIF_Questions'!$A$2:$A$300,0)),""))</f>
        <v/>
      </c>
      <c r="K244" s="1" t="str">
        <f>IF($A244="","",IFERROR(INDEX('INPUT-SIF_Questions'!$G$2:$G$300,MATCH($A244,'INPUT-SIF_Questions'!$A$2:$A$300,0)),""))</f>
        <v/>
      </c>
      <c r="L244" s="1" t="str">
        <f>IF($A244="","",IFERROR(INDEX('INPUT-SIF_Questions'!$E$2:$E$300,MATCH($A244,'INPUT-SIF_Questions'!$A$2:$A$300,0)),""))</f>
        <v/>
      </c>
    </row>
    <row r="245" spans="9:12" ht="14.25" customHeight="1" x14ac:dyDescent="0.45">
      <c r="I245" s="1" t="str">
        <f>IF($A245="","",IFERROR(INDEX('INPUT-SIF_Questions'!$B$2:$B$300,MATCH($A245,'INPUT-SIF_Questions'!$A$2:$A$300,0)),""))</f>
        <v/>
      </c>
      <c r="J245" s="1" t="str">
        <f>IF($A245="","",IFERROR(INDEX('INPUT-SIF_Questions'!$F$2:$F$300,MATCH($A245,'INPUT-SIF_Questions'!$A$2:$A$300,0)),""))</f>
        <v/>
      </c>
      <c r="K245" s="1" t="str">
        <f>IF($A245="","",IFERROR(INDEX('INPUT-SIF_Questions'!$G$2:$G$300,MATCH($A245,'INPUT-SIF_Questions'!$A$2:$A$300,0)),""))</f>
        <v/>
      </c>
      <c r="L245" s="1" t="str">
        <f>IF($A245="","",IFERROR(INDEX('INPUT-SIF_Questions'!$E$2:$E$300,MATCH($A245,'INPUT-SIF_Questions'!$A$2:$A$300,0)),""))</f>
        <v/>
      </c>
    </row>
    <row r="246" spans="9:12" ht="14.25" customHeight="1" x14ac:dyDescent="0.45">
      <c r="I246" s="1" t="str">
        <f>IF($A246="","",IFERROR(INDEX('INPUT-SIF_Questions'!$B$2:$B$300,MATCH($A246,'INPUT-SIF_Questions'!$A$2:$A$300,0)),""))</f>
        <v/>
      </c>
      <c r="J246" s="1" t="str">
        <f>IF($A246="","",IFERROR(INDEX('INPUT-SIF_Questions'!$F$2:$F$300,MATCH($A246,'INPUT-SIF_Questions'!$A$2:$A$300,0)),""))</f>
        <v/>
      </c>
      <c r="K246" s="1" t="str">
        <f>IF($A246="","",IFERROR(INDEX('INPUT-SIF_Questions'!$G$2:$G$300,MATCH($A246,'INPUT-SIF_Questions'!$A$2:$A$300,0)),""))</f>
        <v/>
      </c>
      <c r="L246" s="1" t="str">
        <f>IF($A246="","",IFERROR(INDEX('INPUT-SIF_Questions'!$E$2:$E$300,MATCH($A246,'INPUT-SIF_Questions'!$A$2:$A$300,0)),""))</f>
        <v/>
      </c>
    </row>
    <row r="247" spans="9:12" ht="14.25" customHeight="1" x14ac:dyDescent="0.45">
      <c r="I247" s="1" t="str">
        <f>IF($A247="","",IFERROR(INDEX('INPUT-SIF_Questions'!$B$2:$B$300,MATCH($A247,'INPUT-SIF_Questions'!$A$2:$A$300,0)),""))</f>
        <v/>
      </c>
      <c r="J247" s="1" t="str">
        <f>IF($A247="","",IFERROR(INDEX('INPUT-SIF_Questions'!$F$2:$F$300,MATCH($A247,'INPUT-SIF_Questions'!$A$2:$A$300,0)),""))</f>
        <v/>
      </c>
      <c r="K247" s="1" t="str">
        <f>IF($A247="","",IFERROR(INDEX('INPUT-SIF_Questions'!$G$2:$G$300,MATCH($A247,'INPUT-SIF_Questions'!$A$2:$A$300,0)),""))</f>
        <v/>
      </c>
      <c r="L247" s="1" t="str">
        <f>IF($A247="","",IFERROR(INDEX('INPUT-SIF_Questions'!$E$2:$E$300,MATCH($A247,'INPUT-SIF_Questions'!$A$2:$A$300,0)),""))</f>
        <v/>
      </c>
    </row>
    <row r="248" spans="9:12" ht="14.25" customHeight="1" x14ac:dyDescent="0.45">
      <c r="I248" s="1" t="str">
        <f>IF($A248="","",IFERROR(INDEX('INPUT-SIF_Questions'!$B$2:$B$300,MATCH($A248,'INPUT-SIF_Questions'!$A$2:$A$300,0)),""))</f>
        <v/>
      </c>
      <c r="J248" s="1" t="str">
        <f>IF($A248="","",IFERROR(INDEX('INPUT-SIF_Questions'!$F$2:$F$300,MATCH($A248,'INPUT-SIF_Questions'!$A$2:$A$300,0)),""))</f>
        <v/>
      </c>
      <c r="K248" s="1" t="str">
        <f>IF($A248="","",IFERROR(INDEX('INPUT-SIF_Questions'!$G$2:$G$300,MATCH($A248,'INPUT-SIF_Questions'!$A$2:$A$300,0)),""))</f>
        <v/>
      </c>
      <c r="L248" s="1" t="str">
        <f>IF($A248="","",IFERROR(INDEX('INPUT-SIF_Questions'!$E$2:$E$300,MATCH($A248,'INPUT-SIF_Questions'!$A$2:$A$300,0)),""))</f>
        <v/>
      </c>
    </row>
    <row r="249" spans="9:12" ht="14.25" customHeight="1" x14ac:dyDescent="0.45">
      <c r="I249" s="1" t="str">
        <f>IF($A249="","",IFERROR(INDEX('INPUT-SIF_Questions'!$B$2:$B$300,MATCH($A249,'INPUT-SIF_Questions'!$A$2:$A$300,0)),""))</f>
        <v/>
      </c>
      <c r="J249" s="1" t="str">
        <f>IF($A249="","",IFERROR(INDEX('INPUT-SIF_Questions'!$F$2:$F$300,MATCH($A249,'INPUT-SIF_Questions'!$A$2:$A$300,0)),""))</f>
        <v/>
      </c>
      <c r="K249" s="1" t="str">
        <f>IF($A249="","",IFERROR(INDEX('INPUT-SIF_Questions'!$G$2:$G$300,MATCH($A249,'INPUT-SIF_Questions'!$A$2:$A$300,0)),""))</f>
        <v/>
      </c>
      <c r="L249" s="1" t="str">
        <f>IF($A249="","",IFERROR(INDEX('INPUT-SIF_Questions'!$E$2:$E$300,MATCH($A249,'INPUT-SIF_Questions'!$A$2:$A$300,0)),""))</f>
        <v/>
      </c>
    </row>
    <row r="250" spans="9:12" ht="14.25" customHeight="1" x14ac:dyDescent="0.45">
      <c r="I250" s="1" t="str">
        <f>IF($A250="","",IFERROR(INDEX('INPUT-SIF_Questions'!$B$2:$B$300,MATCH($A250,'INPUT-SIF_Questions'!$A$2:$A$300,0)),""))</f>
        <v/>
      </c>
      <c r="J250" s="1" t="str">
        <f>IF($A250="","",IFERROR(INDEX('INPUT-SIF_Questions'!$F$2:$F$300,MATCH($A250,'INPUT-SIF_Questions'!$A$2:$A$300,0)),""))</f>
        <v/>
      </c>
      <c r="K250" s="1" t="str">
        <f>IF($A250="","",IFERROR(INDEX('INPUT-SIF_Questions'!$G$2:$G$300,MATCH($A250,'INPUT-SIF_Questions'!$A$2:$A$300,0)),""))</f>
        <v/>
      </c>
      <c r="L250" s="1" t="str">
        <f>IF($A250="","",IFERROR(INDEX('INPUT-SIF_Questions'!$E$2:$E$300,MATCH($A250,'INPUT-SIF_Questions'!$A$2:$A$300,0)),""))</f>
        <v/>
      </c>
    </row>
    <row r="251" spans="9:12" ht="14.25" customHeight="1" x14ac:dyDescent="0.45">
      <c r="I251" s="1" t="str">
        <f>IF($A251="","",IFERROR(INDEX('INPUT-SIF_Questions'!$B$2:$B$300,MATCH($A251,'INPUT-SIF_Questions'!$A$2:$A$300,0)),""))</f>
        <v/>
      </c>
      <c r="J251" s="1" t="str">
        <f>IF($A251="","",IFERROR(INDEX('INPUT-SIF_Questions'!$F$2:$F$300,MATCH($A251,'INPUT-SIF_Questions'!$A$2:$A$300,0)),""))</f>
        <v/>
      </c>
      <c r="K251" s="1" t="str">
        <f>IF($A251="","",IFERROR(INDEX('INPUT-SIF_Questions'!$G$2:$G$300,MATCH($A251,'INPUT-SIF_Questions'!$A$2:$A$300,0)),""))</f>
        <v/>
      </c>
      <c r="L251" s="1" t="str">
        <f>IF($A251="","",IFERROR(INDEX('INPUT-SIF_Questions'!$E$2:$E$300,MATCH($A251,'INPUT-SIF_Questions'!$A$2:$A$300,0)),""))</f>
        <v/>
      </c>
    </row>
    <row r="252" spans="9:12" ht="14.25" customHeight="1" x14ac:dyDescent="0.45">
      <c r="I252" s="1" t="str">
        <f>IF($A252="","",IFERROR(INDEX('INPUT-SIF_Questions'!$B$2:$B$300,MATCH($A252,'INPUT-SIF_Questions'!$A$2:$A$300,0)),""))</f>
        <v/>
      </c>
      <c r="J252" s="1" t="str">
        <f>IF($A252="","",IFERROR(INDEX('INPUT-SIF_Questions'!$F$2:$F$300,MATCH($A252,'INPUT-SIF_Questions'!$A$2:$A$300,0)),""))</f>
        <v/>
      </c>
      <c r="K252" s="1" t="str">
        <f>IF($A252="","",IFERROR(INDEX('INPUT-SIF_Questions'!$G$2:$G$300,MATCH($A252,'INPUT-SIF_Questions'!$A$2:$A$300,0)),""))</f>
        <v/>
      </c>
      <c r="L252" s="1" t="str">
        <f>IF($A252="","",IFERROR(INDEX('INPUT-SIF_Questions'!$E$2:$E$300,MATCH($A252,'INPUT-SIF_Questions'!$A$2:$A$300,0)),""))</f>
        <v/>
      </c>
    </row>
    <row r="253" spans="9:12" ht="14.25" customHeight="1" x14ac:dyDescent="0.45">
      <c r="I253" s="1" t="str">
        <f>IF($A253="","",IFERROR(INDEX('INPUT-SIF_Questions'!$B$2:$B$300,MATCH($A253,'INPUT-SIF_Questions'!$A$2:$A$300,0)),""))</f>
        <v/>
      </c>
      <c r="J253" s="1" t="str">
        <f>IF($A253="","",IFERROR(INDEX('INPUT-SIF_Questions'!$F$2:$F$300,MATCH($A253,'INPUT-SIF_Questions'!$A$2:$A$300,0)),""))</f>
        <v/>
      </c>
      <c r="K253" s="1" t="str">
        <f>IF($A253="","",IFERROR(INDEX('INPUT-SIF_Questions'!$G$2:$G$300,MATCH($A253,'INPUT-SIF_Questions'!$A$2:$A$300,0)),""))</f>
        <v/>
      </c>
      <c r="L253" s="1" t="str">
        <f>IF($A253="","",IFERROR(INDEX('INPUT-SIF_Questions'!$E$2:$E$300,MATCH($A253,'INPUT-SIF_Questions'!$A$2:$A$300,0)),""))</f>
        <v/>
      </c>
    </row>
    <row r="254" spans="9:12" ht="14.25" customHeight="1" x14ac:dyDescent="0.45">
      <c r="I254" s="1" t="str">
        <f>IF($A254="","",IFERROR(INDEX('INPUT-SIF_Questions'!$B$2:$B$300,MATCH($A254,'INPUT-SIF_Questions'!$A$2:$A$300,0)),""))</f>
        <v/>
      </c>
      <c r="J254" s="1" t="str">
        <f>IF($A254="","",IFERROR(INDEX('INPUT-SIF_Questions'!$F$2:$F$300,MATCH($A254,'INPUT-SIF_Questions'!$A$2:$A$300,0)),""))</f>
        <v/>
      </c>
      <c r="K254" s="1" t="str">
        <f>IF($A254="","",IFERROR(INDEX('INPUT-SIF_Questions'!$G$2:$G$300,MATCH($A254,'INPUT-SIF_Questions'!$A$2:$A$300,0)),""))</f>
        <v/>
      </c>
      <c r="L254" s="1" t="str">
        <f>IF($A254="","",IFERROR(INDEX('INPUT-SIF_Questions'!$E$2:$E$300,MATCH($A254,'INPUT-SIF_Questions'!$A$2:$A$300,0)),""))</f>
        <v/>
      </c>
    </row>
    <row r="255" spans="9:12" ht="14.25" customHeight="1" x14ac:dyDescent="0.45">
      <c r="I255" s="1" t="str">
        <f>IF($A255="","",IFERROR(INDEX('INPUT-SIF_Questions'!$B$2:$B$300,MATCH($A255,'INPUT-SIF_Questions'!$A$2:$A$300,0)),""))</f>
        <v/>
      </c>
      <c r="J255" s="1" t="str">
        <f>IF($A255="","",IFERROR(INDEX('INPUT-SIF_Questions'!$F$2:$F$300,MATCH($A255,'INPUT-SIF_Questions'!$A$2:$A$300,0)),""))</f>
        <v/>
      </c>
      <c r="K255" s="1" t="str">
        <f>IF($A255="","",IFERROR(INDEX('INPUT-SIF_Questions'!$G$2:$G$300,MATCH($A255,'INPUT-SIF_Questions'!$A$2:$A$300,0)),""))</f>
        <v/>
      </c>
      <c r="L255" s="1" t="str">
        <f>IF($A255="","",IFERROR(INDEX('INPUT-SIF_Questions'!$E$2:$E$300,MATCH($A255,'INPUT-SIF_Questions'!$A$2:$A$300,0)),""))</f>
        <v/>
      </c>
    </row>
    <row r="256" spans="9:12" ht="14.25" customHeight="1" x14ac:dyDescent="0.45">
      <c r="I256" s="1" t="str">
        <f>IF($A256="","",IFERROR(INDEX('INPUT-SIF_Questions'!$B$2:$B$300,MATCH($A256,'INPUT-SIF_Questions'!$A$2:$A$300,0)),""))</f>
        <v/>
      </c>
      <c r="J256" s="1" t="str">
        <f>IF($A256="","",IFERROR(INDEX('INPUT-SIF_Questions'!$F$2:$F$300,MATCH($A256,'INPUT-SIF_Questions'!$A$2:$A$300,0)),""))</f>
        <v/>
      </c>
      <c r="K256" s="1" t="str">
        <f>IF($A256="","",IFERROR(INDEX('INPUT-SIF_Questions'!$G$2:$G$300,MATCH($A256,'INPUT-SIF_Questions'!$A$2:$A$300,0)),""))</f>
        <v/>
      </c>
      <c r="L256" s="1" t="str">
        <f>IF($A256="","",IFERROR(INDEX('INPUT-SIF_Questions'!$E$2:$E$300,MATCH($A256,'INPUT-SIF_Questions'!$A$2:$A$300,0)),""))</f>
        <v/>
      </c>
    </row>
    <row r="257" spans="9:12" ht="14.25" customHeight="1" x14ac:dyDescent="0.45">
      <c r="I257" s="1" t="str">
        <f>IF($A257="","",IFERROR(INDEX('INPUT-SIF_Questions'!$B$2:$B$300,MATCH($A257,'INPUT-SIF_Questions'!$A$2:$A$300,0)),""))</f>
        <v/>
      </c>
      <c r="J257" s="1" t="str">
        <f>IF($A257="","",IFERROR(INDEX('INPUT-SIF_Questions'!$F$2:$F$300,MATCH($A257,'INPUT-SIF_Questions'!$A$2:$A$300,0)),""))</f>
        <v/>
      </c>
      <c r="K257" s="1" t="str">
        <f>IF($A257="","",IFERROR(INDEX('INPUT-SIF_Questions'!$G$2:$G$300,MATCH($A257,'INPUT-SIF_Questions'!$A$2:$A$300,0)),""))</f>
        <v/>
      </c>
      <c r="L257" s="1" t="str">
        <f>IF($A257="","",IFERROR(INDEX('INPUT-SIF_Questions'!$E$2:$E$300,MATCH($A257,'INPUT-SIF_Questions'!$A$2:$A$300,0)),""))</f>
        <v/>
      </c>
    </row>
    <row r="258" spans="9:12" ht="14.25" customHeight="1" x14ac:dyDescent="0.45">
      <c r="I258" s="1" t="str">
        <f>IF($A258="","",IFERROR(INDEX('INPUT-SIF_Questions'!$B$2:$B$300,MATCH($A258,'INPUT-SIF_Questions'!$A$2:$A$300,0)),""))</f>
        <v/>
      </c>
      <c r="J258" s="1" t="str">
        <f>IF($A258="","",IFERROR(INDEX('INPUT-SIF_Questions'!$F$2:$F$300,MATCH($A258,'INPUT-SIF_Questions'!$A$2:$A$300,0)),""))</f>
        <v/>
      </c>
      <c r="K258" s="1" t="str">
        <f>IF($A258="","",IFERROR(INDEX('INPUT-SIF_Questions'!$G$2:$G$300,MATCH($A258,'INPUT-SIF_Questions'!$A$2:$A$300,0)),""))</f>
        <v/>
      </c>
      <c r="L258" s="1" t="str">
        <f>IF($A258="","",IFERROR(INDEX('INPUT-SIF_Questions'!$E$2:$E$300,MATCH($A258,'INPUT-SIF_Questions'!$A$2:$A$300,0)),""))</f>
        <v/>
      </c>
    </row>
    <row r="259" spans="9:12" ht="14.25" customHeight="1" x14ac:dyDescent="0.45">
      <c r="I259" s="1" t="str">
        <f>IF($A259="","",IFERROR(INDEX('INPUT-SIF_Questions'!$B$2:$B$300,MATCH($A259,'INPUT-SIF_Questions'!$A$2:$A$300,0)),""))</f>
        <v/>
      </c>
      <c r="J259" s="1" t="str">
        <f>IF($A259="","",IFERROR(INDEX('INPUT-SIF_Questions'!$F$2:$F$300,MATCH($A259,'INPUT-SIF_Questions'!$A$2:$A$300,0)),""))</f>
        <v/>
      </c>
      <c r="K259" s="1" t="str">
        <f>IF($A259="","",IFERROR(INDEX('INPUT-SIF_Questions'!$G$2:$G$300,MATCH($A259,'INPUT-SIF_Questions'!$A$2:$A$300,0)),""))</f>
        <v/>
      </c>
      <c r="L259" s="1" t="str">
        <f>IF($A259="","",IFERROR(INDEX('INPUT-SIF_Questions'!$E$2:$E$300,MATCH($A259,'INPUT-SIF_Questions'!$A$2:$A$300,0)),""))</f>
        <v/>
      </c>
    </row>
    <row r="260" spans="9:12" ht="14.25" customHeight="1" x14ac:dyDescent="0.45">
      <c r="I260" s="1" t="str">
        <f>IF($A260="","",IFERROR(INDEX('INPUT-SIF_Questions'!$B$2:$B$300,MATCH($A260,'INPUT-SIF_Questions'!$A$2:$A$300,0)),""))</f>
        <v/>
      </c>
      <c r="J260" s="1" t="str">
        <f>IF($A260="","",IFERROR(INDEX('INPUT-SIF_Questions'!$F$2:$F$300,MATCH($A260,'INPUT-SIF_Questions'!$A$2:$A$300,0)),""))</f>
        <v/>
      </c>
      <c r="K260" s="1" t="str">
        <f>IF($A260="","",IFERROR(INDEX('INPUT-SIF_Questions'!$G$2:$G$300,MATCH($A260,'INPUT-SIF_Questions'!$A$2:$A$300,0)),""))</f>
        <v/>
      </c>
      <c r="L260" s="1" t="str">
        <f>IF($A260="","",IFERROR(INDEX('INPUT-SIF_Questions'!$E$2:$E$300,MATCH($A260,'INPUT-SIF_Questions'!$A$2:$A$300,0)),""))</f>
        <v/>
      </c>
    </row>
    <row r="261" spans="9:12" ht="14.25" customHeight="1" x14ac:dyDescent="0.45">
      <c r="I261" s="1" t="str">
        <f>IF($A261="","",IFERROR(INDEX('INPUT-SIF_Questions'!$B$2:$B$300,MATCH($A261,'INPUT-SIF_Questions'!$A$2:$A$300,0)),""))</f>
        <v/>
      </c>
      <c r="J261" s="1" t="str">
        <f>IF($A261="","",IFERROR(INDEX('INPUT-SIF_Questions'!$F$2:$F$300,MATCH($A261,'INPUT-SIF_Questions'!$A$2:$A$300,0)),""))</f>
        <v/>
      </c>
      <c r="K261" s="1" t="str">
        <f>IF($A261="","",IFERROR(INDEX('INPUT-SIF_Questions'!$G$2:$G$300,MATCH($A261,'INPUT-SIF_Questions'!$A$2:$A$300,0)),""))</f>
        <v/>
      </c>
      <c r="L261" s="1" t="str">
        <f>IF($A261="","",IFERROR(INDEX('INPUT-SIF_Questions'!$E$2:$E$300,MATCH($A261,'INPUT-SIF_Questions'!$A$2:$A$300,0)),""))</f>
        <v/>
      </c>
    </row>
    <row r="262" spans="9:12" ht="14.25" customHeight="1" x14ac:dyDescent="0.45">
      <c r="I262" s="1" t="str">
        <f>IF($A262="","",IFERROR(INDEX('INPUT-SIF_Questions'!$B$2:$B$300,MATCH($A262,'INPUT-SIF_Questions'!$A$2:$A$300,0)),""))</f>
        <v/>
      </c>
      <c r="J262" s="1" t="str">
        <f>IF($A262="","",IFERROR(INDEX('INPUT-SIF_Questions'!$F$2:$F$300,MATCH($A262,'INPUT-SIF_Questions'!$A$2:$A$300,0)),""))</f>
        <v/>
      </c>
      <c r="K262" s="1" t="str">
        <f>IF($A262="","",IFERROR(INDEX('INPUT-SIF_Questions'!$G$2:$G$300,MATCH($A262,'INPUT-SIF_Questions'!$A$2:$A$300,0)),""))</f>
        <v/>
      </c>
      <c r="L262" s="1" t="str">
        <f>IF($A262="","",IFERROR(INDEX('INPUT-SIF_Questions'!$E$2:$E$300,MATCH($A262,'INPUT-SIF_Questions'!$A$2:$A$300,0)),""))</f>
        <v/>
      </c>
    </row>
    <row r="263" spans="9:12" ht="14.25" customHeight="1" x14ac:dyDescent="0.45">
      <c r="I263" s="1" t="str">
        <f>IF($A263="","",IFERROR(INDEX('INPUT-SIF_Questions'!$B$2:$B$300,MATCH($A263,'INPUT-SIF_Questions'!$A$2:$A$300,0)),""))</f>
        <v/>
      </c>
      <c r="J263" s="1" t="str">
        <f>IF($A263="","",IFERROR(INDEX('INPUT-SIF_Questions'!$F$2:$F$300,MATCH($A263,'INPUT-SIF_Questions'!$A$2:$A$300,0)),""))</f>
        <v/>
      </c>
      <c r="K263" s="1" t="str">
        <f>IF($A263="","",IFERROR(INDEX('INPUT-SIF_Questions'!$G$2:$G$300,MATCH($A263,'INPUT-SIF_Questions'!$A$2:$A$300,0)),""))</f>
        <v/>
      </c>
      <c r="L263" s="1" t="str">
        <f>IF($A263="","",IFERROR(INDEX('INPUT-SIF_Questions'!$E$2:$E$300,MATCH($A263,'INPUT-SIF_Questions'!$A$2:$A$300,0)),""))</f>
        <v/>
      </c>
    </row>
    <row r="264" spans="9:12" ht="14.25" customHeight="1" x14ac:dyDescent="0.45">
      <c r="I264" s="1" t="str">
        <f>IF($A264="","",IFERROR(INDEX('INPUT-SIF_Questions'!$B$2:$B$300,MATCH($A264,'INPUT-SIF_Questions'!$A$2:$A$300,0)),""))</f>
        <v/>
      </c>
      <c r="J264" s="1" t="str">
        <f>IF($A264="","",IFERROR(INDEX('INPUT-SIF_Questions'!$F$2:$F$300,MATCH($A264,'INPUT-SIF_Questions'!$A$2:$A$300,0)),""))</f>
        <v/>
      </c>
      <c r="K264" s="1" t="str">
        <f>IF($A264="","",IFERROR(INDEX('INPUT-SIF_Questions'!$G$2:$G$300,MATCH($A264,'INPUT-SIF_Questions'!$A$2:$A$300,0)),""))</f>
        <v/>
      </c>
      <c r="L264" s="1" t="str">
        <f>IF($A264="","",IFERROR(INDEX('INPUT-SIF_Questions'!$E$2:$E$300,MATCH($A264,'INPUT-SIF_Questions'!$A$2:$A$300,0)),""))</f>
        <v/>
      </c>
    </row>
    <row r="265" spans="9:12" ht="14.25" customHeight="1" x14ac:dyDescent="0.45">
      <c r="I265" s="1" t="str">
        <f>IF($A265="","",IFERROR(INDEX('INPUT-SIF_Questions'!$B$2:$B$300,MATCH($A265,'INPUT-SIF_Questions'!$A$2:$A$300,0)),""))</f>
        <v/>
      </c>
      <c r="J265" s="1" t="str">
        <f>IF($A265="","",IFERROR(INDEX('INPUT-SIF_Questions'!$F$2:$F$300,MATCH($A265,'INPUT-SIF_Questions'!$A$2:$A$300,0)),""))</f>
        <v/>
      </c>
      <c r="K265" s="1" t="str">
        <f>IF($A265="","",IFERROR(INDEX('INPUT-SIF_Questions'!$G$2:$G$300,MATCH($A265,'INPUT-SIF_Questions'!$A$2:$A$300,0)),""))</f>
        <v/>
      </c>
      <c r="L265" s="1" t="str">
        <f>IF($A265="","",IFERROR(INDEX('INPUT-SIF_Questions'!$E$2:$E$300,MATCH($A265,'INPUT-SIF_Questions'!$A$2:$A$300,0)),""))</f>
        <v/>
      </c>
    </row>
    <row r="266" spans="9:12" ht="14.25" customHeight="1" x14ac:dyDescent="0.45">
      <c r="I266" s="1" t="str">
        <f>IF($A266="","",IFERROR(INDEX('INPUT-SIF_Questions'!$B$2:$B$300,MATCH($A266,'INPUT-SIF_Questions'!$A$2:$A$300,0)),""))</f>
        <v/>
      </c>
      <c r="J266" s="1" t="str">
        <f>IF($A266="","",IFERROR(INDEX('INPUT-SIF_Questions'!$F$2:$F$300,MATCH($A266,'INPUT-SIF_Questions'!$A$2:$A$300,0)),""))</f>
        <v/>
      </c>
      <c r="K266" s="1" t="str">
        <f>IF($A266="","",IFERROR(INDEX('INPUT-SIF_Questions'!$G$2:$G$300,MATCH($A266,'INPUT-SIF_Questions'!$A$2:$A$300,0)),""))</f>
        <v/>
      </c>
      <c r="L266" s="1" t="str">
        <f>IF($A266="","",IFERROR(INDEX('INPUT-SIF_Questions'!$E$2:$E$300,MATCH($A266,'INPUT-SIF_Questions'!$A$2:$A$300,0)),""))</f>
        <v/>
      </c>
    </row>
    <row r="267" spans="9:12" ht="14.25" customHeight="1" x14ac:dyDescent="0.45">
      <c r="I267" s="1" t="str">
        <f>IF($A267="","",IFERROR(INDEX('INPUT-SIF_Questions'!$B$2:$B$300,MATCH($A267,'INPUT-SIF_Questions'!$A$2:$A$300,0)),""))</f>
        <v/>
      </c>
      <c r="J267" s="1" t="str">
        <f>IF($A267="","",IFERROR(INDEX('INPUT-SIF_Questions'!$F$2:$F$300,MATCH($A267,'INPUT-SIF_Questions'!$A$2:$A$300,0)),""))</f>
        <v/>
      </c>
      <c r="K267" s="1" t="str">
        <f>IF($A267="","",IFERROR(INDEX('INPUT-SIF_Questions'!$G$2:$G$300,MATCH($A267,'INPUT-SIF_Questions'!$A$2:$A$300,0)),""))</f>
        <v/>
      </c>
      <c r="L267" s="1" t="str">
        <f>IF($A267="","",IFERROR(INDEX('INPUT-SIF_Questions'!$E$2:$E$300,MATCH($A267,'INPUT-SIF_Questions'!$A$2:$A$300,0)),""))</f>
        <v/>
      </c>
    </row>
    <row r="268" spans="9:12" ht="14.25" customHeight="1" x14ac:dyDescent="0.45">
      <c r="I268" s="1" t="str">
        <f>IF($A268="","",IFERROR(INDEX('INPUT-SIF_Questions'!$B$2:$B$300,MATCH($A268,'INPUT-SIF_Questions'!$A$2:$A$300,0)),""))</f>
        <v/>
      </c>
      <c r="J268" s="1" t="str">
        <f>IF($A268="","",IFERROR(INDEX('INPUT-SIF_Questions'!$F$2:$F$300,MATCH($A268,'INPUT-SIF_Questions'!$A$2:$A$300,0)),""))</f>
        <v/>
      </c>
      <c r="K268" s="1" t="str">
        <f>IF($A268="","",IFERROR(INDEX('INPUT-SIF_Questions'!$G$2:$G$300,MATCH($A268,'INPUT-SIF_Questions'!$A$2:$A$300,0)),""))</f>
        <v/>
      </c>
      <c r="L268" s="1" t="str">
        <f>IF($A268="","",IFERROR(INDEX('INPUT-SIF_Questions'!$E$2:$E$300,MATCH($A268,'INPUT-SIF_Questions'!$A$2:$A$300,0)),""))</f>
        <v/>
      </c>
    </row>
    <row r="269" spans="9:12" ht="14.25" customHeight="1" x14ac:dyDescent="0.45">
      <c r="I269" s="1" t="str">
        <f>IF($A269="","",IFERROR(INDEX('INPUT-SIF_Questions'!$B$2:$B$300,MATCH($A269,'INPUT-SIF_Questions'!$A$2:$A$300,0)),""))</f>
        <v/>
      </c>
      <c r="J269" s="1" t="str">
        <f>IF($A269="","",IFERROR(INDEX('INPUT-SIF_Questions'!$F$2:$F$300,MATCH($A269,'INPUT-SIF_Questions'!$A$2:$A$300,0)),""))</f>
        <v/>
      </c>
      <c r="K269" s="1" t="str">
        <f>IF($A269="","",IFERROR(INDEX('INPUT-SIF_Questions'!$G$2:$G$300,MATCH($A269,'INPUT-SIF_Questions'!$A$2:$A$300,0)),""))</f>
        <v/>
      </c>
      <c r="L269" s="1" t="str">
        <f>IF($A269="","",IFERROR(INDEX('INPUT-SIF_Questions'!$E$2:$E$300,MATCH($A269,'INPUT-SIF_Questions'!$A$2:$A$300,0)),""))</f>
        <v/>
      </c>
    </row>
    <row r="270" spans="9:12" ht="14.25" customHeight="1" x14ac:dyDescent="0.45">
      <c r="I270" s="1" t="str">
        <f>IF($A270="","",IFERROR(INDEX('INPUT-SIF_Questions'!$B$2:$B$300,MATCH($A270,'INPUT-SIF_Questions'!$A$2:$A$300,0)),""))</f>
        <v/>
      </c>
      <c r="J270" s="1" t="str">
        <f>IF($A270="","",IFERROR(INDEX('INPUT-SIF_Questions'!$F$2:$F$300,MATCH($A270,'INPUT-SIF_Questions'!$A$2:$A$300,0)),""))</f>
        <v/>
      </c>
      <c r="K270" s="1" t="str">
        <f>IF($A270="","",IFERROR(INDEX('INPUT-SIF_Questions'!$G$2:$G$300,MATCH($A270,'INPUT-SIF_Questions'!$A$2:$A$300,0)),""))</f>
        <v/>
      </c>
      <c r="L270" s="1" t="str">
        <f>IF($A270="","",IFERROR(INDEX('INPUT-SIF_Questions'!$E$2:$E$300,MATCH($A270,'INPUT-SIF_Questions'!$A$2:$A$300,0)),""))</f>
        <v/>
      </c>
    </row>
    <row r="271" spans="9:12" ht="14.25" customHeight="1" x14ac:dyDescent="0.45">
      <c r="I271" s="1" t="str">
        <f>IF($A271="","",IFERROR(INDEX('INPUT-SIF_Questions'!$B$2:$B$300,MATCH($A271,'INPUT-SIF_Questions'!$A$2:$A$300,0)),""))</f>
        <v/>
      </c>
      <c r="J271" s="1" t="str">
        <f>IF($A271="","",IFERROR(INDEX('INPUT-SIF_Questions'!$F$2:$F$300,MATCH($A271,'INPUT-SIF_Questions'!$A$2:$A$300,0)),""))</f>
        <v/>
      </c>
      <c r="K271" s="1" t="str">
        <f>IF($A271="","",IFERROR(INDEX('INPUT-SIF_Questions'!$G$2:$G$300,MATCH($A271,'INPUT-SIF_Questions'!$A$2:$A$300,0)),""))</f>
        <v/>
      </c>
      <c r="L271" s="1" t="str">
        <f>IF($A271="","",IFERROR(INDEX('INPUT-SIF_Questions'!$E$2:$E$300,MATCH($A271,'INPUT-SIF_Questions'!$A$2:$A$300,0)),""))</f>
        <v/>
      </c>
    </row>
    <row r="272" spans="9:12" ht="14.25" customHeight="1" x14ac:dyDescent="0.45">
      <c r="I272" s="1" t="str">
        <f>IF($A272="","",IFERROR(INDEX('INPUT-SIF_Questions'!$B$2:$B$300,MATCH($A272,'INPUT-SIF_Questions'!$A$2:$A$300,0)),""))</f>
        <v/>
      </c>
      <c r="J272" s="1" t="str">
        <f>IF($A272="","",IFERROR(INDEX('INPUT-SIF_Questions'!$F$2:$F$300,MATCH($A272,'INPUT-SIF_Questions'!$A$2:$A$300,0)),""))</f>
        <v/>
      </c>
      <c r="K272" s="1" t="str">
        <f>IF($A272="","",IFERROR(INDEX('INPUT-SIF_Questions'!$G$2:$G$300,MATCH($A272,'INPUT-SIF_Questions'!$A$2:$A$300,0)),""))</f>
        <v/>
      </c>
      <c r="L272" s="1" t="str">
        <f>IF($A272="","",IFERROR(INDEX('INPUT-SIF_Questions'!$E$2:$E$300,MATCH($A272,'INPUT-SIF_Questions'!$A$2:$A$300,0)),""))</f>
        <v/>
      </c>
    </row>
    <row r="273" spans="9:12" ht="14.25" customHeight="1" x14ac:dyDescent="0.45">
      <c r="I273" s="1" t="str">
        <f>IF($A273="","",IFERROR(INDEX('INPUT-SIF_Questions'!$B$2:$B$300,MATCH($A273,'INPUT-SIF_Questions'!$A$2:$A$300,0)),""))</f>
        <v/>
      </c>
      <c r="J273" s="1" t="str">
        <f>IF($A273="","",IFERROR(INDEX('INPUT-SIF_Questions'!$F$2:$F$300,MATCH($A273,'INPUT-SIF_Questions'!$A$2:$A$300,0)),""))</f>
        <v/>
      </c>
      <c r="K273" s="1" t="str">
        <f>IF($A273="","",IFERROR(INDEX('INPUT-SIF_Questions'!$G$2:$G$300,MATCH($A273,'INPUT-SIF_Questions'!$A$2:$A$300,0)),""))</f>
        <v/>
      </c>
      <c r="L273" s="1" t="str">
        <f>IF($A273="","",IFERROR(INDEX('INPUT-SIF_Questions'!$E$2:$E$300,MATCH($A273,'INPUT-SIF_Questions'!$A$2:$A$300,0)),""))</f>
        <v/>
      </c>
    </row>
    <row r="274" spans="9:12" ht="14.25" customHeight="1" x14ac:dyDescent="0.45">
      <c r="I274" s="1" t="str">
        <f>IF($A274="","",IFERROR(INDEX('INPUT-SIF_Questions'!$B$2:$B$300,MATCH($A274,'INPUT-SIF_Questions'!$A$2:$A$300,0)),""))</f>
        <v/>
      </c>
      <c r="J274" s="1" t="str">
        <f>IF($A274="","",IFERROR(INDEX('INPUT-SIF_Questions'!$F$2:$F$300,MATCH($A274,'INPUT-SIF_Questions'!$A$2:$A$300,0)),""))</f>
        <v/>
      </c>
      <c r="K274" s="1" t="str">
        <f>IF($A274="","",IFERROR(INDEX('INPUT-SIF_Questions'!$G$2:$G$300,MATCH($A274,'INPUT-SIF_Questions'!$A$2:$A$300,0)),""))</f>
        <v/>
      </c>
      <c r="L274" s="1" t="str">
        <f>IF($A274="","",IFERROR(INDEX('INPUT-SIF_Questions'!$E$2:$E$300,MATCH($A274,'INPUT-SIF_Questions'!$A$2:$A$300,0)),""))</f>
        <v/>
      </c>
    </row>
    <row r="275" spans="9:12" ht="14.25" customHeight="1" x14ac:dyDescent="0.45">
      <c r="I275" s="1" t="str">
        <f>IF($A275="","",IFERROR(INDEX('INPUT-SIF_Questions'!$B$2:$B$300,MATCH($A275,'INPUT-SIF_Questions'!$A$2:$A$300,0)),""))</f>
        <v/>
      </c>
      <c r="J275" s="1" t="str">
        <f>IF($A275="","",IFERROR(INDEX('INPUT-SIF_Questions'!$F$2:$F$300,MATCH($A275,'INPUT-SIF_Questions'!$A$2:$A$300,0)),""))</f>
        <v/>
      </c>
      <c r="K275" s="1" t="str">
        <f>IF($A275="","",IFERROR(INDEX('INPUT-SIF_Questions'!$G$2:$G$300,MATCH($A275,'INPUT-SIF_Questions'!$A$2:$A$300,0)),""))</f>
        <v/>
      </c>
      <c r="L275" s="1" t="str">
        <f>IF($A275="","",IFERROR(INDEX('INPUT-SIF_Questions'!$E$2:$E$300,MATCH($A275,'INPUT-SIF_Questions'!$A$2:$A$300,0)),""))</f>
        <v/>
      </c>
    </row>
    <row r="276" spans="9:12" ht="14.25" customHeight="1" x14ac:dyDescent="0.45">
      <c r="I276" s="1" t="str">
        <f>IF($A276="","",IFERROR(INDEX('INPUT-SIF_Questions'!$B$2:$B$300,MATCH($A276,'INPUT-SIF_Questions'!$A$2:$A$300,0)),""))</f>
        <v/>
      </c>
      <c r="J276" s="1" t="str">
        <f>IF($A276="","",IFERROR(INDEX('INPUT-SIF_Questions'!$F$2:$F$300,MATCH($A276,'INPUT-SIF_Questions'!$A$2:$A$300,0)),""))</f>
        <v/>
      </c>
      <c r="K276" s="1" t="str">
        <f>IF($A276="","",IFERROR(INDEX('INPUT-SIF_Questions'!$G$2:$G$300,MATCH($A276,'INPUT-SIF_Questions'!$A$2:$A$300,0)),""))</f>
        <v/>
      </c>
      <c r="L276" s="1" t="str">
        <f>IF($A276="","",IFERROR(INDEX('INPUT-SIF_Questions'!$E$2:$E$300,MATCH($A276,'INPUT-SIF_Questions'!$A$2:$A$300,0)),""))</f>
        <v/>
      </c>
    </row>
    <row r="277" spans="9:12" ht="14.25" customHeight="1" x14ac:dyDescent="0.45">
      <c r="I277" s="1" t="str">
        <f>IF($A277="","",IFERROR(INDEX('INPUT-SIF_Questions'!$B$2:$B$300,MATCH($A277,'INPUT-SIF_Questions'!$A$2:$A$300,0)),""))</f>
        <v/>
      </c>
      <c r="J277" s="1" t="str">
        <f>IF($A277="","",IFERROR(INDEX('INPUT-SIF_Questions'!$F$2:$F$300,MATCH($A277,'INPUT-SIF_Questions'!$A$2:$A$300,0)),""))</f>
        <v/>
      </c>
      <c r="K277" s="1" t="str">
        <f>IF($A277="","",IFERROR(INDEX('INPUT-SIF_Questions'!$G$2:$G$300,MATCH($A277,'INPUT-SIF_Questions'!$A$2:$A$300,0)),""))</f>
        <v/>
      </c>
      <c r="L277" s="1" t="str">
        <f>IF($A277="","",IFERROR(INDEX('INPUT-SIF_Questions'!$E$2:$E$300,MATCH($A277,'INPUT-SIF_Questions'!$A$2:$A$300,0)),""))</f>
        <v/>
      </c>
    </row>
    <row r="278" spans="9:12" ht="14.25" customHeight="1" x14ac:dyDescent="0.45">
      <c r="I278" s="1" t="str">
        <f>IF($A278="","",IFERROR(INDEX('INPUT-SIF_Questions'!$B$2:$B$300,MATCH($A278,'INPUT-SIF_Questions'!$A$2:$A$300,0)),""))</f>
        <v/>
      </c>
      <c r="J278" s="1" t="str">
        <f>IF($A278="","",IFERROR(INDEX('INPUT-SIF_Questions'!$F$2:$F$300,MATCH($A278,'INPUT-SIF_Questions'!$A$2:$A$300,0)),""))</f>
        <v/>
      </c>
      <c r="K278" s="1" t="str">
        <f>IF($A278="","",IFERROR(INDEX('INPUT-SIF_Questions'!$G$2:$G$300,MATCH($A278,'INPUT-SIF_Questions'!$A$2:$A$300,0)),""))</f>
        <v/>
      </c>
      <c r="L278" s="1" t="str">
        <f>IF($A278="","",IFERROR(INDEX('INPUT-SIF_Questions'!$E$2:$E$300,MATCH($A278,'INPUT-SIF_Questions'!$A$2:$A$300,0)),""))</f>
        <v/>
      </c>
    </row>
    <row r="279" spans="9:12" ht="14.25" customHeight="1" x14ac:dyDescent="0.45">
      <c r="I279" s="1" t="str">
        <f>IF($A279="","",IFERROR(INDEX('INPUT-SIF_Questions'!$B$2:$B$300,MATCH($A279,'INPUT-SIF_Questions'!$A$2:$A$300,0)),""))</f>
        <v/>
      </c>
      <c r="J279" s="1" t="str">
        <f>IF($A279="","",IFERROR(INDEX('INPUT-SIF_Questions'!$F$2:$F$300,MATCH($A279,'INPUT-SIF_Questions'!$A$2:$A$300,0)),""))</f>
        <v/>
      </c>
      <c r="K279" s="1" t="str">
        <f>IF($A279="","",IFERROR(INDEX('INPUT-SIF_Questions'!$G$2:$G$300,MATCH($A279,'INPUT-SIF_Questions'!$A$2:$A$300,0)),""))</f>
        <v/>
      </c>
      <c r="L279" s="1" t="str">
        <f>IF($A279="","",IFERROR(INDEX('INPUT-SIF_Questions'!$E$2:$E$300,MATCH($A279,'INPUT-SIF_Questions'!$A$2:$A$300,0)),""))</f>
        <v/>
      </c>
    </row>
    <row r="280" spans="9:12" ht="14.25" customHeight="1" x14ac:dyDescent="0.45">
      <c r="I280" s="1" t="str">
        <f>IF($A280="","",IFERROR(INDEX('INPUT-SIF_Questions'!$B$2:$B$300,MATCH($A280,'INPUT-SIF_Questions'!$A$2:$A$300,0)),""))</f>
        <v/>
      </c>
      <c r="J280" s="1" t="str">
        <f>IF($A280="","",IFERROR(INDEX('INPUT-SIF_Questions'!$F$2:$F$300,MATCH($A280,'INPUT-SIF_Questions'!$A$2:$A$300,0)),""))</f>
        <v/>
      </c>
      <c r="K280" s="1" t="str">
        <f>IF($A280="","",IFERROR(INDEX('INPUT-SIF_Questions'!$G$2:$G$300,MATCH($A280,'INPUT-SIF_Questions'!$A$2:$A$300,0)),""))</f>
        <v/>
      </c>
      <c r="L280" s="1" t="str">
        <f>IF($A280="","",IFERROR(INDEX('INPUT-SIF_Questions'!$E$2:$E$300,MATCH($A280,'INPUT-SIF_Questions'!$A$2:$A$300,0)),""))</f>
        <v/>
      </c>
    </row>
    <row r="281" spans="9:12" ht="14.25" customHeight="1" x14ac:dyDescent="0.45">
      <c r="I281" s="1" t="str">
        <f>IF($A281="","",IFERROR(INDEX('INPUT-SIF_Questions'!$B$2:$B$300,MATCH($A281,'INPUT-SIF_Questions'!$A$2:$A$300,0)),""))</f>
        <v/>
      </c>
      <c r="J281" s="1" t="str">
        <f>IF($A281="","",IFERROR(INDEX('INPUT-SIF_Questions'!$F$2:$F$300,MATCH($A281,'INPUT-SIF_Questions'!$A$2:$A$300,0)),""))</f>
        <v/>
      </c>
      <c r="K281" s="1" t="str">
        <f>IF($A281="","",IFERROR(INDEX('INPUT-SIF_Questions'!$G$2:$G$300,MATCH($A281,'INPUT-SIF_Questions'!$A$2:$A$300,0)),""))</f>
        <v/>
      </c>
      <c r="L281" s="1" t="str">
        <f>IF($A281="","",IFERROR(INDEX('INPUT-SIF_Questions'!$E$2:$E$300,MATCH($A281,'INPUT-SIF_Questions'!$A$2:$A$300,0)),""))</f>
        <v/>
      </c>
    </row>
    <row r="282" spans="9:12" ht="14.25" customHeight="1" x14ac:dyDescent="0.45">
      <c r="I282" s="1" t="str">
        <f>IF($A282="","",IFERROR(INDEX('INPUT-SIF_Questions'!$B$2:$B$300,MATCH($A282,'INPUT-SIF_Questions'!$A$2:$A$300,0)),""))</f>
        <v/>
      </c>
      <c r="J282" s="1" t="str">
        <f>IF($A282="","",IFERROR(INDEX('INPUT-SIF_Questions'!$F$2:$F$300,MATCH($A282,'INPUT-SIF_Questions'!$A$2:$A$300,0)),""))</f>
        <v/>
      </c>
      <c r="K282" s="1" t="str">
        <f>IF($A282="","",IFERROR(INDEX('INPUT-SIF_Questions'!$G$2:$G$300,MATCH($A282,'INPUT-SIF_Questions'!$A$2:$A$300,0)),""))</f>
        <v/>
      </c>
      <c r="L282" s="1" t="str">
        <f>IF($A282="","",IFERROR(INDEX('INPUT-SIF_Questions'!$E$2:$E$300,MATCH($A282,'INPUT-SIF_Questions'!$A$2:$A$300,0)),""))</f>
        <v/>
      </c>
    </row>
    <row r="283" spans="9:12" ht="14.25" customHeight="1" x14ac:dyDescent="0.45">
      <c r="I283" s="1" t="str">
        <f>IF($A283="","",IFERROR(INDEX('INPUT-SIF_Questions'!$B$2:$B$300,MATCH($A283,'INPUT-SIF_Questions'!$A$2:$A$300,0)),""))</f>
        <v/>
      </c>
      <c r="J283" s="1" t="str">
        <f>IF($A283="","",IFERROR(INDEX('INPUT-SIF_Questions'!$F$2:$F$300,MATCH($A283,'INPUT-SIF_Questions'!$A$2:$A$300,0)),""))</f>
        <v/>
      </c>
      <c r="K283" s="1" t="str">
        <f>IF($A283="","",IFERROR(INDEX('INPUT-SIF_Questions'!$G$2:$G$300,MATCH($A283,'INPUT-SIF_Questions'!$A$2:$A$300,0)),""))</f>
        <v/>
      </c>
      <c r="L283" s="1" t="str">
        <f>IF($A283="","",IFERROR(INDEX('INPUT-SIF_Questions'!$E$2:$E$300,MATCH($A283,'INPUT-SIF_Questions'!$A$2:$A$300,0)),""))</f>
        <v/>
      </c>
    </row>
    <row r="284" spans="9:12" ht="14.25" customHeight="1" x14ac:dyDescent="0.45">
      <c r="I284" s="1" t="str">
        <f>IF($A284="","",IFERROR(INDEX('INPUT-SIF_Questions'!$B$2:$B$300,MATCH($A284,'INPUT-SIF_Questions'!$A$2:$A$300,0)),""))</f>
        <v/>
      </c>
      <c r="J284" s="1" t="str">
        <f>IF($A284="","",IFERROR(INDEX('INPUT-SIF_Questions'!$F$2:$F$300,MATCH($A284,'INPUT-SIF_Questions'!$A$2:$A$300,0)),""))</f>
        <v/>
      </c>
      <c r="K284" s="1" t="str">
        <f>IF($A284="","",IFERROR(INDEX('INPUT-SIF_Questions'!$G$2:$G$300,MATCH($A284,'INPUT-SIF_Questions'!$A$2:$A$300,0)),""))</f>
        <v/>
      </c>
      <c r="L284" s="1" t="str">
        <f>IF($A284="","",IFERROR(INDEX('INPUT-SIF_Questions'!$E$2:$E$300,MATCH($A284,'INPUT-SIF_Questions'!$A$2:$A$300,0)),""))</f>
        <v/>
      </c>
    </row>
    <row r="285" spans="9:12" ht="14.25" customHeight="1" x14ac:dyDescent="0.45">
      <c r="I285" s="1" t="str">
        <f>IF($A285="","",IFERROR(INDEX('INPUT-SIF_Questions'!$B$2:$B$300,MATCH($A285,'INPUT-SIF_Questions'!$A$2:$A$300,0)),""))</f>
        <v/>
      </c>
      <c r="J285" s="1" t="str">
        <f>IF($A285="","",IFERROR(INDEX('INPUT-SIF_Questions'!$F$2:$F$300,MATCH($A285,'INPUT-SIF_Questions'!$A$2:$A$300,0)),""))</f>
        <v/>
      </c>
      <c r="K285" s="1" t="str">
        <f>IF($A285="","",IFERROR(INDEX('INPUT-SIF_Questions'!$G$2:$G$300,MATCH($A285,'INPUT-SIF_Questions'!$A$2:$A$300,0)),""))</f>
        <v/>
      </c>
      <c r="L285" s="1" t="str">
        <f>IF($A285="","",IFERROR(INDEX('INPUT-SIF_Questions'!$E$2:$E$300,MATCH($A285,'INPUT-SIF_Questions'!$A$2:$A$300,0)),""))</f>
        <v/>
      </c>
    </row>
    <row r="286" spans="9:12" ht="14.25" customHeight="1" x14ac:dyDescent="0.45">
      <c r="I286" s="1" t="str">
        <f>IF($A286="","",IFERROR(INDEX('INPUT-SIF_Questions'!$B$2:$B$300,MATCH($A286,'INPUT-SIF_Questions'!$A$2:$A$300,0)),""))</f>
        <v/>
      </c>
      <c r="J286" s="1" t="str">
        <f>IF($A286="","",IFERROR(INDEX('INPUT-SIF_Questions'!$F$2:$F$300,MATCH($A286,'INPUT-SIF_Questions'!$A$2:$A$300,0)),""))</f>
        <v/>
      </c>
      <c r="K286" s="1" t="str">
        <f>IF($A286="","",IFERROR(INDEX('INPUT-SIF_Questions'!$G$2:$G$300,MATCH($A286,'INPUT-SIF_Questions'!$A$2:$A$300,0)),""))</f>
        <v/>
      </c>
      <c r="L286" s="1" t="str">
        <f>IF($A286="","",IFERROR(INDEX('INPUT-SIF_Questions'!$E$2:$E$300,MATCH($A286,'INPUT-SIF_Questions'!$A$2:$A$300,0)),""))</f>
        <v/>
      </c>
    </row>
    <row r="287" spans="9:12" ht="14.25" customHeight="1" x14ac:dyDescent="0.45">
      <c r="I287" s="1" t="str">
        <f>IF($A287="","",IFERROR(INDEX('INPUT-SIF_Questions'!$B$2:$B$300,MATCH($A287,'INPUT-SIF_Questions'!$A$2:$A$300,0)),""))</f>
        <v/>
      </c>
      <c r="J287" s="1" t="str">
        <f>IF($A287="","",IFERROR(INDEX('INPUT-SIF_Questions'!$F$2:$F$300,MATCH($A287,'INPUT-SIF_Questions'!$A$2:$A$300,0)),""))</f>
        <v/>
      </c>
      <c r="K287" s="1" t="str">
        <f>IF($A287="","",IFERROR(INDEX('INPUT-SIF_Questions'!$G$2:$G$300,MATCH($A287,'INPUT-SIF_Questions'!$A$2:$A$300,0)),""))</f>
        <v/>
      </c>
      <c r="L287" s="1" t="str">
        <f>IF($A287="","",IFERROR(INDEX('INPUT-SIF_Questions'!$E$2:$E$300,MATCH($A287,'INPUT-SIF_Questions'!$A$2:$A$300,0)),""))</f>
        <v/>
      </c>
    </row>
    <row r="288" spans="9:12" ht="14.25" customHeight="1" x14ac:dyDescent="0.45">
      <c r="I288" s="1" t="str">
        <f>IF($A288="","",IFERROR(INDEX('INPUT-SIF_Questions'!$B$2:$B$300,MATCH($A288,'INPUT-SIF_Questions'!$A$2:$A$300,0)),""))</f>
        <v/>
      </c>
      <c r="J288" s="1" t="str">
        <f>IF($A288="","",IFERROR(INDEX('INPUT-SIF_Questions'!$F$2:$F$300,MATCH($A288,'INPUT-SIF_Questions'!$A$2:$A$300,0)),""))</f>
        <v/>
      </c>
      <c r="K288" s="1" t="str">
        <f>IF($A288="","",IFERROR(INDEX('INPUT-SIF_Questions'!$G$2:$G$300,MATCH($A288,'INPUT-SIF_Questions'!$A$2:$A$300,0)),""))</f>
        <v/>
      </c>
      <c r="L288" s="1" t="str">
        <f>IF($A288="","",IFERROR(INDEX('INPUT-SIF_Questions'!$E$2:$E$300,MATCH($A288,'INPUT-SIF_Questions'!$A$2:$A$300,0)),""))</f>
        <v/>
      </c>
    </row>
    <row r="289" spans="9:12" ht="14.25" customHeight="1" x14ac:dyDescent="0.45">
      <c r="I289" s="1" t="str">
        <f>IF($A289="","",IFERROR(INDEX('INPUT-SIF_Questions'!$B$2:$B$300,MATCH($A289,'INPUT-SIF_Questions'!$A$2:$A$300,0)),""))</f>
        <v/>
      </c>
      <c r="J289" s="1" t="str">
        <f>IF($A289="","",IFERROR(INDEX('INPUT-SIF_Questions'!$F$2:$F$300,MATCH($A289,'INPUT-SIF_Questions'!$A$2:$A$300,0)),""))</f>
        <v/>
      </c>
      <c r="K289" s="1" t="str">
        <f>IF($A289="","",IFERROR(INDEX('INPUT-SIF_Questions'!$G$2:$G$300,MATCH($A289,'INPUT-SIF_Questions'!$A$2:$A$300,0)),""))</f>
        <v/>
      </c>
      <c r="L289" s="1" t="str">
        <f>IF($A289="","",IFERROR(INDEX('INPUT-SIF_Questions'!$E$2:$E$300,MATCH($A289,'INPUT-SIF_Questions'!$A$2:$A$300,0)),""))</f>
        <v/>
      </c>
    </row>
    <row r="290" spans="9:12" ht="14.25" customHeight="1" x14ac:dyDescent="0.45">
      <c r="I290" s="1" t="str">
        <f>IF($A290="","",IFERROR(INDEX('INPUT-SIF_Questions'!$B$2:$B$300,MATCH($A290,'INPUT-SIF_Questions'!$A$2:$A$300,0)),""))</f>
        <v/>
      </c>
      <c r="J290" s="1" t="str">
        <f>IF($A290="","",IFERROR(INDEX('INPUT-SIF_Questions'!$F$2:$F$300,MATCH($A290,'INPUT-SIF_Questions'!$A$2:$A$300,0)),""))</f>
        <v/>
      </c>
      <c r="K290" s="1" t="str">
        <f>IF($A290="","",IFERROR(INDEX('INPUT-SIF_Questions'!$G$2:$G$300,MATCH($A290,'INPUT-SIF_Questions'!$A$2:$A$300,0)),""))</f>
        <v/>
      </c>
      <c r="L290" s="1" t="str">
        <f>IF($A290="","",IFERROR(INDEX('INPUT-SIF_Questions'!$E$2:$E$300,MATCH($A290,'INPUT-SIF_Questions'!$A$2:$A$300,0)),""))</f>
        <v/>
      </c>
    </row>
    <row r="291" spans="9:12" ht="14.25" customHeight="1" x14ac:dyDescent="0.45">
      <c r="I291" s="1" t="str">
        <f>IF($A291="","",IFERROR(INDEX('INPUT-SIF_Questions'!$B$2:$B$300,MATCH($A291,'INPUT-SIF_Questions'!$A$2:$A$300,0)),""))</f>
        <v/>
      </c>
      <c r="J291" s="1" t="str">
        <f>IF($A291="","",IFERROR(INDEX('INPUT-SIF_Questions'!$F$2:$F$300,MATCH($A291,'INPUT-SIF_Questions'!$A$2:$A$300,0)),""))</f>
        <v/>
      </c>
      <c r="K291" s="1" t="str">
        <f>IF($A291="","",IFERROR(INDEX('INPUT-SIF_Questions'!$G$2:$G$300,MATCH($A291,'INPUT-SIF_Questions'!$A$2:$A$300,0)),""))</f>
        <v/>
      </c>
      <c r="L291" s="1" t="str">
        <f>IF($A291="","",IFERROR(INDEX('INPUT-SIF_Questions'!$E$2:$E$300,MATCH($A291,'INPUT-SIF_Questions'!$A$2:$A$300,0)),""))</f>
        <v/>
      </c>
    </row>
    <row r="292" spans="9:12" ht="14.25" customHeight="1" x14ac:dyDescent="0.45">
      <c r="I292" s="1" t="str">
        <f>IF($A292="","",IFERROR(INDEX('INPUT-SIF_Questions'!$B$2:$B$300,MATCH($A292,'INPUT-SIF_Questions'!$A$2:$A$300,0)),""))</f>
        <v/>
      </c>
      <c r="J292" s="1" t="str">
        <f>IF($A292="","",IFERROR(INDEX('INPUT-SIF_Questions'!$F$2:$F$300,MATCH($A292,'INPUT-SIF_Questions'!$A$2:$A$300,0)),""))</f>
        <v/>
      </c>
      <c r="K292" s="1" t="str">
        <f>IF($A292="","",IFERROR(INDEX('INPUT-SIF_Questions'!$G$2:$G$300,MATCH($A292,'INPUT-SIF_Questions'!$A$2:$A$300,0)),""))</f>
        <v/>
      </c>
      <c r="L292" s="1" t="str">
        <f>IF($A292="","",IFERROR(INDEX('INPUT-SIF_Questions'!$E$2:$E$300,MATCH($A292,'INPUT-SIF_Questions'!$A$2:$A$300,0)),""))</f>
        <v/>
      </c>
    </row>
    <row r="293" spans="9:12" ht="14.25" customHeight="1" x14ac:dyDescent="0.45">
      <c r="I293" s="1" t="str">
        <f>IF($A293="","",IFERROR(INDEX('INPUT-SIF_Questions'!$B$2:$B$300,MATCH($A293,'INPUT-SIF_Questions'!$A$2:$A$300,0)),""))</f>
        <v/>
      </c>
      <c r="J293" s="1" t="str">
        <f>IF($A293="","",IFERROR(INDEX('INPUT-SIF_Questions'!$F$2:$F$300,MATCH($A293,'INPUT-SIF_Questions'!$A$2:$A$300,0)),""))</f>
        <v/>
      </c>
      <c r="K293" s="1" t="str">
        <f>IF($A293="","",IFERROR(INDEX('INPUT-SIF_Questions'!$G$2:$G$300,MATCH($A293,'INPUT-SIF_Questions'!$A$2:$A$300,0)),""))</f>
        <v/>
      </c>
      <c r="L293" s="1" t="str">
        <f>IF($A293="","",IFERROR(INDEX('INPUT-SIF_Questions'!$E$2:$E$300,MATCH($A293,'INPUT-SIF_Questions'!$A$2:$A$300,0)),""))</f>
        <v/>
      </c>
    </row>
    <row r="294" spans="9:12" ht="14.25" customHeight="1" x14ac:dyDescent="0.45">
      <c r="I294" s="1" t="str">
        <f>IF($A294="","",IFERROR(INDEX('INPUT-SIF_Questions'!$B$2:$B$300,MATCH($A294,'INPUT-SIF_Questions'!$A$2:$A$300,0)),""))</f>
        <v/>
      </c>
      <c r="J294" s="1" t="str">
        <f>IF($A294="","",IFERROR(INDEX('INPUT-SIF_Questions'!$F$2:$F$300,MATCH($A294,'INPUT-SIF_Questions'!$A$2:$A$300,0)),""))</f>
        <v/>
      </c>
      <c r="K294" s="1" t="str">
        <f>IF($A294="","",IFERROR(INDEX('INPUT-SIF_Questions'!$G$2:$G$300,MATCH($A294,'INPUT-SIF_Questions'!$A$2:$A$300,0)),""))</f>
        <v/>
      </c>
      <c r="L294" s="1" t="str">
        <f>IF($A294="","",IFERROR(INDEX('INPUT-SIF_Questions'!$E$2:$E$300,MATCH($A294,'INPUT-SIF_Questions'!$A$2:$A$300,0)),""))</f>
        <v/>
      </c>
    </row>
    <row r="295" spans="9:12" ht="14.25" customHeight="1" x14ac:dyDescent="0.45">
      <c r="I295" s="1" t="str">
        <f>IF($A295="","",IFERROR(INDEX('INPUT-SIF_Questions'!$B$2:$B$300,MATCH($A295,'INPUT-SIF_Questions'!$A$2:$A$300,0)),""))</f>
        <v/>
      </c>
      <c r="J295" s="1" t="str">
        <f>IF($A295="","",IFERROR(INDEX('INPUT-SIF_Questions'!$F$2:$F$300,MATCH($A295,'INPUT-SIF_Questions'!$A$2:$A$300,0)),""))</f>
        <v/>
      </c>
      <c r="K295" s="1" t="str">
        <f>IF($A295="","",IFERROR(INDEX('INPUT-SIF_Questions'!$G$2:$G$300,MATCH($A295,'INPUT-SIF_Questions'!$A$2:$A$300,0)),""))</f>
        <v/>
      </c>
      <c r="L295" s="1" t="str">
        <f>IF($A295="","",IFERROR(INDEX('INPUT-SIF_Questions'!$E$2:$E$300,MATCH($A295,'INPUT-SIF_Questions'!$A$2:$A$300,0)),""))</f>
        <v/>
      </c>
    </row>
    <row r="296" spans="9:12" ht="14.25" customHeight="1" x14ac:dyDescent="0.45">
      <c r="I296" s="1" t="str">
        <f>IF($A296="","",IFERROR(INDEX('INPUT-SIF_Questions'!$B$2:$B$300,MATCH($A296,'INPUT-SIF_Questions'!$A$2:$A$300,0)),""))</f>
        <v/>
      </c>
      <c r="J296" s="1" t="str">
        <f>IF($A296="","",IFERROR(INDEX('INPUT-SIF_Questions'!$F$2:$F$300,MATCH($A296,'INPUT-SIF_Questions'!$A$2:$A$300,0)),""))</f>
        <v/>
      </c>
      <c r="K296" s="1" t="str">
        <f>IF($A296="","",IFERROR(INDEX('INPUT-SIF_Questions'!$G$2:$G$300,MATCH($A296,'INPUT-SIF_Questions'!$A$2:$A$300,0)),""))</f>
        <v/>
      </c>
      <c r="L296" s="1" t="str">
        <f>IF($A296="","",IFERROR(INDEX('INPUT-SIF_Questions'!$E$2:$E$300,MATCH($A296,'INPUT-SIF_Questions'!$A$2:$A$300,0)),""))</f>
        <v/>
      </c>
    </row>
    <row r="297" spans="9:12" ht="14.25" customHeight="1" x14ac:dyDescent="0.45">
      <c r="I297" s="1" t="str">
        <f>IF($A297="","",IFERROR(INDEX('INPUT-SIF_Questions'!$B$2:$B$300,MATCH($A297,'INPUT-SIF_Questions'!$A$2:$A$300,0)),""))</f>
        <v/>
      </c>
      <c r="J297" s="1" t="str">
        <f>IF($A297="","",IFERROR(INDEX('INPUT-SIF_Questions'!$F$2:$F$300,MATCH($A297,'INPUT-SIF_Questions'!$A$2:$A$300,0)),""))</f>
        <v/>
      </c>
      <c r="K297" s="1" t="str">
        <f>IF($A297="","",IFERROR(INDEX('INPUT-SIF_Questions'!$G$2:$G$300,MATCH($A297,'INPUT-SIF_Questions'!$A$2:$A$300,0)),""))</f>
        <v/>
      </c>
      <c r="L297" s="1" t="str">
        <f>IF($A297="","",IFERROR(INDEX('INPUT-SIF_Questions'!$E$2:$E$300,MATCH($A297,'INPUT-SIF_Questions'!$A$2:$A$300,0)),""))</f>
        <v/>
      </c>
    </row>
    <row r="298" spans="9:12" ht="14.25" customHeight="1" x14ac:dyDescent="0.45">
      <c r="I298" s="1" t="str">
        <f>IF($A298="","",IFERROR(INDEX('INPUT-SIF_Questions'!$B$2:$B$300,MATCH($A298,'INPUT-SIF_Questions'!$A$2:$A$300,0)),""))</f>
        <v/>
      </c>
      <c r="J298" s="1" t="str">
        <f>IF($A298="","",IFERROR(INDEX('INPUT-SIF_Questions'!$F$2:$F$300,MATCH($A298,'INPUT-SIF_Questions'!$A$2:$A$300,0)),""))</f>
        <v/>
      </c>
      <c r="K298" s="1" t="str">
        <f>IF($A298="","",IFERROR(INDEX('INPUT-SIF_Questions'!$G$2:$G$300,MATCH($A298,'INPUT-SIF_Questions'!$A$2:$A$300,0)),""))</f>
        <v/>
      </c>
      <c r="L298" s="1" t="str">
        <f>IF($A298="","",IFERROR(INDEX('INPUT-SIF_Questions'!$E$2:$E$300,MATCH($A298,'INPUT-SIF_Questions'!$A$2:$A$300,0)),""))</f>
        <v/>
      </c>
    </row>
    <row r="299" spans="9:12" ht="14.25" customHeight="1" x14ac:dyDescent="0.45">
      <c r="I299" s="1" t="str">
        <f>IF($A299="","",IFERROR(INDEX('INPUT-SIF_Questions'!$B$2:$B$300,MATCH($A299,'INPUT-SIF_Questions'!$A$2:$A$300,0)),""))</f>
        <v/>
      </c>
      <c r="J299" s="1" t="str">
        <f>IF($A299="","",IFERROR(INDEX('INPUT-SIF_Questions'!$F$2:$F$300,MATCH($A299,'INPUT-SIF_Questions'!$A$2:$A$300,0)),""))</f>
        <v/>
      </c>
      <c r="K299" s="1" t="str">
        <f>IF($A299="","",IFERROR(INDEX('INPUT-SIF_Questions'!$G$2:$G$300,MATCH($A299,'INPUT-SIF_Questions'!$A$2:$A$300,0)),""))</f>
        <v/>
      </c>
      <c r="L299" s="1" t="str">
        <f>IF($A299="","",IFERROR(INDEX('INPUT-SIF_Questions'!$E$2:$E$300,MATCH($A299,'INPUT-SIF_Questions'!$A$2:$A$300,0)),""))</f>
        <v/>
      </c>
    </row>
    <row r="300" spans="9:12" ht="14.25" customHeight="1" x14ac:dyDescent="0.45">
      <c r="I300" s="1" t="str">
        <f>IF($A300="","",IFERROR(INDEX('INPUT-SIF_Questions'!$B$2:$B$300,MATCH($A300,'INPUT-SIF_Questions'!$A$2:$A$300,0)),""))</f>
        <v/>
      </c>
      <c r="J300" s="1" t="str">
        <f>IF($A300="","",IFERROR(INDEX('INPUT-SIF_Questions'!$F$2:$F$300,MATCH($A300,'INPUT-SIF_Questions'!$A$2:$A$300,0)),""))</f>
        <v/>
      </c>
      <c r="K300" s="1" t="str">
        <f>IF($A300="","",IFERROR(INDEX('INPUT-SIF_Questions'!$G$2:$G$300,MATCH($A300,'INPUT-SIF_Questions'!$A$2:$A$300,0)),""))</f>
        <v/>
      </c>
      <c r="L300" s="1" t="str">
        <f>IF($A300="","",IFERROR(INDEX('INPUT-SIF_Questions'!$E$2:$E$300,MATCH($A300,'INPUT-SIF_Questions'!$A$2:$A$300,0)),""))</f>
        <v/>
      </c>
    </row>
  </sheetData>
  <dataValidations count="3">
    <dataValidation type="list" allowBlank="1" showInputMessage="1" showErrorMessage="1" sqref="B2:B46" xr:uid="{00000000-0002-0000-0300-000000000000}">
      <formula1>VV_Protocols</formula1>
      <formula2>0</formula2>
    </dataValidation>
    <dataValidation type="list" allowBlank="1" showInputMessage="1" showErrorMessage="1" sqref="G2:G47" xr:uid="{00000000-0002-0000-0300-000001000000}">
      <formula1>INDIRECT(F2)</formula1>
      <formula2>0</formula2>
    </dataValidation>
    <dataValidation type="list" allowBlank="1" showInputMessage="1" showErrorMessage="1" sqref="E2:E19 E23:E47 E51:E56" xr:uid="{00000000-0002-0000-0300-000002000000}">
      <formula1>DRIFT_LEVEL_1</formula1>
      <formula2>0</formula2>
    </dataValidation>
  </dataValidation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00"/>
  <sheetViews>
    <sheetView zoomScaleNormal="100" workbookViewId="0"/>
  </sheetViews>
  <sheetFormatPr defaultColWidth="9.06640625" defaultRowHeight="14.25" customHeight="1" x14ac:dyDescent="0.45"/>
  <cols>
    <col min="1" max="1" width="7" style="29" customWidth="1"/>
    <col min="2" max="2" width="7.59765625" style="29" customWidth="1"/>
    <col min="3" max="3" width="25.86328125" style="29" customWidth="1"/>
    <col min="4" max="4" width="55" style="27" customWidth="1"/>
    <col min="5" max="5" width="23.265625" style="29" customWidth="1"/>
    <col min="6" max="6" width="10.1328125" style="1" customWidth="1"/>
    <col min="7" max="7" width="36.3984375" style="3" customWidth="1"/>
    <col min="8" max="8" width="42" style="29" customWidth="1"/>
    <col min="9" max="10" width="40" style="29" customWidth="1"/>
    <col min="11" max="14" width="22" style="29" customWidth="1"/>
    <col min="15" max="16384" width="9.06640625" style="29"/>
  </cols>
  <sheetData>
    <row r="1" spans="1:14" ht="14.25" customHeight="1" x14ac:dyDescent="0.35">
      <c r="A1" s="30" t="s">
        <v>0</v>
      </c>
      <c r="B1" s="9" t="s">
        <v>450</v>
      </c>
      <c r="C1" s="5" t="s">
        <v>450</v>
      </c>
      <c r="D1" s="31" t="s">
        <v>789</v>
      </c>
      <c r="E1" s="30" t="s">
        <v>790</v>
      </c>
      <c r="F1" s="5" t="s">
        <v>791</v>
      </c>
      <c r="G1" s="12" t="s">
        <v>792</v>
      </c>
      <c r="H1" s="32" t="s">
        <v>620</v>
      </c>
      <c r="I1" s="32"/>
      <c r="J1" s="32"/>
      <c r="K1" s="26" t="s">
        <v>1</v>
      </c>
      <c r="L1" s="26" t="s">
        <v>5</v>
      </c>
      <c r="M1" s="26" t="s">
        <v>6</v>
      </c>
      <c r="N1" s="26" t="s">
        <v>4</v>
      </c>
    </row>
    <row r="2" spans="1:14" ht="35.25" customHeight="1" x14ac:dyDescent="0.45">
      <c r="A2" s="29" t="s">
        <v>32</v>
      </c>
      <c r="B2" s="15" t="s">
        <v>34</v>
      </c>
      <c r="C2" s="1" t="str">
        <f>IFERROR(VLOOKUP(B2,'DATABASE-DRIFT_LATENT_HP_ERROR'!$A$143:$B$160,2,FALSE()),"")</f>
        <v>Work at Height</v>
      </c>
      <c r="D2" s="27" t="s">
        <v>793</v>
      </c>
      <c r="E2" s="33" t="s">
        <v>794</v>
      </c>
      <c r="F2" s="1" t="str">
        <f>IFERROR(VLOOKUP(E2,'DATABASE-DRIFT_LATENT_HP_ERROR'!$A$81:$B$85,2,FALSE()),"")</f>
        <v>Latent.1</v>
      </c>
      <c r="G2" s="34" t="s">
        <v>795</v>
      </c>
      <c r="H2" s="3" t="str">
        <f>IFERROR(VLOOKUP(G2,'DATABASE-DRIFT_LATENT_HP_ERROR'!$B$88:$D$137,3,FALSE()),"")</f>
        <v>Hierarchy of control WAH tidak dipahami.</v>
      </c>
      <c r="K2" s="29">
        <f>IF($A2="","",IFERROR(INDEX('INPUT-SIF_Questions'!$B$2:$B$300,MATCH($A2,'INPUT-SIF_Questions'!$A$2:$A$300,0)),""))</f>
        <v>1</v>
      </c>
      <c r="L2" s="29" t="str">
        <f>IF($A2="","",IFERROR(INDEX('INPUT-SIF_Questions'!$F$2:$F$300,MATCH($A2,'INPUT-SIF_Questions'!$A$2:$A$300,0)),""))</f>
        <v>Baseline</v>
      </c>
      <c r="M2" s="29" t="str">
        <f>IF($A2="","",IFERROR(INDEX('INPUT-SIF_Questions'!$G$2:$G$300,MATCH($A2,'INPUT-SIF_Questions'!$A$2:$A$300,0)),""))</f>
        <v>Y</v>
      </c>
      <c r="N2" s="29">
        <f>IF($A2="","",IFERROR(INDEX('INPUT-SIF_Questions'!$E$2:$E$300,MATCH($A2,'INPUT-SIF_Questions'!$A$2:$A$300,0)),""))</f>
        <v>0</v>
      </c>
    </row>
    <row r="3" spans="1:14" ht="21" customHeight="1" x14ac:dyDescent="0.45">
      <c r="A3" s="29" t="s">
        <v>32</v>
      </c>
      <c r="B3" s="15" t="s">
        <v>34</v>
      </c>
      <c r="C3" s="1" t="str">
        <f>IFERROR(VLOOKUP(B3,'DATABASE-DRIFT_LATENT_HP_ERROR'!$A$143:$B$160,2,FALSE()),"")</f>
        <v>Work at Height</v>
      </c>
      <c r="D3" s="27" t="s">
        <v>796</v>
      </c>
      <c r="E3" s="33" t="s">
        <v>794</v>
      </c>
      <c r="F3" s="1" t="str">
        <f>IFERROR(VLOOKUP(E3,'DATABASE-DRIFT_LATENT_HP_ERROR'!$A$81:$B$85,2,FALSE()),"")</f>
        <v>Latent.1</v>
      </c>
      <c r="G3" s="34" t="s">
        <v>797</v>
      </c>
      <c r="H3" s="3" t="str">
        <f>IFERROR(VLOOKUP(G3,'DATABASE-DRIFT_LATENT_HP_ERROR'!$B$88:$D$137,3,FALSE()),"")</f>
        <v>Pemahaman engineering consequence lemah.</v>
      </c>
      <c r="K3" s="29">
        <f>IF($A3="","",IFERROR(INDEX('INPUT-SIF_Questions'!$B$2:$B$300,MATCH($A3,'INPUT-SIF_Questions'!$A$2:$A$300,0)),""))</f>
        <v>1</v>
      </c>
      <c r="L3" s="29" t="str">
        <f>IF($A3="","",IFERROR(INDEX('INPUT-SIF_Questions'!$F$2:$F$300,MATCH($A3,'INPUT-SIF_Questions'!$A$2:$A$300,0)),""))</f>
        <v>Baseline</v>
      </c>
      <c r="M3" s="29" t="str">
        <f>IF($A3="","",IFERROR(INDEX('INPUT-SIF_Questions'!$G$2:$G$300,MATCH($A3,'INPUT-SIF_Questions'!$A$2:$A$300,0)),""))</f>
        <v>Y</v>
      </c>
      <c r="N3" s="29">
        <f>IF($A3="","",IFERROR(INDEX('INPUT-SIF_Questions'!$E$2:$E$300,MATCH($A3,'INPUT-SIF_Questions'!$A$2:$A$300,0)),""))</f>
        <v>0</v>
      </c>
    </row>
    <row r="4" spans="1:14" ht="21" customHeight="1" x14ac:dyDescent="0.45">
      <c r="A4" s="29" t="s">
        <v>32</v>
      </c>
      <c r="B4" s="15" t="s">
        <v>34</v>
      </c>
      <c r="C4" s="1" t="str">
        <f>IFERROR(VLOOKUP(B4,'DATABASE-DRIFT_LATENT_HP_ERROR'!$A$143:$B$160,2,FALSE()),"")</f>
        <v>Work at Height</v>
      </c>
      <c r="D4" s="27" t="s">
        <v>798</v>
      </c>
      <c r="E4" s="33" t="s">
        <v>794</v>
      </c>
      <c r="F4" s="1" t="str">
        <f>IFERROR(VLOOKUP(E4,'DATABASE-DRIFT_LATENT_HP_ERROR'!$A$81:$B$85,2,FALSE()),"")</f>
        <v>Latent.1</v>
      </c>
      <c r="G4" s="34" t="s">
        <v>799</v>
      </c>
      <c r="H4" s="3" t="str">
        <f>IFERROR(VLOOKUP(G4,'DATABASE-DRIFT_LATENT_HP_ERROR'!$B$88:$D$137,3,FALSE()),"")</f>
        <v>Personel belum memiliki kompetensi atau sertifikasi sesuai risiko pekerjaan.</v>
      </c>
      <c r="K4" s="29">
        <f>IF($A4="","",IFERROR(INDEX('INPUT-SIF_Questions'!$B$2:$B$300,MATCH($A4,'INPUT-SIF_Questions'!$A$2:$A$300,0)),""))</f>
        <v>1</v>
      </c>
      <c r="L4" s="29" t="str">
        <f>IF($A4="","",IFERROR(INDEX('INPUT-SIF_Questions'!$F$2:$F$300,MATCH($A4,'INPUT-SIF_Questions'!$A$2:$A$300,0)),""))</f>
        <v>Baseline</v>
      </c>
      <c r="M4" s="29" t="str">
        <f>IF($A4="","",IFERROR(INDEX('INPUT-SIF_Questions'!$G$2:$G$300,MATCH($A4,'INPUT-SIF_Questions'!$A$2:$A$300,0)),""))</f>
        <v>Y</v>
      </c>
      <c r="N4" s="29">
        <f>IF($A4="","",IFERROR(INDEX('INPUT-SIF_Questions'!$E$2:$E$300,MATCH($A4,'INPUT-SIF_Questions'!$A$2:$A$300,0)),""))</f>
        <v>0</v>
      </c>
    </row>
    <row r="5" spans="1:14" ht="28.5" customHeight="1" x14ac:dyDescent="0.45">
      <c r="A5" s="29" t="s">
        <v>32</v>
      </c>
      <c r="B5" s="15" t="s">
        <v>34</v>
      </c>
      <c r="C5" s="1" t="str">
        <f>IFERROR(VLOOKUP(B5,'DATABASE-DRIFT_LATENT_HP_ERROR'!$A$143:$B$160,2,FALSE()),"")</f>
        <v>Work at Height</v>
      </c>
      <c r="D5" s="27" t="s">
        <v>800</v>
      </c>
      <c r="E5" s="33" t="s">
        <v>801</v>
      </c>
      <c r="F5" s="1" t="str">
        <f>IFERROR(VLOOKUP(E5,'DATABASE-DRIFT_LATENT_HP_ERROR'!$A$81:$B$85,2,FALSE()),"")</f>
        <v>Latent.2</v>
      </c>
      <c r="G5" s="34" t="s">
        <v>802</v>
      </c>
      <c r="H5" s="3" t="str">
        <f>IFERROR(VLOOKUP(G5,'DATABASE-DRIFT_LATENT_HP_ERROR'!$B$88:$D$137,3,FALSE()),"")</f>
        <v>Langkah kerja tidak dijelaskan detail dan sistematis.</v>
      </c>
      <c r="K5" s="29">
        <f>IF($A5="","",IFERROR(INDEX('INPUT-SIF_Questions'!$B$2:$B$300,MATCH($A5,'INPUT-SIF_Questions'!$A$2:$A$300,0)),""))</f>
        <v>1</v>
      </c>
      <c r="L5" s="29" t="str">
        <f>IF($A5="","",IFERROR(INDEX('INPUT-SIF_Questions'!$F$2:$F$300,MATCH($A5,'INPUT-SIF_Questions'!$A$2:$A$300,0)),""))</f>
        <v>Baseline</v>
      </c>
      <c r="M5" s="29" t="str">
        <f>IF($A5="","",IFERROR(INDEX('INPUT-SIF_Questions'!$G$2:$G$300,MATCH($A5,'INPUT-SIF_Questions'!$A$2:$A$300,0)),""))</f>
        <v>Y</v>
      </c>
      <c r="N5" s="29">
        <f>IF($A5="","",IFERROR(INDEX('INPUT-SIF_Questions'!$E$2:$E$300,MATCH($A5,'INPUT-SIF_Questions'!$A$2:$A$300,0)),""))</f>
        <v>0</v>
      </c>
    </row>
    <row r="6" spans="1:14" ht="21" customHeight="1" x14ac:dyDescent="0.45">
      <c r="A6" s="29" t="s">
        <v>32</v>
      </c>
      <c r="B6" s="15" t="s">
        <v>34</v>
      </c>
      <c r="C6" s="1" t="str">
        <f>IFERROR(VLOOKUP(B6,'DATABASE-DRIFT_LATENT_HP_ERROR'!$A$143:$B$160,2,FALSE()),"")</f>
        <v>Work at Height</v>
      </c>
      <c r="D6" s="27" t="s">
        <v>803</v>
      </c>
      <c r="E6" s="33" t="s">
        <v>801</v>
      </c>
      <c r="F6" s="1" t="str">
        <f>IFERROR(VLOOKUP(E6,'DATABASE-DRIFT_LATENT_HP_ERROR'!$A$81:$B$85,2,FALSE()),"")</f>
        <v>Latent.2</v>
      </c>
      <c r="G6" s="34" t="s">
        <v>804</v>
      </c>
      <c r="H6" s="3" t="str">
        <f>IFERROR(VLOOKUP(G6,'DATABASE-DRIFT_LATENT_HP_ERROR'!$B$88:$D$137,3,FALSE()),"")</f>
        <v>Safeguard penting tidak tertulis jelas.</v>
      </c>
      <c r="K6" s="29">
        <f>IF($A6="","",IFERROR(INDEX('INPUT-SIF_Questions'!$B$2:$B$300,MATCH($A6,'INPUT-SIF_Questions'!$A$2:$A$300,0)),""))</f>
        <v>1</v>
      </c>
      <c r="L6" s="29" t="str">
        <f>IF($A6="","",IFERROR(INDEX('INPUT-SIF_Questions'!$F$2:$F$300,MATCH($A6,'INPUT-SIF_Questions'!$A$2:$A$300,0)),""))</f>
        <v>Baseline</v>
      </c>
      <c r="M6" s="29" t="str">
        <f>IF($A6="","",IFERROR(INDEX('INPUT-SIF_Questions'!$G$2:$G$300,MATCH($A6,'INPUT-SIF_Questions'!$A$2:$A$300,0)),""))</f>
        <v>Y</v>
      </c>
      <c r="N6" s="29">
        <f>IF($A6="","",IFERROR(INDEX('INPUT-SIF_Questions'!$E$2:$E$300,MATCH($A6,'INPUT-SIF_Questions'!$A$2:$A$300,0)),""))</f>
        <v>0</v>
      </c>
    </row>
    <row r="7" spans="1:14" ht="21" customHeight="1" x14ac:dyDescent="0.45">
      <c r="A7" s="29" t="s">
        <v>32</v>
      </c>
      <c r="B7" s="15" t="s">
        <v>34</v>
      </c>
      <c r="C7" s="1" t="str">
        <f>IFERROR(VLOOKUP(B7,'DATABASE-DRIFT_LATENT_HP_ERROR'!$A$143:$B$160,2,FALSE()),"")</f>
        <v>Work at Height</v>
      </c>
      <c r="D7" s="27" t="s">
        <v>805</v>
      </c>
      <c r="E7" s="33" t="s">
        <v>801</v>
      </c>
      <c r="F7" s="1" t="str">
        <f>IFERROR(VLOOKUP(E7,'DATABASE-DRIFT_LATENT_HP_ERROR'!$A$81:$B$85,2,FALSE()),"")</f>
        <v>Latent.2</v>
      </c>
      <c r="G7" s="34" t="s">
        <v>806</v>
      </c>
      <c r="H7" s="3" t="str">
        <f>IFERROR(VLOOKUP(G7,'DATABASE-DRIFT_LATENT_HP_ERROR'!$B$88:$D$137,3,FALSE()),"")</f>
        <v>Kriteria engineering atau acceptance criteria tidak tersedia.</v>
      </c>
      <c r="K7" s="29">
        <f>IF($A7="","",IFERROR(INDEX('INPUT-SIF_Questions'!$B$2:$B$300,MATCH($A7,'INPUT-SIF_Questions'!$A$2:$A$300,0)),""))</f>
        <v>1</v>
      </c>
      <c r="L7" s="29" t="str">
        <f>IF($A7="","",IFERROR(INDEX('INPUT-SIF_Questions'!$F$2:$F$300,MATCH($A7,'INPUT-SIF_Questions'!$A$2:$A$300,0)),""))</f>
        <v>Baseline</v>
      </c>
      <c r="M7" s="29" t="str">
        <f>IF($A7="","",IFERROR(INDEX('INPUT-SIF_Questions'!$G$2:$G$300,MATCH($A7,'INPUT-SIF_Questions'!$A$2:$A$300,0)),""))</f>
        <v>Y</v>
      </c>
      <c r="N7" s="29">
        <f>IF($A7="","",IFERROR(INDEX('INPUT-SIF_Questions'!$E$2:$E$300,MATCH($A7,'INPUT-SIF_Questions'!$A$2:$A$300,0)),""))</f>
        <v>0</v>
      </c>
    </row>
    <row r="8" spans="1:14" ht="21" customHeight="1" x14ac:dyDescent="0.45">
      <c r="A8" s="29" t="s">
        <v>32</v>
      </c>
      <c r="B8" s="15" t="s">
        <v>34</v>
      </c>
      <c r="C8" s="1" t="str">
        <f>IFERROR(VLOOKUP(B8,'DATABASE-DRIFT_LATENT_HP_ERROR'!$A$143:$B$160,2,FALSE()),"")</f>
        <v>Work at Height</v>
      </c>
      <c r="D8" s="27" t="s">
        <v>807</v>
      </c>
      <c r="E8" s="33" t="s">
        <v>801</v>
      </c>
      <c r="F8" s="1" t="str">
        <f>IFERROR(VLOOKUP(E8,'DATABASE-DRIFT_LATENT_HP_ERROR'!$A$81:$B$85,2,FALSE()),"")</f>
        <v>Latent.2</v>
      </c>
      <c r="G8" s="34" t="s">
        <v>808</v>
      </c>
      <c r="H8" s="3" t="str">
        <f>IFERROR(VLOOKUP(G8,'DATABASE-DRIFT_LATENT_HP_ERROR'!$B$88:$D$137,3,FALSE()),"")</f>
        <v>SWC tidak efektif membantu hazard recognition.</v>
      </c>
      <c r="K8" s="29">
        <f>IF($A8="","",IFERROR(INDEX('INPUT-SIF_Questions'!$B$2:$B$300,MATCH($A8,'INPUT-SIF_Questions'!$A$2:$A$300,0)),""))</f>
        <v>1</v>
      </c>
      <c r="L8" s="29" t="str">
        <f>IF($A8="","",IFERROR(INDEX('INPUT-SIF_Questions'!$F$2:$F$300,MATCH($A8,'INPUT-SIF_Questions'!$A$2:$A$300,0)),""))</f>
        <v>Baseline</v>
      </c>
      <c r="M8" s="29" t="str">
        <f>IF($A8="","",IFERROR(INDEX('INPUT-SIF_Questions'!$G$2:$G$300,MATCH($A8,'INPUT-SIF_Questions'!$A$2:$A$300,0)),""))</f>
        <v>Y</v>
      </c>
      <c r="N8" s="29">
        <f>IF($A8="","",IFERROR(INDEX('INPUT-SIF_Questions'!$E$2:$E$300,MATCH($A8,'INPUT-SIF_Questions'!$A$2:$A$300,0)),""))</f>
        <v>0</v>
      </c>
    </row>
    <row r="9" spans="1:14" ht="21" customHeight="1" x14ac:dyDescent="0.45">
      <c r="A9" s="29" t="s">
        <v>32</v>
      </c>
      <c r="B9" s="15" t="s">
        <v>34</v>
      </c>
      <c r="C9" s="1" t="str">
        <f>IFERROR(VLOOKUP(B9,'DATABASE-DRIFT_LATENT_HP_ERROR'!$A$143:$B$160,2,FALSE()),"")</f>
        <v>Work at Height</v>
      </c>
      <c r="D9" s="27" t="s">
        <v>809</v>
      </c>
      <c r="E9" s="33" t="s">
        <v>810</v>
      </c>
      <c r="F9" s="1" t="str">
        <f>IFERROR(VLOOKUP(E9,'DATABASE-DRIFT_LATENT_HP_ERROR'!$A$81:$B$85,2,FALSE()),"")</f>
        <v>Latent.3</v>
      </c>
      <c r="G9" s="34" t="s">
        <v>672</v>
      </c>
      <c r="H9" s="3" t="str">
        <f>IFERROR(VLOOKUP(G9,'DATABASE-DRIFT_LATENT_HP_ERROR'!$B$88:$D$137,3,FALSE()),"")</f>
        <v>Supervisor berasumsi pekerja sudah memahami risiko.</v>
      </c>
      <c r="K9" s="29">
        <f>IF($A9="","",IFERROR(INDEX('INPUT-SIF_Questions'!$B$2:$B$300,MATCH($A9,'INPUT-SIF_Questions'!$A$2:$A$300,0)),""))</f>
        <v>1</v>
      </c>
      <c r="L9" s="29" t="str">
        <f>IF($A9="","",IFERROR(INDEX('INPUT-SIF_Questions'!$F$2:$F$300,MATCH($A9,'INPUT-SIF_Questions'!$A$2:$A$300,0)),""))</f>
        <v>Baseline</v>
      </c>
      <c r="M9" s="29" t="str">
        <f>IF($A9="","",IFERROR(INDEX('INPUT-SIF_Questions'!$G$2:$G$300,MATCH($A9,'INPUT-SIF_Questions'!$A$2:$A$300,0)),""))</f>
        <v>Y</v>
      </c>
      <c r="N9" s="29">
        <f>IF($A9="","",IFERROR(INDEX('INPUT-SIF_Questions'!$E$2:$E$300,MATCH($A9,'INPUT-SIF_Questions'!$A$2:$A$300,0)),""))</f>
        <v>0</v>
      </c>
    </row>
    <row r="10" spans="1:14" ht="21" customHeight="1" x14ac:dyDescent="0.45">
      <c r="A10" s="29" t="s">
        <v>32</v>
      </c>
      <c r="B10" s="15" t="s">
        <v>34</v>
      </c>
      <c r="C10" s="1" t="str">
        <f>IFERROR(VLOOKUP(B10,'DATABASE-DRIFT_LATENT_HP_ERROR'!$A$143:$B$160,2,FALSE()),"")</f>
        <v>Work at Height</v>
      </c>
      <c r="D10" s="27" t="s">
        <v>811</v>
      </c>
      <c r="E10" s="33" t="s">
        <v>810</v>
      </c>
      <c r="F10" s="1" t="str">
        <f>IFERROR(VLOOKUP(E10,'DATABASE-DRIFT_LATENT_HP_ERROR'!$A$81:$B$85,2,FALSE()),"")</f>
        <v>Latent.3</v>
      </c>
      <c r="G10" s="34" t="s">
        <v>812</v>
      </c>
      <c r="H10" s="3" t="str">
        <f>IFERROR(VLOOKUP(G10,'DATABASE-DRIFT_LATENT_HP_ERROR'!$B$88:$D$137,3,FALSE()),"")</f>
        <v>Validasi lapangan tidak cukup mendalam.</v>
      </c>
      <c r="K10" s="29">
        <f>IF($A10="","",IFERROR(INDEX('INPUT-SIF_Questions'!$B$2:$B$300,MATCH($A10,'INPUT-SIF_Questions'!$A$2:$A$300,0)),""))</f>
        <v>1</v>
      </c>
      <c r="L10" s="29" t="str">
        <f>IF($A10="","",IFERROR(INDEX('INPUT-SIF_Questions'!$F$2:$F$300,MATCH($A10,'INPUT-SIF_Questions'!$A$2:$A$300,0)),""))</f>
        <v>Baseline</v>
      </c>
      <c r="M10" s="29" t="str">
        <f>IF($A10="","",IFERROR(INDEX('INPUT-SIF_Questions'!$G$2:$G$300,MATCH($A10,'INPUT-SIF_Questions'!$A$2:$A$300,0)),""))</f>
        <v>Y</v>
      </c>
      <c r="N10" s="29">
        <f>IF($A10="","",IFERROR(INDEX('INPUT-SIF_Questions'!$E$2:$E$300,MATCH($A10,'INPUT-SIF_Questions'!$A$2:$A$300,0)),""))</f>
        <v>0</v>
      </c>
    </row>
    <row r="11" spans="1:14" ht="21" customHeight="1" x14ac:dyDescent="0.45">
      <c r="A11" s="29" t="s">
        <v>32</v>
      </c>
      <c r="B11" s="15" t="s">
        <v>34</v>
      </c>
      <c r="C11" s="1" t="str">
        <f>IFERROR(VLOOKUP(B11,'DATABASE-DRIFT_LATENT_HP_ERROR'!$A$143:$B$160,2,FALSE()),"")</f>
        <v>Work at Height</v>
      </c>
      <c r="D11" s="27" t="s">
        <v>813</v>
      </c>
      <c r="E11" s="33" t="s">
        <v>810</v>
      </c>
      <c r="F11" s="1" t="str">
        <f>IFERROR(VLOOKUP(E11,'DATABASE-DRIFT_LATENT_HP_ERROR'!$A$81:$B$85,2,FALSE()),"")</f>
        <v>Latent.3</v>
      </c>
      <c r="G11" s="34" t="s">
        <v>814</v>
      </c>
      <c r="H11" s="3" t="str">
        <f>IFERROR(VLOOKUP(G11,'DATABASE-DRIFT_LATENT_HP_ERROR'!$B$88:$D$137,3,FALSE()),"")</f>
        <v>Coaching tidak fokus pada critical safeguards.</v>
      </c>
      <c r="K11" s="29">
        <f>IF($A11="","",IFERROR(INDEX('INPUT-SIF_Questions'!$B$2:$B$300,MATCH($A11,'INPUT-SIF_Questions'!$A$2:$A$300,0)),""))</f>
        <v>1</v>
      </c>
      <c r="L11" s="29" t="str">
        <f>IF($A11="","",IFERROR(INDEX('INPUT-SIF_Questions'!$F$2:$F$300,MATCH($A11,'INPUT-SIF_Questions'!$A$2:$A$300,0)),""))</f>
        <v>Baseline</v>
      </c>
      <c r="M11" s="29" t="str">
        <f>IF($A11="","",IFERROR(INDEX('INPUT-SIF_Questions'!$G$2:$G$300,MATCH($A11,'INPUT-SIF_Questions'!$A$2:$A$300,0)),""))</f>
        <v>Y</v>
      </c>
      <c r="N11" s="29">
        <f>IF($A11="","",IFERROR(INDEX('INPUT-SIF_Questions'!$E$2:$E$300,MATCH($A11,'INPUT-SIF_Questions'!$A$2:$A$300,0)),""))</f>
        <v>0</v>
      </c>
    </row>
    <row r="12" spans="1:14" ht="14.25" customHeight="1" x14ac:dyDescent="0.45">
      <c r="A12" s="29" t="s">
        <v>32</v>
      </c>
      <c r="B12" s="15" t="s">
        <v>34</v>
      </c>
      <c r="C12" s="1" t="str">
        <f>IFERROR(VLOOKUP(B12,'DATABASE-DRIFT_LATENT_HP_ERROR'!$A$143:$B$160,2,FALSE()),"")</f>
        <v>Work at Height</v>
      </c>
      <c r="D12" s="27" t="s">
        <v>815</v>
      </c>
      <c r="E12" s="33" t="s">
        <v>816</v>
      </c>
      <c r="F12" s="1" t="str">
        <f>IFERROR(VLOOKUP(E12,'DATABASE-DRIFT_LATENT_HP_ERROR'!$A$81:$B$85,2,FALSE()),"")</f>
        <v>Latent.4</v>
      </c>
      <c r="G12" s="34" t="s">
        <v>817</v>
      </c>
      <c r="H12" s="3" t="str">
        <f>IFERROR(VLOOKUP(G12,'DATABASE-DRIFT_LATENT_HP_ERROR'!$B$88:$D$137,3,FALSE()),"")</f>
        <v>Rescue plan belum dikembangkan sesuai risiko aktual.</v>
      </c>
      <c r="K12" s="29">
        <f>IF($A12="","",IFERROR(INDEX('INPUT-SIF_Questions'!$B$2:$B$300,MATCH($A12,'INPUT-SIF_Questions'!$A$2:$A$300,0)),""))</f>
        <v>1</v>
      </c>
      <c r="L12" s="29" t="str">
        <f>IF($A12="","",IFERROR(INDEX('INPUT-SIF_Questions'!$F$2:$F$300,MATCH($A12,'INPUT-SIF_Questions'!$A$2:$A$300,0)),""))</f>
        <v>Baseline</v>
      </c>
      <c r="M12" s="29" t="str">
        <f>IF($A12="","",IFERROR(INDEX('INPUT-SIF_Questions'!$G$2:$G$300,MATCH($A12,'INPUT-SIF_Questions'!$A$2:$A$300,0)),""))</f>
        <v>Y</v>
      </c>
      <c r="N12" s="29">
        <f>IF($A12="","",IFERROR(INDEX('INPUT-SIF_Questions'!$E$2:$E$300,MATCH($A12,'INPUT-SIF_Questions'!$A$2:$A$300,0)),""))</f>
        <v>0</v>
      </c>
    </row>
    <row r="13" spans="1:14" ht="21" customHeight="1" x14ac:dyDescent="0.45">
      <c r="A13" s="29" t="s">
        <v>32</v>
      </c>
      <c r="B13" s="15" t="s">
        <v>34</v>
      </c>
      <c r="C13" s="1" t="str">
        <f>IFERROR(VLOOKUP(B13,'DATABASE-DRIFT_LATENT_HP_ERROR'!$A$143:$B$160,2,FALSE()),"")</f>
        <v>Work at Height</v>
      </c>
      <c r="D13" s="27" t="s">
        <v>818</v>
      </c>
      <c r="E13" s="33" t="s">
        <v>816</v>
      </c>
      <c r="F13" s="1" t="str">
        <f>IFERROR(VLOOKUP(E13,'DATABASE-DRIFT_LATENT_HP_ERROR'!$A$81:$B$85,2,FALSE()),"")</f>
        <v>Latent.4</v>
      </c>
      <c r="G13" s="34" t="s">
        <v>819</v>
      </c>
      <c r="H13" s="3" t="str">
        <f>IFERROR(VLOOKUP(G13,'DATABASE-DRIFT_LATENT_HP_ERROR'!$B$88:$D$137,3,FALSE()),"")</f>
        <v>Perencanaan pekerjaan tidak mempertimbangkan seluruh exposure.</v>
      </c>
      <c r="K13" s="29">
        <f>IF($A13="","",IFERROR(INDEX('INPUT-SIF_Questions'!$B$2:$B$300,MATCH($A13,'INPUT-SIF_Questions'!$A$2:$A$300,0)),""))</f>
        <v>1</v>
      </c>
      <c r="L13" s="29" t="str">
        <f>IF($A13="","",IFERROR(INDEX('INPUT-SIF_Questions'!$F$2:$F$300,MATCH($A13,'INPUT-SIF_Questions'!$A$2:$A$300,0)),""))</f>
        <v>Baseline</v>
      </c>
      <c r="M13" s="29" t="str">
        <f>IF($A13="","",IFERROR(INDEX('INPUT-SIF_Questions'!$G$2:$G$300,MATCH($A13,'INPUT-SIF_Questions'!$A$2:$A$300,0)),""))</f>
        <v>Y</v>
      </c>
      <c r="N13" s="29">
        <f>IF($A13="","",IFERROR(INDEX('INPUT-SIF_Questions'!$E$2:$E$300,MATCH($A13,'INPUT-SIF_Questions'!$A$2:$A$300,0)),""))</f>
        <v>0</v>
      </c>
    </row>
    <row r="14" spans="1:14" ht="14.25" customHeight="1" x14ac:dyDescent="0.45">
      <c r="A14" s="29" t="s">
        <v>32</v>
      </c>
      <c r="B14" s="15" t="s">
        <v>34</v>
      </c>
      <c r="C14" s="1" t="str">
        <f>IFERROR(VLOOKUP(B14,'DATABASE-DRIFT_LATENT_HP_ERROR'!$A$143:$B$160,2,FALSE()),"")</f>
        <v>Work at Height</v>
      </c>
      <c r="D14" s="27" t="s">
        <v>820</v>
      </c>
      <c r="E14" s="33" t="s">
        <v>816</v>
      </c>
      <c r="F14" s="1" t="str">
        <f>IFERROR(VLOOKUP(E14,'DATABASE-DRIFT_LATENT_HP_ERROR'!$A$81:$B$85,2,FALSE()),"")</f>
        <v>Latent.4</v>
      </c>
      <c r="G14" s="34" t="s">
        <v>821</v>
      </c>
      <c r="H14" s="3" t="str">
        <f>IFERROR(VLOOKUP(G14,'DATABASE-DRIFT_LATENT_HP_ERROR'!$B$88:$D$137,3,FALSE()),"")</f>
        <v>Perhitungan fall distance tidak tersedia.</v>
      </c>
      <c r="K14" s="29">
        <f>IF($A14="","",IFERROR(INDEX('INPUT-SIF_Questions'!$B$2:$B$300,MATCH($A14,'INPUT-SIF_Questions'!$A$2:$A$300,0)),""))</f>
        <v>1</v>
      </c>
      <c r="L14" s="29" t="str">
        <f>IF($A14="","",IFERROR(INDEX('INPUT-SIF_Questions'!$F$2:$F$300,MATCH($A14,'INPUT-SIF_Questions'!$A$2:$A$300,0)),""))</f>
        <v>Baseline</v>
      </c>
      <c r="M14" s="29" t="str">
        <f>IF($A14="","",IFERROR(INDEX('INPUT-SIF_Questions'!$G$2:$G$300,MATCH($A14,'INPUT-SIF_Questions'!$A$2:$A$300,0)),""))</f>
        <v>Y</v>
      </c>
      <c r="N14" s="29">
        <f>IF($A14="","",IFERROR(INDEX('INPUT-SIF_Questions'!$E$2:$E$300,MATCH($A14,'INPUT-SIF_Questions'!$A$2:$A$300,0)),""))</f>
        <v>0</v>
      </c>
    </row>
    <row r="15" spans="1:14" ht="14.25" customHeight="1" x14ac:dyDescent="0.45">
      <c r="A15" s="29" t="s">
        <v>32</v>
      </c>
      <c r="B15" s="15" t="s">
        <v>34</v>
      </c>
      <c r="C15" s="1" t="str">
        <f>IFERROR(VLOOKUP(B15,'DATABASE-DRIFT_LATENT_HP_ERROR'!$A$143:$B$160,2,FALSE()),"")</f>
        <v>Work at Height</v>
      </c>
      <c r="D15" s="27" t="s">
        <v>822</v>
      </c>
      <c r="E15" s="33" t="s">
        <v>823</v>
      </c>
      <c r="F15" s="1" t="str">
        <f>IFERROR(VLOOKUP(E15,'DATABASE-DRIFT_LATENT_HP_ERROR'!$A$81:$B$85,2,FALSE()),"")</f>
        <v>Latent.5</v>
      </c>
      <c r="G15" s="34" t="s">
        <v>824</v>
      </c>
      <c r="H15" s="3" t="str">
        <f>IFERROR(VLOOKUP(G15,'DATABASE-DRIFT_LATENT_HP_ERROR'!$B$88:$D$137,3,FALSE()),"")</f>
        <v>Konfigurasi anchorage menciptakan swing fall/impact hazard.</v>
      </c>
      <c r="K15" s="29">
        <f>IF($A15="","",IFERROR(INDEX('INPUT-SIF_Questions'!$B$2:$B$300,MATCH($A15,'INPUT-SIF_Questions'!$A$2:$A$300,0)),""))</f>
        <v>1</v>
      </c>
      <c r="L15" s="29" t="str">
        <f>IF($A15="","",IFERROR(INDEX('INPUT-SIF_Questions'!$F$2:$F$300,MATCH($A15,'INPUT-SIF_Questions'!$A$2:$A$300,0)),""))</f>
        <v>Baseline</v>
      </c>
      <c r="M15" s="29" t="str">
        <f>IF($A15="","",IFERROR(INDEX('INPUT-SIF_Questions'!$G$2:$G$300,MATCH($A15,'INPUT-SIF_Questions'!$A$2:$A$300,0)),""))</f>
        <v>Y</v>
      </c>
      <c r="N15" s="29">
        <f>IF($A15="","",IFERROR(INDEX('INPUT-SIF_Questions'!$E$2:$E$300,MATCH($A15,'INPUT-SIF_Questions'!$A$2:$A$300,0)),""))</f>
        <v>0</v>
      </c>
    </row>
    <row r="16" spans="1:14" ht="21" customHeight="1" x14ac:dyDescent="0.45">
      <c r="A16" s="29" t="s">
        <v>32</v>
      </c>
      <c r="B16" s="15" t="s">
        <v>34</v>
      </c>
      <c r="C16" s="1" t="str">
        <f>IFERROR(VLOOKUP(B16,'DATABASE-DRIFT_LATENT_HP_ERROR'!$A$143:$B$160,2,FALSE()),"")</f>
        <v>Work at Height</v>
      </c>
      <c r="D16" s="27" t="s">
        <v>825</v>
      </c>
      <c r="E16" s="33" t="s">
        <v>823</v>
      </c>
      <c r="F16" s="1" t="str">
        <f>IFERROR(VLOOKUP(E16,'DATABASE-DRIFT_LATENT_HP_ERROR'!$A$81:$B$85,2,FALSE()),"")</f>
        <v>Latent.5</v>
      </c>
      <c r="G16" s="34" t="s">
        <v>826</v>
      </c>
      <c r="H16" s="3" t="str">
        <f>IFERROR(VLOOKUP(G16,'DATABASE-DRIFT_LATENT_HP_ERROR'!$B$88:$D$137,3,FALSE()),"")</f>
        <v>Barrier fisik tidak cukup melindungi pekerja.</v>
      </c>
      <c r="K16" s="29">
        <f>IF($A16="","",IFERROR(INDEX('INPUT-SIF_Questions'!$B$2:$B$300,MATCH($A16,'INPUT-SIF_Questions'!$A$2:$A$300,0)),""))</f>
        <v>1</v>
      </c>
      <c r="L16" s="29" t="str">
        <f>IF($A16="","",IFERROR(INDEX('INPUT-SIF_Questions'!$F$2:$F$300,MATCH($A16,'INPUT-SIF_Questions'!$A$2:$A$300,0)),""))</f>
        <v>Baseline</v>
      </c>
      <c r="M16" s="29" t="str">
        <f>IF($A16="","",IFERROR(INDEX('INPUT-SIF_Questions'!$G$2:$G$300,MATCH($A16,'INPUT-SIF_Questions'!$A$2:$A$300,0)),""))</f>
        <v>Y</v>
      </c>
      <c r="N16" s="29">
        <f>IF($A16="","",IFERROR(INDEX('INPUT-SIF_Questions'!$E$2:$E$300,MATCH($A16,'INPUT-SIF_Questions'!$A$2:$A$300,0)),""))</f>
        <v>0</v>
      </c>
    </row>
    <row r="17" spans="1:14" ht="35.25" customHeight="1" x14ac:dyDescent="0.45">
      <c r="A17" s="29" t="s">
        <v>91</v>
      </c>
      <c r="B17" s="15" t="s">
        <v>92</v>
      </c>
      <c r="C17" s="1" t="str">
        <f>IFERROR(VLOOKUP(B17,'DATABASE-DRIFT_LATENT_HP_ERROR'!$A$143:$B$160,2,FALSE()),"")</f>
        <v>Powered System / Isolation of Hazardous Energy</v>
      </c>
      <c r="D17" s="27" t="s">
        <v>827</v>
      </c>
      <c r="E17" s="33" t="s">
        <v>794</v>
      </c>
      <c r="F17" s="1" t="str">
        <f>IFERROR(VLOOKUP(E17,'DATABASE-DRIFT_LATENT_HP_ERROR'!$A$81:$B$85,2,FALSE()),"")</f>
        <v>Latent.1</v>
      </c>
      <c r="G17" s="34" t="s">
        <v>828</v>
      </c>
      <c r="H17" s="3" t="str">
        <f>IFERROR(VLOOKUP(G17,'DATABASE-DRIFT_LATENT_HP_ERROR'!$B$88:$D$137,3,FALSE()),"")</f>
        <v>Filosofi dan implementasi isolasi energi tidak dipahami.</v>
      </c>
      <c r="K17" s="29">
        <f>IF($A17="","",IFERROR(INDEX('INPUT-SIF_Questions'!$B$2:$B$300,MATCH($A17,'INPUT-SIF_Questions'!$A$2:$A$300,0)),""))</f>
        <v>1</v>
      </c>
      <c r="L17" s="29" t="str">
        <f>IF($A17="","",IFERROR(INDEX('INPUT-SIF_Questions'!$F$2:$F$300,MATCH($A17,'INPUT-SIF_Questions'!$A$2:$A$300,0)),""))</f>
        <v>Baseline</v>
      </c>
      <c r="M17" s="29" t="str">
        <f>IF($A17="","",IFERROR(INDEX('INPUT-SIF_Questions'!$G$2:$G$300,MATCH($A17,'INPUT-SIF_Questions'!$A$2:$A$300,0)),""))</f>
        <v>Y</v>
      </c>
      <c r="N17" s="29">
        <f>IF($A17="","",IFERROR(INDEX('INPUT-SIF_Questions'!$E$2:$E$300,MATCH($A17,'INPUT-SIF_Questions'!$A$2:$A$300,0)),""))</f>
        <v>0</v>
      </c>
    </row>
    <row r="18" spans="1:14" ht="28.5" customHeight="1" x14ac:dyDescent="0.45">
      <c r="A18" s="29" t="s">
        <v>91</v>
      </c>
      <c r="B18" s="15" t="s">
        <v>92</v>
      </c>
      <c r="C18" s="1" t="str">
        <f>IFERROR(VLOOKUP(B18,'DATABASE-DRIFT_LATENT_HP_ERROR'!$A$143:$B$160,2,FALSE()),"")</f>
        <v>Powered System / Isolation of Hazardous Energy</v>
      </c>
      <c r="D18" s="27" t="s">
        <v>829</v>
      </c>
      <c r="E18" s="33" t="s">
        <v>794</v>
      </c>
      <c r="F18" s="1" t="str">
        <f>IFERROR(VLOOKUP(E18,'DATABASE-DRIFT_LATENT_HP_ERROR'!$A$81:$B$85,2,FALSE()),"")</f>
        <v>Latent.1</v>
      </c>
      <c r="G18" s="34" t="s">
        <v>830</v>
      </c>
      <c r="H18" s="3" t="str">
        <f>IFERROR(VLOOKUP(G18,'DATABASE-DRIFT_LATENT_HP_ERROR'!$B$88:$D$137,3,FALSE()),"")</f>
        <v>Materi training terlalu administratif dan tidak membangun critical thinking.</v>
      </c>
      <c r="K18" s="29">
        <f>IF($A18="","",IFERROR(INDEX('INPUT-SIF_Questions'!$B$2:$B$300,MATCH($A18,'INPUT-SIF_Questions'!$A$2:$A$300,0)),""))</f>
        <v>1</v>
      </c>
      <c r="L18" s="29" t="str">
        <f>IF($A18="","",IFERROR(INDEX('INPUT-SIF_Questions'!$F$2:$F$300,MATCH($A18,'INPUT-SIF_Questions'!$A$2:$A$300,0)),""))</f>
        <v>Baseline</v>
      </c>
      <c r="M18" s="29" t="str">
        <f>IF($A18="","",IFERROR(INDEX('INPUT-SIF_Questions'!$G$2:$G$300,MATCH($A18,'INPUT-SIF_Questions'!$A$2:$A$300,0)),""))</f>
        <v>Y</v>
      </c>
      <c r="N18" s="29">
        <f>IF($A18="","",IFERROR(INDEX('INPUT-SIF_Questions'!$E$2:$E$300,MATCH($A18,'INPUT-SIF_Questions'!$A$2:$A$300,0)),""))</f>
        <v>0</v>
      </c>
    </row>
    <row r="19" spans="1:14" ht="28.5" customHeight="1" x14ac:dyDescent="0.45">
      <c r="A19" s="29" t="s">
        <v>91</v>
      </c>
      <c r="B19" s="15" t="s">
        <v>92</v>
      </c>
      <c r="C19" s="1" t="str">
        <f>IFERROR(VLOOKUP(B19,'DATABASE-DRIFT_LATENT_HP_ERROR'!$A$143:$B$160,2,FALSE()),"")</f>
        <v>Powered System / Isolation of Hazardous Energy</v>
      </c>
      <c r="D19" s="27" t="s">
        <v>831</v>
      </c>
      <c r="E19" s="33" t="s">
        <v>823</v>
      </c>
      <c r="F19" s="1" t="str">
        <f>IFERROR(VLOOKUP(E19,'DATABASE-DRIFT_LATENT_HP_ERROR'!$A$81:$B$85,2,FALSE()),"")</f>
        <v>Latent.5</v>
      </c>
      <c r="G19" s="34" t="s">
        <v>832</v>
      </c>
      <c r="H19" s="3" t="str">
        <f>IFERROR(VLOOKUP(G19,'DATABASE-DRIFT_LATENT_HP_ERROR'!$B$88:$D$137,3,FALSE()),"")</f>
        <v>Keterbatasan equipment mempengaruhi keselamatan kerja.</v>
      </c>
      <c r="K19" s="29">
        <f>IF($A19="","",IFERROR(INDEX('INPUT-SIF_Questions'!$B$2:$B$300,MATCH($A19,'INPUT-SIF_Questions'!$A$2:$A$300,0)),""))</f>
        <v>1</v>
      </c>
      <c r="L19" s="29" t="str">
        <f>IF($A19="","",IFERROR(INDEX('INPUT-SIF_Questions'!$F$2:$F$300,MATCH($A19,'INPUT-SIF_Questions'!$A$2:$A$300,0)),""))</f>
        <v>Baseline</v>
      </c>
      <c r="M19" s="29" t="str">
        <f>IF($A19="","",IFERROR(INDEX('INPUT-SIF_Questions'!$G$2:$G$300,MATCH($A19,'INPUT-SIF_Questions'!$A$2:$A$300,0)),""))</f>
        <v>Y</v>
      </c>
      <c r="N19" s="29">
        <f>IF($A19="","",IFERROR(INDEX('INPUT-SIF_Questions'!$E$2:$E$300,MATCH($A19,'INPUT-SIF_Questions'!$A$2:$A$300,0)),""))</f>
        <v>0</v>
      </c>
    </row>
    <row r="20" spans="1:14" ht="28.5" customHeight="1" x14ac:dyDescent="0.45">
      <c r="A20" s="29" t="s">
        <v>91</v>
      </c>
      <c r="B20" s="15" t="s">
        <v>92</v>
      </c>
      <c r="C20" s="1" t="str">
        <f>IFERROR(VLOOKUP(B20,'DATABASE-DRIFT_LATENT_HP_ERROR'!$A$143:$B$160,2,FALSE()),"")</f>
        <v>Powered System / Isolation of Hazardous Energy</v>
      </c>
      <c r="D20" s="27" t="s">
        <v>833</v>
      </c>
      <c r="E20" s="33" t="s">
        <v>801</v>
      </c>
      <c r="F20" s="1" t="str">
        <f>IFERROR(VLOOKUP(E20,'DATABASE-DRIFT_LATENT_HP_ERROR'!$A$81:$B$85,2,FALSE()),"")</f>
        <v>Latent.2</v>
      </c>
      <c r="G20" s="34" t="s">
        <v>808</v>
      </c>
      <c r="H20" s="3" t="str">
        <f>IFERROR(VLOOKUP(G20,'DATABASE-DRIFT_LATENT_HP_ERROR'!$B$88:$D$137,3,FALSE()),"")</f>
        <v>SWC tidak efektif membantu hazard recognition.</v>
      </c>
      <c r="K20" s="29">
        <f>IF($A20="","",IFERROR(INDEX('INPUT-SIF_Questions'!$B$2:$B$300,MATCH($A20,'INPUT-SIF_Questions'!$A$2:$A$300,0)),""))</f>
        <v>1</v>
      </c>
      <c r="L20" s="29" t="str">
        <f>IF($A20="","",IFERROR(INDEX('INPUT-SIF_Questions'!$F$2:$F$300,MATCH($A20,'INPUT-SIF_Questions'!$A$2:$A$300,0)),""))</f>
        <v>Baseline</v>
      </c>
      <c r="M20" s="29" t="str">
        <f>IF($A20="","",IFERROR(INDEX('INPUT-SIF_Questions'!$G$2:$G$300,MATCH($A20,'INPUT-SIF_Questions'!$A$2:$A$300,0)),""))</f>
        <v>Y</v>
      </c>
      <c r="N20" s="29">
        <f>IF($A20="","",IFERROR(INDEX('INPUT-SIF_Questions'!$E$2:$E$300,MATCH($A20,'INPUT-SIF_Questions'!$A$2:$A$300,0)),""))</f>
        <v>0</v>
      </c>
    </row>
    <row r="21" spans="1:14" ht="28.5" customHeight="1" x14ac:dyDescent="0.45">
      <c r="A21" s="29" t="s">
        <v>91</v>
      </c>
      <c r="B21" s="15" t="s">
        <v>92</v>
      </c>
      <c r="C21" s="1" t="str">
        <f>IFERROR(VLOOKUP(B21,'DATABASE-DRIFT_LATENT_HP_ERROR'!$A$143:$B$160,2,FALSE()),"")</f>
        <v>Powered System / Isolation of Hazardous Energy</v>
      </c>
      <c r="D21" s="27" t="s">
        <v>834</v>
      </c>
      <c r="E21" s="33" t="s">
        <v>823</v>
      </c>
      <c r="F21" s="1" t="str">
        <f>IFERROR(VLOOKUP(E21,'DATABASE-DRIFT_LATENT_HP_ERROR'!$A$81:$B$85,2,FALSE()),"")</f>
        <v>Latent.5</v>
      </c>
      <c r="G21" s="34" t="s">
        <v>835</v>
      </c>
      <c r="H21" s="3" t="str">
        <f>IFERROR(VLOOKUP(G21,'DATABASE-DRIFT_LATENT_HP_ERROR'!$B$88:$D$137,3,FALSE()),"")</f>
        <v>Safeguard engineering tidak cukup kuat.</v>
      </c>
      <c r="K21" s="29">
        <f>IF($A21="","",IFERROR(INDEX('INPUT-SIF_Questions'!$B$2:$B$300,MATCH($A21,'INPUT-SIF_Questions'!$A$2:$A$300,0)),""))</f>
        <v>1</v>
      </c>
      <c r="L21" s="29" t="str">
        <f>IF($A21="","",IFERROR(INDEX('INPUT-SIF_Questions'!$F$2:$F$300,MATCH($A21,'INPUT-SIF_Questions'!$A$2:$A$300,0)),""))</f>
        <v>Baseline</v>
      </c>
      <c r="M21" s="29" t="str">
        <f>IF($A21="","",IFERROR(INDEX('INPUT-SIF_Questions'!$G$2:$G$300,MATCH($A21,'INPUT-SIF_Questions'!$A$2:$A$300,0)),""))</f>
        <v>Y</v>
      </c>
      <c r="N21" s="29">
        <f>IF($A21="","",IFERROR(INDEX('INPUT-SIF_Questions'!$E$2:$E$300,MATCH($A21,'INPUT-SIF_Questions'!$A$2:$A$300,0)),""))</f>
        <v>0</v>
      </c>
    </row>
    <row r="22" spans="1:14" ht="35.25" customHeight="1" x14ac:dyDescent="0.45">
      <c r="A22" s="29" t="s">
        <v>91</v>
      </c>
      <c r="B22" s="15" t="s">
        <v>92</v>
      </c>
      <c r="C22" s="1" t="str">
        <f>IFERROR(VLOOKUP(B22,'DATABASE-DRIFT_LATENT_HP_ERROR'!$A$143:$B$160,2,FALSE()),"")</f>
        <v>Powered System / Isolation of Hazardous Energy</v>
      </c>
      <c r="D22" s="27" t="s">
        <v>836</v>
      </c>
      <c r="E22" s="33" t="s">
        <v>816</v>
      </c>
      <c r="F22" s="1" t="str">
        <f>IFERROR(VLOOKUP(E22,'DATABASE-DRIFT_LATENT_HP_ERROR'!$A$81:$B$85,2,FALSE()),"")</f>
        <v>Latent.4</v>
      </c>
      <c r="G22" s="34" t="s">
        <v>837</v>
      </c>
      <c r="H22" s="3" t="str">
        <f>IFERROR(VLOOKUP(G22,'DATABASE-DRIFT_LATENT_HP_ERROR'!$B$88:$D$137,3,FALSE()),"")</f>
        <v>Hazard penting tidak teridentifikasi pada tahap planning.</v>
      </c>
      <c r="K22" s="29">
        <f>IF($A22="","",IFERROR(INDEX('INPUT-SIF_Questions'!$B$2:$B$300,MATCH($A22,'INPUT-SIF_Questions'!$A$2:$A$300,0)),""))</f>
        <v>1</v>
      </c>
      <c r="L22" s="29" t="str">
        <f>IF($A22="","",IFERROR(INDEX('INPUT-SIF_Questions'!$F$2:$F$300,MATCH($A22,'INPUT-SIF_Questions'!$A$2:$A$300,0)),""))</f>
        <v>Baseline</v>
      </c>
      <c r="M22" s="29" t="str">
        <f>IF($A22="","",IFERROR(INDEX('INPUT-SIF_Questions'!$G$2:$G$300,MATCH($A22,'INPUT-SIF_Questions'!$A$2:$A$300,0)),""))</f>
        <v>Y</v>
      </c>
      <c r="N22" s="29">
        <f>IF($A22="","",IFERROR(INDEX('INPUT-SIF_Questions'!$E$2:$E$300,MATCH($A22,'INPUT-SIF_Questions'!$A$2:$A$300,0)),""))</f>
        <v>0</v>
      </c>
    </row>
    <row r="23" spans="1:14" ht="42.75" customHeight="1" x14ac:dyDescent="0.45">
      <c r="A23" s="29" t="s">
        <v>132</v>
      </c>
      <c r="B23" s="15" t="s">
        <v>92</v>
      </c>
      <c r="C23" s="1" t="str">
        <f>IFERROR(VLOOKUP(B23,'DATABASE-DRIFT_LATENT_HP_ERROR'!$A$143:$B$160,2,FALSE()),"")</f>
        <v>Powered System / Isolation of Hazardous Energy</v>
      </c>
      <c r="D23" s="27" t="s">
        <v>838</v>
      </c>
      <c r="E23" s="33" t="s">
        <v>794</v>
      </c>
      <c r="F23" s="1" t="str">
        <f>IFERROR(VLOOKUP(E23,'DATABASE-DRIFT_LATENT_HP_ERROR'!$A$81:$B$85,2,FALSE()),"")</f>
        <v>Latent.1</v>
      </c>
      <c r="G23" s="34" t="s">
        <v>828</v>
      </c>
      <c r="H23" s="3" t="str">
        <f>IFERROR(VLOOKUP(G23,'DATABASE-DRIFT_LATENT_HP_ERROR'!$B$88:$D$137,3,FALSE()),"")</f>
        <v>Filosofi dan implementasi isolasi energi tidak dipahami.</v>
      </c>
      <c r="K23" s="29">
        <f>IF($A23="","",IFERROR(INDEX('INPUT-SIF_Questions'!$B$2:$B$300,MATCH($A23,'INPUT-SIF_Questions'!$A$2:$A$300,0)),""))</f>
        <v>1</v>
      </c>
      <c r="L23" s="29" t="str">
        <f>IF($A23="","",IFERROR(INDEX('INPUT-SIF_Questions'!$F$2:$F$300,MATCH($A23,'INPUT-SIF_Questions'!$A$2:$A$300,0)),""))</f>
        <v>Baseline</v>
      </c>
      <c r="M23" s="29" t="str">
        <f>IF($A23="","",IFERROR(INDEX('INPUT-SIF_Questions'!$G$2:$G$300,MATCH($A23,'INPUT-SIF_Questions'!$A$2:$A$300,0)),""))</f>
        <v>Y</v>
      </c>
      <c r="N23" s="29">
        <f>IF($A23="","",IFERROR(INDEX('INPUT-SIF_Questions'!$E$2:$E$300,MATCH($A23,'INPUT-SIF_Questions'!$A$2:$A$300,0)),""))</f>
        <v>0</v>
      </c>
    </row>
    <row r="24" spans="1:14" ht="28.5" customHeight="1" x14ac:dyDescent="0.45">
      <c r="A24" s="29" t="s">
        <v>132</v>
      </c>
      <c r="B24" s="15" t="s">
        <v>92</v>
      </c>
      <c r="C24" s="1" t="str">
        <f>IFERROR(VLOOKUP(B24,'DATABASE-DRIFT_LATENT_HP_ERROR'!$A$143:$B$160,2,FALSE()),"")</f>
        <v>Powered System / Isolation of Hazardous Energy</v>
      </c>
      <c r="D24" s="27" t="s">
        <v>829</v>
      </c>
      <c r="E24" s="33" t="s">
        <v>794</v>
      </c>
      <c r="F24" s="1" t="str">
        <f>IFERROR(VLOOKUP(E24,'DATABASE-DRIFT_LATENT_HP_ERROR'!$A$81:$B$85,2,FALSE()),"")</f>
        <v>Latent.1</v>
      </c>
      <c r="G24" s="34" t="s">
        <v>830</v>
      </c>
      <c r="H24" s="3" t="str">
        <f>IFERROR(VLOOKUP(G24,'DATABASE-DRIFT_LATENT_HP_ERROR'!$B$88:$D$137,3,FALSE()),"")</f>
        <v>Materi training terlalu administratif dan tidak membangun critical thinking.</v>
      </c>
      <c r="K24" s="29">
        <f>IF($A24="","",IFERROR(INDEX('INPUT-SIF_Questions'!$B$2:$B$300,MATCH($A24,'INPUT-SIF_Questions'!$A$2:$A$300,0)),""))</f>
        <v>1</v>
      </c>
      <c r="L24" s="29" t="str">
        <f>IF($A24="","",IFERROR(INDEX('INPUT-SIF_Questions'!$F$2:$F$300,MATCH($A24,'INPUT-SIF_Questions'!$A$2:$A$300,0)),""))</f>
        <v>Baseline</v>
      </c>
      <c r="M24" s="29" t="str">
        <f>IF($A24="","",IFERROR(INDEX('INPUT-SIF_Questions'!$G$2:$G$300,MATCH($A24,'INPUT-SIF_Questions'!$A$2:$A$300,0)),""))</f>
        <v>Y</v>
      </c>
      <c r="N24" s="29">
        <f>IF($A24="","",IFERROR(INDEX('INPUT-SIF_Questions'!$E$2:$E$300,MATCH($A24,'INPUT-SIF_Questions'!$A$2:$A$300,0)),""))</f>
        <v>0</v>
      </c>
    </row>
    <row r="25" spans="1:14" ht="28.5" customHeight="1" x14ac:dyDescent="0.45">
      <c r="A25" s="29" t="s">
        <v>132</v>
      </c>
      <c r="B25" s="15" t="s">
        <v>92</v>
      </c>
      <c r="C25" s="1" t="str">
        <f>IFERROR(VLOOKUP(B25,'DATABASE-DRIFT_LATENT_HP_ERROR'!$A$143:$B$160,2,FALSE()),"")</f>
        <v>Powered System / Isolation of Hazardous Energy</v>
      </c>
      <c r="D25" s="27" t="s">
        <v>831</v>
      </c>
      <c r="E25" s="33" t="s">
        <v>823</v>
      </c>
      <c r="F25" s="1" t="str">
        <f>IFERROR(VLOOKUP(E25,'DATABASE-DRIFT_LATENT_HP_ERROR'!$A$81:$B$85,2,FALSE()),"")</f>
        <v>Latent.5</v>
      </c>
      <c r="G25" s="34" t="s">
        <v>832</v>
      </c>
      <c r="H25" s="3" t="str">
        <f>IFERROR(VLOOKUP(G25,'DATABASE-DRIFT_LATENT_HP_ERROR'!$B$88:$D$137,3,FALSE()),"")</f>
        <v>Keterbatasan equipment mempengaruhi keselamatan kerja.</v>
      </c>
      <c r="K25" s="29">
        <f>IF($A25="","",IFERROR(INDEX('INPUT-SIF_Questions'!$B$2:$B$300,MATCH($A25,'INPUT-SIF_Questions'!$A$2:$A$300,0)),""))</f>
        <v>1</v>
      </c>
      <c r="L25" s="29" t="str">
        <f>IF($A25="","",IFERROR(INDEX('INPUT-SIF_Questions'!$F$2:$F$300,MATCH($A25,'INPUT-SIF_Questions'!$A$2:$A$300,0)),""))</f>
        <v>Baseline</v>
      </c>
      <c r="M25" s="29" t="str">
        <f>IF($A25="","",IFERROR(INDEX('INPUT-SIF_Questions'!$G$2:$G$300,MATCH($A25,'INPUT-SIF_Questions'!$A$2:$A$300,0)),""))</f>
        <v>Y</v>
      </c>
      <c r="N25" s="29">
        <f>IF($A25="","",IFERROR(INDEX('INPUT-SIF_Questions'!$E$2:$E$300,MATCH($A25,'INPUT-SIF_Questions'!$A$2:$A$300,0)),""))</f>
        <v>0</v>
      </c>
    </row>
    <row r="26" spans="1:14" ht="28.5" customHeight="1" x14ac:dyDescent="0.45">
      <c r="A26" s="29" t="s">
        <v>132</v>
      </c>
      <c r="B26" s="15" t="s">
        <v>92</v>
      </c>
      <c r="C26" s="1" t="str">
        <f>IFERROR(VLOOKUP(B26,'DATABASE-DRIFT_LATENT_HP_ERROR'!$A$143:$B$160,2,FALSE()),"")</f>
        <v>Powered System / Isolation of Hazardous Energy</v>
      </c>
      <c r="D26" s="27" t="s">
        <v>833</v>
      </c>
      <c r="E26" s="33" t="s">
        <v>801</v>
      </c>
      <c r="F26" s="1" t="str">
        <f>IFERROR(VLOOKUP(E26,'DATABASE-DRIFT_LATENT_HP_ERROR'!$A$81:$B$85,2,FALSE()),"")</f>
        <v>Latent.2</v>
      </c>
      <c r="G26" s="34" t="s">
        <v>808</v>
      </c>
      <c r="H26" s="3" t="str">
        <f>IFERROR(VLOOKUP(G26,'DATABASE-DRIFT_LATENT_HP_ERROR'!$B$88:$D$137,3,FALSE()),"")</f>
        <v>SWC tidak efektif membantu hazard recognition.</v>
      </c>
      <c r="K26" s="29">
        <f>IF($A26="","",IFERROR(INDEX('INPUT-SIF_Questions'!$B$2:$B$300,MATCH($A26,'INPUT-SIF_Questions'!$A$2:$A$300,0)),""))</f>
        <v>1</v>
      </c>
      <c r="L26" s="29" t="str">
        <f>IF($A26="","",IFERROR(INDEX('INPUT-SIF_Questions'!$F$2:$F$300,MATCH($A26,'INPUT-SIF_Questions'!$A$2:$A$300,0)),""))</f>
        <v>Baseline</v>
      </c>
      <c r="M26" s="29" t="str">
        <f>IF($A26="","",IFERROR(INDEX('INPUT-SIF_Questions'!$G$2:$G$300,MATCH($A26,'INPUT-SIF_Questions'!$A$2:$A$300,0)),""))</f>
        <v>Y</v>
      </c>
      <c r="N26" s="29">
        <f>IF($A26="","",IFERROR(INDEX('INPUT-SIF_Questions'!$E$2:$E$300,MATCH($A26,'INPUT-SIF_Questions'!$A$2:$A$300,0)),""))</f>
        <v>0</v>
      </c>
    </row>
    <row r="27" spans="1:14" ht="28.5" customHeight="1" x14ac:dyDescent="0.45">
      <c r="A27" s="29" t="s">
        <v>132</v>
      </c>
      <c r="B27" s="15" t="s">
        <v>92</v>
      </c>
      <c r="C27" s="1" t="str">
        <f>IFERROR(VLOOKUP(B27,'DATABASE-DRIFT_LATENT_HP_ERROR'!$A$143:$B$160,2,FALSE()),"")</f>
        <v>Powered System / Isolation of Hazardous Energy</v>
      </c>
      <c r="D27" s="27" t="s">
        <v>834</v>
      </c>
      <c r="E27" s="33" t="s">
        <v>823</v>
      </c>
      <c r="F27" s="1" t="str">
        <f>IFERROR(VLOOKUP(E27,'DATABASE-DRIFT_LATENT_HP_ERROR'!$A$81:$B$85,2,FALSE()),"")</f>
        <v>Latent.5</v>
      </c>
      <c r="G27" s="34" t="s">
        <v>835</v>
      </c>
      <c r="H27" s="3" t="str">
        <f>IFERROR(VLOOKUP(G27,'DATABASE-DRIFT_LATENT_HP_ERROR'!$B$88:$D$137,3,FALSE()),"")</f>
        <v>Safeguard engineering tidak cukup kuat.</v>
      </c>
      <c r="K27" s="29">
        <f>IF($A27="","",IFERROR(INDEX('INPUT-SIF_Questions'!$B$2:$B$300,MATCH($A27,'INPUT-SIF_Questions'!$A$2:$A$300,0)),""))</f>
        <v>1</v>
      </c>
      <c r="L27" s="29" t="str">
        <f>IF($A27="","",IFERROR(INDEX('INPUT-SIF_Questions'!$F$2:$F$300,MATCH($A27,'INPUT-SIF_Questions'!$A$2:$A$300,0)),""))</f>
        <v>Baseline</v>
      </c>
      <c r="M27" s="29" t="str">
        <f>IF($A27="","",IFERROR(INDEX('INPUT-SIF_Questions'!$G$2:$G$300,MATCH($A27,'INPUT-SIF_Questions'!$A$2:$A$300,0)),""))</f>
        <v>Y</v>
      </c>
      <c r="N27" s="29">
        <f>IF($A27="","",IFERROR(INDEX('INPUT-SIF_Questions'!$E$2:$E$300,MATCH($A27,'INPUT-SIF_Questions'!$A$2:$A$300,0)),""))</f>
        <v>0</v>
      </c>
    </row>
    <row r="28" spans="1:14" ht="35.25" customHeight="1" x14ac:dyDescent="0.45">
      <c r="A28" s="29" t="s">
        <v>132</v>
      </c>
      <c r="B28" s="15" t="s">
        <v>92</v>
      </c>
      <c r="C28" s="1" t="str">
        <f>IFERROR(VLOOKUP(B28,'DATABASE-DRIFT_LATENT_HP_ERROR'!$A$143:$B$160,2,FALSE()),"")</f>
        <v>Powered System / Isolation of Hazardous Energy</v>
      </c>
      <c r="D28" s="27" t="s">
        <v>836</v>
      </c>
      <c r="E28" s="33" t="s">
        <v>816</v>
      </c>
      <c r="F28" s="1" t="str">
        <f>IFERROR(VLOOKUP(E28,'DATABASE-DRIFT_LATENT_HP_ERROR'!$A$81:$B$85,2,FALSE()),"")</f>
        <v>Latent.4</v>
      </c>
      <c r="G28" s="34" t="s">
        <v>837</v>
      </c>
      <c r="H28" s="3" t="str">
        <f>IFERROR(VLOOKUP(G28,'DATABASE-DRIFT_LATENT_HP_ERROR'!$B$88:$D$137,3,FALSE()),"")</f>
        <v>Hazard penting tidak teridentifikasi pada tahap planning.</v>
      </c>
      <c r="K28" s="29">
        <f>IF($A28="","",IFERROR(INDEX('INPUT-SIF_Questions'!$B$2:$B$300,MATCH($A28,'INPUT-SIF_Questions'!$A$2:$A$300,0)),""))</f>
        <v>1</v>
      </c>
      <c r="L28" s="29" t="str">
        <f>IF($A28="","",IFERROR(INDEX('INPUT-SIF_Questions'!$F$2:$F$300,MATCH($A28,'INPUT-SIF_Questions'!$A$2:$A$300,0)),""))</f>
        <v>Baseline</v>
      </c>
      <c r="M28" s="29" t="str">
        <f>IF($A28="","",IFERROR(INDEX('INPUT-SIF_Questions'!$G$2:$G$300,MATCH($A28,'INPUT-SIF_Questions'!$A$2:$A$300,0)),""))</f>
        <v>Y</v>
      </c>
      <c r="N28" s="29">
        <f>IF($A28="","",IFERROR(INDEX('INPUT-SIF_Questions'!$E$2:$E$300,MATCH($A28,'INPUT-SIF_Questions'!$A$2:$A$300,0)),""))</f>
        <v>0</v>
      </c>
    </row>
    <row r="29" spans="1:14" ht="28.5" customHeight="1" x14ac:dyDescent="0.45">
      <c r="A29" s="29" t="s">
        <v>142</v>
      </c>
      <c r="B29" s="15" t="s">
        <v>143</v>
      </c>
      <c r="C29" s="1" t="str">
        <f>IFERROR(VLOOKUP(B29,'DATABASE-DRIFT_LATENT_HP_ERROR'!$A$143:$B$160,2,FALSE()),"")</f>
        <v>Ground Disturbance or Excavation</v>
      </c>
      <c r="D29" s="27" t="s">
        <v>839</v>
      </c>
      <c r="E29" s="33" t="s">
        <v>794</v>
      </c>
      <c r="F29" s="1" t="str">
        <f>IFERROR(VLOOKUP(E29,'DATABASE-DRIFT_LATENT_HP_ERROR'!$A$81:$B$85,2,FALSE()),"")</f>
        <v>Latent.1</v>
      </c>
      <c r="G29" s="3" t="s">
        <v>830</v>
      </c>
      <c r="H29" s="3" t="str">
        <f>IFERROR(VLOOKUP(G29,'DATABASE-DRIFT_LATENT_HP_ERROR'!$B$88:$D$137,3,FALSE()),"")</f>
        <v>Materi training terlalu administratif dan tidak membangun critical thinking.</v>
      </c>
      <c r="K29" s="29">
        <f>IF($A29="","",IFERROR(INDEX('INPUT-SIF_Questions'!$B$2:$B$300,MATCH($A29,'INPUT-SIF_Questions'!$A$2:$A$300,0)),""))</f>
        <v>1</v>
      </c>
      <c r="L29" s="29" t="str">
        <f>IF($A29="","",IFERROR(INDEX('INPUT-SIF_Questions'!$F$2:$F$300,MATCH($A29,'INPUT-SIF_Questions'!$A$2:$A$300,0)),""))</f>
        <v>Baseline</v>
      </c>
      <c r="M29" s="29" t="str">
        <f>IF($A29="","",IFERROR(INDEX('INPUT-SIF_Questions'!$G$2:$G$300,MATCH($A29,'INPUT-SIF_Questions'!$A$2:$A$300,0)),""))</f>
        <v>Y</v>
      </c>
      <c r="N29" s="29">
        <f>IF($A29="","",IFERROR(INDEX('INPUT-SIF_Questions'!$E$2:$E$300,MATCH($A29,'INPUT-SIF_Questions'!$A$2:$A$300,0)),""))</f>
        <v>0</v>
      </c>
    </row>
    <row r="30" spans="1:14" ht="28.5" customHeight="1" x14ac:dyDescent="0.45">
      <c r="A30" s="29" t="s">
        <v>142</v>
      </c>
      <c r="B30" s="15" t="s">
        <v>143</v>
      </c>
      <c r="C30" s="1" t="str">
        <f>IFERROR(VLOOKUP(B30,'DATABASE-DRIFT_LATENT_HP_ERROR'!$A$143:$B$160,2,FALSE()),"")</f>
        <v>Ground Disturbance or Excavation</v>
      </c>
      <c r="D30" s="27" t="s">
        <v>840</v>
      </c>
      <c r="E30" s="33" t="s">
        <v>794</v>
      </c>
      <c r="F30" s="1" t="str">
        <f>IFERROR(VLOOKUP(E30,'DATABASE-DRIFT_LATENT_HP_ERROR'!$A$81:$B$85,2,FALSE()),"")</f>
        <v>Latent.1</v>
      </c>
      <c r="G30" s="3" t="s">
        <v>841</v>
      </c>
      <c r="H30" s="3" t="str">
        <f>IFERROR(VLOOKUP(G30,'DATABASE-DRIFT_LATENT_HP_ERROR'!$B$88:$D$137,3,FALSE()),"")</f>
        <v>Personel tidak memahami aspek teknikal pekerjaan atau safeguard.</v>
      </c>
      <c r="K30" s="29">
        <f>IF($A30="","",IFERROR(INDEX('INPUT-SIF_Questions'!$B$2:$B$300,MATCH($A30,'INPUT-SIF_Questions'!$A$2:$A$300,0)),""))</f>
        <v>1</v>
      </c>
      <c r="L30" s="29" t="str">
        <f>IF($A30="","",IFERROR(INDEX('INPUT-SIF_Questions'!$F$2:$F$300,MATCH($A30,'INPUT-SIF_Questions'!$A$2:$A$300,0)),""))</f>
        <v>Baseline</v>
      </c>
      <c r="M30" s="29" t="str">
        <f>IF($A30="","",IFERROR(INDEX('INPUT-SIF_Questions'!$G$2:$G$300,MATCH($A30,'INPUT-SIF_Questions'!$A$2:$A$300,0)),""))</f>
        <v>Y</v>
      </c>
      <c r="N30" s="29">
        <f>IF($A30="","",IFERROR(INDEX('INPUT-SIF_Questions'!$E$2:$E$300,MATCH($A30,'INPUT-SIF_Questions'!$A$2:$A$300,0)),""))</f>
        <v>0</v>
      </c>
    </row>
    <row r="31" spans="1:14" ht="21" customHeight="1" x14ac:dyDescent="0.45">
      <c r="A31" s="29" t="s">
        <v>142</v>
      </c>
      <c r="B31" s="15" t="s">
        <v>143</v>
      </c>
      <c r="C31" s="1" t="str">
        <f>IFERROR(VLOOKUP(B31,'DATABASE-DRIFT_LATENT_HP_ERROR'!$A$143:$B$160,2,FALSE()),"")</f>
        <v>Ground Disturbance or Excavation</v>
      </c>
      <c r="D31" s="27" t="s">
        <v>842</v>
      </c>
      <c r="E31" s="33" t="s">
        <v>794</v>
      </c>
      <c r="F31" s="1" t="str">
        <f>IFERROR(VLOOKUP(E31,'DATABASE-DRIFT_LATENT_HP_ERROR'!$A$81:$B$85,2,FALSE()),"")</f>
        <v>Latent.1</v>
      </c>
      <c r="G31" s="3" t="s">
        <v>843</v>
      </c>
      <c r="H31" s="3" t="str">
        <f>IFERROR(VLOOKUP(G31,'DATABASE-DRIFT_LATENT_HP_ERROR'!$B$88:$D$137,3,FALSE()),"")</f>
        <v>Requirement permit/PTW tidak dipahami secara teknikal.</v>
      </c>
      <c r="K31" s="29">
        <f>IF($A31="","",IFERROR(INDEX('INPUT-SIF_Questions'!$B$2:$B$300,MATCH($A31,'INPUT-SIF_Questions'!$A$2:$A$300,0)),""))</f>
        <v>1</v>
      </c>
      <c r="L31" s="29" t="str">
        <f>IF($A31="","",IFERROR(INDEX('INPUT-SIF_Questions'!$F$2:$F$300,MATCH($A31,'INPUT-SIF_Questions'!$A$2:$A$300,0)),""))</f>
        <v>Baseline</v>
      </c>
      <c r="M31" s="29" t="str">
        <f>IF($A31="","",IFERROR(INDEX('INPUT-SIF_Questions'!$G$2:$G$300,MATCH($A31,'INPUT-SIF_Questions'!$A$2:$A$300,0)),""))</f>
        <v>Y</v>
      </c>
      <c r="N31" s="29">
        <f>IF($A31="","",IFERROR(INDEX('INPUT-SIF_Questions'!$E$2:$E$300,MATCH($A31,'INPUT-SIF_Questions'!$A$2:$A$300,0)),""))</f>
        <v>0</v>
      </c>
    </row>
    <row r="32" spans="1:14" ht="28.5" customHeight="1" x14ac:dyDescent="0.45">
      <c r="A32" s="29" t="s">
        <v>142</v>
      </c>
      <c r="B32" s="15" t="s">
        <v>143</v>
      </c>
      <c r="C32" s="1" t="str">
        <f>IFERROR(VLOOKUP(B32,'DATABASE-DRIFT_LATENT_HP_ERROR'!$A$143:$B$160,2,FALSE()),"")</f>
        <v>Ground Disturbance or Excavation</v>
      </c>
      <c r="D32" s="27" t="s">
        <v>844</v>
      </c>
      <c r="E32" s="33" t="s">
        <v>810</v>
      </c>
      <c r="F32" s="1" t="str">
        <f>IFERROR(VLOOKUP(E32,'DATABASE-DRIFT_LATENT_HP_ERROR'!$A$81:$B$85,2,FALSE()),"")</f>
        <v>Latent.3</v>
      </c>
      <c r="G32" s="3" t="s">
        <v>812</v>
      </c>
      <c r="H32" s="3" t="str">
        <f>IFERROR(VLOOKUP(G32,'DATABASE-DRIFT_LATENT_HP_ERROR'!$B$88:$D$137,3,FALSE()),"")</f>
        <v>Validasi lapangan tidak cukup mendalam.</v>
      </c>
      <c r="K32" s="29">
        <f>IF($A32="","",IFERROR(INDEX('INPUT-SIF_Questions'!$B$2:$B$300,MATCH($A32,'INPUT-SIF_Questions'!$A$2:$A$300,0)),""))</f>
        <v>1</v>
      </c>
      <c r="L32" s="29" t="str">
        <f>IF($A32="","",IFERROR(INDEX('INPUT-SIF_Questions'!$F$2:$F$300,MATCH($A32,'INPUT-SIF_Questions'!$A$2:$A$300,0)),""))</f>
        <v>Baseline</v>
      </c>
      <c r="M32" s="29" t="str">
        <f>IF($A32="","",IFERROR(INDEX('INPUT-SIF_Questions'!$G$2:$G$300,MATCH($A32,'INPUT-SIF_Questions'!$A$2:$A$300,0)),""))</f>
        <v>Y</v>
      </c>
      <c r="N32" s="29">
        <f>IF($A32="","",IFERROR(INDEX('INPUT-SIF_Questions'!$E$2:$E$300,MATCH($A32,'INPUT-SIF_Questions'!$A$2:$A$300,0)),""))</f>
        <v>0</v>
      </c>
    </row>
    <row r="33" spans="1:14" ht="28.5" customHeight="1" x14ac:dyDescent="0.45">
      <c r="A33" s="29" t="s">
        <v>142</v>
      </c>
      <c r="B33" s="15" t="s">
        <v>143</v>
      </c>
      <c r="C33" s="1" t="str">
        <f>IFERROR(VLOOKUP(B33,'DATABASE-DRIFT_LATENT_HP_ERROR'!$A$143:$B$160,2,FALSE()),"")</f>
        <v>Ground Disturbance or Excavation</v>
      </c>
      <c r="D33" s="27" t="s">
        <v>845</v>
      </c>
      <c r="E33" s="33" t="s">
        <v>794</v>
      </c>
      <c r="F33" s="1" t="str">
        <f>IFERROR(VLOOKUP(E33,'DATABASE-DRIFT_LATENT_HP_ERROR'!$A$81:$B$85,2,FALSE()),"")</f>
        <v>Latent.1</v>
      </c>
      <c r="G33" s="3" t="s">
        <v>846</v>
      </c>
      <c r="H33" s="3" t="str">
        <f>IFERROR(VLOOKUP(G33,'DATABASE-DRIFT_LATENT_HP_ERROR'!$B$88:$D$137,3,FALSE()),"")</f>
        <v>Personel tidak mampu mengenali hazard aktual pekerjaan.</v>
      </c>
      <c r="K33" s="29">
        <f>IF($A33="","",IFERROR(INDEX('INPUT-SIF_Questions'!$B$2:$B$300,MATCH($A33,'INPUT-SIF_Questions'!$A$2:$A$300,0)),""))</f>
        <v>1</v>
      </c>
      <c r="L33" s="29" t="str">
        <f>IF($A33="","",IFERROR(INDEX('INPUT-SIF_Questions'!$F$2:$F$300,MATCH($A33,'INPUT-SIF_Questions'!$A$2:$A$300,0)),""))</f>
        <v>Baseline</v>
      </c>
      <c r="M33" s="29" t="str">
        <f>IF($A33="","",IFERROR(INDEX('INPUT-SIF_Questions'!$G$2:$G$300,MATCH($A33,'INPUT-SIF_Questions'!$A$2:$A$300,0)),""))</f>
        <v>Y</v>
      </c>
      <c r="N33" s="29">
        <f>IF($A33="","",IFERROR(INDEX('INPUT-SIF_Questions'!$E$2:$E$300,MATCH($A33,'INPUT-SIF_Questions'!$A$2:$A$300,0)),""))</f>
        <v>0</v>
      </c>
    </row>
    <row r="34" spans="1:14" ht="35.25" customHeight="1" x14ac:dyDescent="0.45">
      <c r="A34" s="29" t="s">
        <v>142</v>
      </c>
      <c r="B34" s="15" t="s">
        <v>143</v>
      </c>
      <c r="C34" s="1" t="str">
        <f>IFERROR(VLOOKUP(B34,'DATABASE-DRIFT_LATENT_HP_ERROR'!$A$143:$B$160,2,FALSE()),"")</f>
        <v>Ground Disturbance or Excavation</v>
      </c>
      <c r="D34" s="27" t="s">
        <v>847</v>
      </c>
      <c r="E34" s="33" t="s">
        <v>801</v>
      </c>
      <c r="F34" s="1" t="str">
        <f>IFERROR(VLOOKUP(E34,'DATABASE-DRIFT_LATENT_HP_ERROR'!$A$81:$B$85,2,FALSE()),"")</f>
        <v>Latent.2</v>
      </c>
      <c r="G34" s="3" t="s">
        <v>848</v>
      </c>
      <c r="H34" s="3" t="str">
        <f>IFERROR(VLOOKUP(G34,'DATABASE-DRIFT_LATENT_HP_ERROR'!$B$88:$D$137,3,FALSE()),"")</f>
        <v>Prosedur sulit diterapkan di kondisi lapangan aktual.</v>
      </c>
      <c r="K34" s="29">
        <f>IF($A34="","",IFERROR(INDEX('INPUT-SIF_Questions'!$B$2:$B$300,MATCH($A34,'INPUT-SIF_Questions'!$A$2:$A$300,0)),""))</f>
        <v>1</v>
      </c>
      <c r="L34" s="29" t="str">
        <f>IF($A34="","",IFERROR(INDEX('INPUT-SIF_Questions'!$F$2:$F$300,MATCH($A34,'INPUT-SIF_Questions'!$A$2:$A$300,0)),""))</f>
        <v>Baseline</v>
      </c>
      <c r="M34" s="29" t="str">
        <f>IF($A34="","",IFERROR(INDEX('INPUT-SIF_Questions'!$G$2:$G$300,MATCH($A34,'INPUT-SIF_Questions'!$A$2:$A$300,0)),""))</f>
        <v>Y</v>
      </c>
      <c r="N34" s="29">
        <f>IF($A34="","",IFERROR(INDEX('INPUT-SIF_Questions'!$E$2:$E$300,MATCH($A34,'INPUT-SIF_Questions'!$A$2:$A$300,0)),""))</f>
        <v>0</v>
      </c>
    </row>
    <row r="35" spans="1:14" ht="21" customHeight="1" x14ac:dyDescent="0.45">
      <c r="A35" s="29" t="s">
        <v>142</v>
      </c>
      <c r="B35" s="15" t="s">
        <v>143</v>
      </c>
      <c r="C35" s="1" t="str">
        <f>IFERROR(VLOOKUP(B35,'DATABASE-DRIFT_LATENT_HP_ERROR'!$A$143:$B$160,2,FALSE()),"")</f>
        <v>Ground Disturbance or Excavation</v>
      </c>
      <c r="D35" s="27" t="s">
        <v>849</v>
      </c>
      <c r="E35" s="33" t="s">
        <v>816</v>
      </c>
      <c r="F35" s="1" t="str">
        <f>IFERROR(VLOOKUP(E35,'DATABASE-DRIFT_LATENT_HP_ERROR'!$A$81:$B$85,2,FALSE()),"")</f>
        <v>Latent.4</v>
      </c>
      <c r="G35" s="3" t="s">
        <v>837</v>
      </c>
      <c r="H35" s="3" t="str">
        <f>IFERROR(VLOOKUP(G35,'DATABASE-DRIFT_LATENT_HP_ERROR'!$B$88:$D$137,3,FALSE()),"")</f>
        <v>Hazard penting tidak teridentifikasi pada tahap planning.</v>
      </c>
      <c r="K35" s="29">
        <f>IF($A35="","",IFERROR(INDEX('INPUT-SIF_Questions'!$B$2:$B$300,MATCH($A35,'INPUT-SIF_Questions'!$A$2:$A$300,0)),""))</f>
        <v>1</v>
      </c>
      <c r="L35" s="29" t="str">
        <f>IF($A35="","",IFERROR(INDEX('INPUT-SIF_Questions'!$F$2:$F$300,MATCH($A35,'INPUT-SIF_Questions'!$A$2:$A$300,0)),""))</f>
        <v>Baseline</v>
      </c>
      <c r="M35" s="29" t="str">
        <f>IF($A35="","",IFERROR(INDEX('INPUT-SIF_Questions'!$G$2:$G$300,MATCH($A35,'INPUT-SIF_Questions'!$A$2:$A$300,0)),""))</f>
        <v>Y</v>
      </c>
      <c r="N35" s="29">
        <f>IF($A35="","",IFERROR(INDEX('INPUT-SIF_Questions'!$E$2:$E$300,MATCH($A35,'INPUT-SIF_Questions'!$A$2:$A$300,0)),""))</f>
        <v>0</v>
      </c>
    </row>
    <row r="36" spans="1:14" ht="28.5" customHeight="1" x14ac:dyDescent="0.45">
      <c r="A36" s="29" t="s">
        <v>142</v>
      </c>
      <c r="B36" s="15" t="s">
        <v>143</v>
      </c>
      <c r="C36" s="1" t="str">
        <f>IFERROR(VLOOKUP(B36,'DATABASE-DRIFT_LATENT_HP_ERROR'!$A$143:$B$160,2,FALSE()),"")</f>
        <v>Ground Disturbance or Excavation</v>
      </c>
      <c r="D36" s="27" t="s">
        <v>850</v>
      </c>
      <c r="E36" s="33" t="s">
        <v>801</v>
      </c>
      <c r="F36" s="1" t="str">
        <f>IFERROR(VLOOKUP(E36,'DATABASE-DRIFT_LATENT_HP_ERROR'!$A$81:$B$85,2,FALSE()),"")</f>
        <v>Latent.2</v>
      </c>
      <c r="G36" s="3" t="s">
        <v>851</v>
      </c>
      <c r="H36" s="3" t="str">
        <f>IFERROR(VLOOKUP(G36,'DATABASE-DRIFT_LATENT_HP_ERROR'!$B$88:$D$137,3,FALSE()),"")</f>
        <v>Visual/gambar tidak membantu pemahaman lapangan.</v>
      </c>
      <c r="K36" s="29">
        <f>IF($A36="","",IFERROR(INDEX('INPUT-SIF_Questions'!$B$2:$B$300,MATCH($A36,'INPUT-SIF_Questions'!$A$2:$A$300,0)),""))</f>
        <v>1</v>
      </c>
      <c r="L36" s="29" t="str">
        <f>IF($A36="","",IFERROR(INDEX('INPUT-SIF_Questions'!$F$2:$F$300,MATCH($A36,'INPUT-SIF_Questions'!$A$2:$A$300,0)),""))</f>
        <v>Baseline</v>
      </c>
      <c r="M36" s="29" t="str">
        <f>IF($A36="","",IFERROR(INDEX('INPUT-SIF_Questions'!$G$2:$G$300,MATCH($A36,'INPUT-SIF_Questions'!$A$2:$A$300,0)),""))</f>
        <v>Y</v>
      </c>
      <c r="N36" s="29">
        <f>IF($A36="","",IFERROR(INDEX('INPUT-SIF_Questions'!$E$2:$E$300,MATCH($A36,'INPUT-SIF_Questions'!$A$2:$A$300,0)),""))</f>
        <v>0</v>
      </c>
    </row>
    <row r="37" spans="1:14" ht="28.5" customHeight="1" x14ac:dyDescent="0.45">
      <c r="A37" s="29" t="s">
        <v>170</v>
      </c>
      <c r="B37" s="15" t="s">
        <v>34</v>
      </c>
      <c r="C37" s="1" t="str">
        <f>IFERROR(VLOOKUP(B37,'DATABASE-DRIFT_LATENT_HP_ERROR'!$A$143:$B$160,2,FALSE()),"")</f>
        <v>Work at Height</v>
      </c>
      <c r="D37" s="27" t="s">
        <v>852</v>
      </c>
      <c r="E37" s="33" t="s">
        <v>794</v>
      </c>
      <c r="F37" s="1" t="str">
        <f>IFERROR(VLOOKUP(E37,'DATABASE-DRIFT_LATENT_HP_ERROR'!$A$81:$B$85,2,FALSE()),"")</f>
        <v>Latent.1</v>
      </c>
      <c r="G37" s="34" t="s">
        <v>795</v>
      </c>
      <c r="H37" s="29" t="str">
        <f>IFERROR(VLOOKUP(G37,'DATABASE-DRIFT_LATENT_HP_ERROR'!$B$88:$D$137,3,FALSE()),"")</f>
        <v>Hierarchy of control WAH tidak dipahami.</v>
      </c>
      <c r="K37" s="29">
        <f>IF($A37="","",IFERROR(INDEX('INPUT-SIF_Questions'!$B$2:$B$300,MATCH($A37,'INPUT-SIF_Questions'!$A$2:$A$300,0)),""))</f>
        <v>1</v>
      </c>
      <c r="L37" s="29" t="str">
        <f>IF($A37="","",IFERROR(INDEX('INPUT-SIF_Questions'!$F$2:$F$300,MATCH($A37,'INPUT-SIF_Questions'!$A$2:$A$300,0)),""))</f>
        <v>Baseline</v>
      </c>
      <c r="M37" s="29" t="str">
        <f>IF($A37="","",IFERROR(INDEX('INPUT-SIF_Questions'!$G$2:$G$300,MATCH($A37,'INPUT-SIF_Questions'!$A$2:$A$300,0)),""))</f>
        <v>Y</v>
      </c>
      <c r="N37" s="29">
        <f>IF($A37="","",IFERROR(INDEX('INPUT-SIF_Questions'!$E$2:$E$300,MATCH($A37,'INPUT-SIF_Questions'!$A$2:$A$300,0)),""))</f>
        <v>0</v>
      </c>
    </row>
    <row r="38" spans="1:14" ht="21" customHeight="1" x14ac:dyDescent="0.45">
      <c r="A38" s="29" t="s">
        <v>170</v>
      </c>
      <c r="B38" s="15" t="s">
        <v>34</v>
      </c>
      <c r="C38" s="1" t="str">
        <f>IFERROR(VLOOKUP(B38,'DATABASE-DRIFT_LATENT_HP_ERROR'!$A$143:$B$160,2,FALSE()),"")</f>
        <v>Work at Height</v>
      </c>
      <c r="D38" s="27" t="s">
        <v>853</v>
      </c>
      <c r="E38" s="33" t="s">
        <v>794</v>
      </c>
      <c r="F38" s="1" t="str">
        <f>IFERROR(VLOOKUP(E38,'DATABASE-DRIFT_LATENT_HP_ERROR'!$A$81:$B$85,2,FALSE()),"")</f>
        <v>Latent.1</v>
      </c>
      <c r="G38" s="34" t="s">
        <v>854</v>
      </c>
      <c r="H38" s="29" t="str">
        <f>IFERROR(VLOOKUP(G38,'DATABASE-DRIFT_LATENT_HP_ERROR'!$B$88:$D$137,3,FALSE()),"")</f>
        <v>Critical safeguard dipahami tidak sesuai intent engineering/safety.</v>
      </c>
      <c r="K38" s="29">
        <f>IF($A38="","",IFERROR(INDEX('INPUT-SIF_Questions'!$B$2:$B$300,MATCH($A38,'INPUT-SIF_Questions'!$A$2:$A$300,0)),""))</f>
        <v>1</v>
      </c>
      <c r="L38" s="29" t="str">
        <f>IF($A38="","",IFERROR(INDEX('INPUT-SIF_Questions'!$F$2:$F$300,MATCH($A38,'INPUT-SIF_Questions'!$A$2:$A$300,0)),""))</f>
        <v>Baseline</v>
      </c>
      <c r="M38" s="29" t="str">
        <f>IF($A38="","",IFERROR(INDEX('INPUT-SIF_Questions'!$G$2:$G$300,MATCH($A38,'INPUT-SIF_Questions'!$A$2:$A$300,0)),""))</f>
        <v>Y</v>
      </c>
      <c r="N38" s="29">
        <f>IF($A38="","",IFERROR(INDEX('INPUT-SIF_Questions'!$E$2:$E$300,MATCH($A38,'INPUT-SIF_Questions'!$A$2:$A$300,0)),""))</f>
        <v>0</v>
      </c>
    </row>
    <row r="39" spans="1:14" ht="21" customHeight="1" x14ac:dyDescent="0.45">
      <c r="A39" s="29" t="s">
        <v>170</v>
      </c>
      <c r="B39" s="15" t="s">
        <v>34</v>
      </c>
      <c r="C39" s="1" t="str">
        <f>IFERROR(VLOOKUP(B39,'DATABASE-DRIFT_LATENT_HP_ERROR'!$A$143:$B$160,2,FALSE()),"")</f>
        <v>Work at Height</v>
      </c>
      <c r="D39" s="27" t="s">
        <v>855</v>
      </c>
      <c r="E39" s="33" t="s">
        <v>794</v>
      </c>
      <c r="F39" s="1" t="str">
        <f>IFERROR(VLOOKUP(E39,'DATABASE-DRIFT_LATENT_HP_ERROR'!$A$81:$B$85,2,FALSE()),"")</f>
        <v>Latent.1</v>
      </c>
      <c r="G39" s="34" t="s">
        <v>797</v>
      </c>
      <c r="H39" s="29" t="str">
        <f>IFERROR(VLOOKUP(G39,'DATABASE-DRIFT_LATENT_HP_ERROR'!$B$88:$D$137,3,FALSE()),"")</f>
        <v>Pemahaman engineering consequence lemah.</v>
      </c>
      <c r="K39" s="29">
        <f>IF($A39="","",IFERROR(INDEX('INPUT-SIF_Questions'!$B$2:$B$300,MATCH($A39,'INPUT-SIF_Questions'!$A$2:$A$300,0)),""))</f>
        <v>1</v>
      </c>
      <c r="L39" s="29" t="str">
        <f>IF($A39="","",IFERROR(INDEX('INPUT-SIF_Questions'!$F$2:$F$300,MATCH($A39,'INPUT-SIF_Questions'!$A$2:$A$300,0)),""))</f>
        <v>Baseline</v>
      </c>
      <c r="M39" s="29" t="str">
        <f>IF($A39="","",IFERROR(INDEX('INPUT-SIF_Questions'!$G$2:$G$300,MATCH($A39,'INPUT-SIF_Questions'!$A$2:$A$300,0)),""))</f>
        <v>Y</v>
      </c>
      <c r="N39" s="29">
        <f>IF($A39="","",IFERROR(INDEX('INPUT-SIF_Questions'!$E$2:$E$300,MATCH($A39,'INPUT-SIF_Questions'!$A$2:$A$300,0)),""))</f>
        <v>0</v>
      </c>
    </row>
    <row r="40" spans="1:14" ht="28.5" customHeight="1" x14ac:dyDescent="0.45">
      <c r="A40" s="29" t="s">
        <v>170</v>
      </c>
      <c r="B40" s="15" t="s">
        <v>34</v>
      </c>
      <c r="C40" s="1" t="str">
        <f>IFERROR(VLOOKUP(B40,'DATABASE-DRIFT_LATENT_HP_ERROR'!$A$143:$B$160,2,FALSE()),"")</f>
        <v>Work at Height</v>
      </c>
      <c r="D40" s="27" t="s">
        <v>856</v>
      </c>
      <c r="E40" s="33" t="s">
        <v>794</v>
      </c>
      <c r="F40" s="1" t="str">
        <f>IFERROR(VLOOKUP(E40,'DATABASE-DRIFT_LATENT_HP_ERROR'!$A$81:$B$85,2,FALSE()),"")</f>
        <v>Latent.1</v>
      </c>
      <c r="G40" s="34" t="s">
        <v>799</v>
      </c>
      <c r="H40" s="29" t="str">
        <f>IFERROR(VLOOKUP(G40,'DATABASE-DRIFT_LATENT_HP_ERROR'!$B$88:$D$137,3,FALSE()),"")</f>
        <v>Personel belum memiliki kompetensi atau sertifikasi sesuai risiko pekerjaan.</v>
      </c>
      <c r="K40" s="29">
        <f>IF($A40="","",IFERROR(INDEX('INPUT-SIF_Questions'!$B$2:$B$300,MATCH($A40,'INPUT-SIF_Questions'!$A$2:$A$300,0)),""))</f>
        <v>1</v>
      </c>
      <c r="L40" s="29" t="str">
        <f>IF($A40="","",IFERROR(INDEX('INPUT-SIF_Questions'!$F$2:$F$300,MATCH($A40,'INPUT-SIF_Questions'!$A$2:$A$300,0)),""))</f>
        <v>Baseline</v>
      </c>
      <c r="M40" s="29" t="str">
        <f>IF($A40="","",IFERROR(INDEX('INPUT-SIF_Questions'!$G$2:$G$300,MATCH($A40,'INPUT-SIF_Questions'!$A$2:$A$300,0)),""))</f>
        <v>Y</v>
      </c>
      <c r="N40" s="29">
        <f>IF($A40="","",IFERROR(INDEX('INPUT-SIF_Questions'!$E$2:$E$300,MATCH($A40,'INPUT-SIF_Questions'!$A$2:$A$300,0)),""))</f>
        <v>0</v>
      </c>
    </row>
    <row r="41" spans="1:14" ht="28.5" customHeight="1" x14ac:dyDescent="0.45">
      <c r="A41" s="29" t="s">
        <v>170</v>
      </c>
      <c r="B41" s="15" t="s">
        <v>34</v>
      </c>
      <c r="C41" s="1" t="str">
        <f>IFERROR(VLOOKUP(B41,'DATABASE-DRIFT_LATENT_HP_ERROR'!$A$143:$B$160,2,FALSE()),"")</f>
        <v>Work at Height</v>
      </c>
      <c r="D41" s="27" t="s">
        <v>857</v>
      </c>
      <c r="E41" s="33" t="s">
        <v>794</v>
      </c>
      <c r="F41" s="1" t="str">
        <f>IFERROR(VLOOKUP(E41,'DATABASE-DRIFT_LATENT_HP_ERROR'!$A$81:$B$85,2,FALSE()),"")</f>
        <v>Latent.1</v>
      </c>
      <c r="G41" s="34" t="s">
        <v>858</v>
      </c>
      <c r="H41" s="29" t="str">
        <f>IFERROR(VLOOKUP(G41,'DATABASE-DRIFT_LATENT_HP_ERROR'!$B$88:$D$137,3,FALSE()),"")</f>
        <v>Kompetensi emergency response/rescue tidak memadai.</v>
      </c>
      <c r="K41" s="29">
        <f>IF($A41="","",IFERROR(INDEX('INPUT-SIF_Questions'!$B$2:$B$300,MATCH($A41,'INPUT-SIF_Questions'!$A$2:$A$300,0)),""))</f>
        <v>1</v>
      </c>
      <c r="L41" s="29" t="str">
        <f>IF($A41="","",IFERROR(INDEX('INPUT-SIF_Questions'!$F$2:$F$300,MATCH($A41,'INPUT-SIF_Questions'!$A$2:$A$300,0)),""))</f>
        <v>Baseline</v>
      </c>
      <c r="M41" s="29" t="str">
        <f>IF($A41="","",IFERROR(INDEX('INPUT-SIF_Questions'!$G$2:$G$300,MATCH($A41,'INPUT-SIF_Questions'!$A$2:$A$300,0)),""))</f>
        <v>Y</v>
      </c>
      <c r="N41" s="29">
        <f>IF($A41="","",IFERROR(INDEX('INPUT-SIF_Questions'!$E$2:$E$300,MATCH($A41,'INPUT-SIF_Questions'!$A$2:$A$300,0)),""))</f>
        <v>0</v>
      </c>
    </row>
    <row r="42" spans="1:14" ht="28.5" customHeight="1" x14ac:dyDescent="0.45">
      <c r="A42" s="29" t="s">
        <v>170</v>
      </c>
      <c r="B42" s="15" t="s">
        <v>34</v>
      </c>
      <c r="C42" s="1" t="str">
        <f>IFERROR(VLOOKUP(B42,'DATABASE-DRIFT_LATENT_HP_ERROR'!$A$143:$B$160,2,FALSE()),"")</f>
        <v>Work at Height</v>
      </c>
      <c r="D42" s="27" t="s">
        <v>859</v>
      </c>
      <c r="E42" s="33" t="s">
        <v>801</v>
      </c>
      <c r="F42" s="1" t="str">
        <f>IFERROR(VLOOKUP(E42,'DATABASE-DRIFT_LATENT_HP_ERROR'!$A$81:$B$85,2,FALSE()),"")</f>
        <v>Latent.2</v>
      </c>
      <c r="G42" s="34" t="s">
        <v>802</v>
      </c>
      <c r="H42" s="29" t="str">
        <f>IFERROR(VLOOKUP(G42,'DATABASE-DRIFT_LATENT_HP_ERROR'!$B$88:$D$137,3,FALSE()),"")</f>
        <v>Langkah kerja tidak dijelaskan detail dan sistematis.</v>
      </c>
      <c r="K42" s="29">
        <f>IF($A42="","",IFERROR(INDEX('INPUT-SIF_Questions'!$B$2:$B$300,MATCH($A42,'INPUT-SIF_Questions'!$A$2:$A$300,0)),""))</f>
        <v>1</v>
      </c>
      <c r="L42" s="29" t="str">
        <f>IF($A42="","",IFERROR(INDEX('INPUT-SIF_Questions'!$F$2:$F$300,MATCH($A42,'INPUT-SIF_Questions'!$A$2:$A$300,0)),""))</f>
        <v>Baseline</v>
      </c>
      <c r="M42" s="29" t="str">
        <f>IF($A42="","",IFERROR(INDEX('INPUT-SIF_Questions'!$G$2:$G$300,MATCH($A42,'INPUT-SIF_Questions'!$A$2:$A$300,0)),""))</f>
        <v>Y</v>
      </c>
      <c r="N42" s="29">
        <f>IF($A42="","",IFERROR(INDEX('INPUT-SIF_Questions'!$E$2:$E$300,MATCH($A42,'INPUT-SIF_Questions'!$A$2:$A$300,0)),""))</f>
        <v>0</v>
      </c>
    </row>
    <row r="43" spans="1:14" ht="28.5" customHeight="1" x14ac:dyDescent="0.45">
      <c r="A43" s="29" t="s">
        <v>170</v>
      </c>
      <c r="B43" s="15" t="s">
        <v>34</v>
      </c>
      <c r="C43" s="1" t="str">
        <f>IFERROR(VLOOKUP(B43,'DATABASE-DRIFT_LATENT_HP_ERROR'!$A$143:$B$160,2,FALSE()),"")</f>
        <v>Work at Height</v>
      </c>
      <c r="D43" s="27" t="s">
        <v>860</v>
      </c>
      <c r="E43" s="33" t="s">
        <v>816</v>
      </c>
      <c r="F43" s="1" t="str">
        <f>IFERROR(VLOOKUP(E43,'DATABASE-DRIFT_LATENT_HP_ERROR'!$A$81:$B$85,2,FALSE()),"")</f>
        <v>Latent.4</v>
      </c>
      <c r="G43" s="34" t="s">
        <v>817</v>
      </c>
      <c r="H43" s="29" t="str">
        <f>IFERROR(VLOOKUP(G43,'DATABASE-DRIFT_LATENT_HP_ERROR'!$B$88:$D$137,3,FALSE()),"")</f>
        <v>Rescue plan belum dikembangkan sesuai risiko aktual.</v>
      </c>
      <c r="K43" s="29">
        <f>IF($A43="","",IFERROR(INDEX('INPUT-SIF_Questions'!$B$2:$B$300,MATCH($A43,'INPUT-SIF_Questions'!$A$2:$A$300,0)),""))</f>
        <v>1</v>
      </c>
      <c r="L43" s="29" t="str">
        <f>IF($A43="","",IFERROR(INDEX('INPUT-SIF_Questions'!$F$2:$F$300,MATCH($A43,'INPUT-SIF_Questions'!$A$2:$A$300,0)),""))</f>
        <v>Baseline</v>
      </c>
      <c r="M43" s="29" t="str">
        <f>IF($A43="","",IFERROR(INDEX('INPUT-SIF_Questions'!$G$2:$G$300,MATCH($A43,'INPUT-SIF_Questions'!$A$2:$A$300,0)),""))</f>
        <v>Y</v>
      </c>
      <c r="N43" s="29">
        <f>IF($A43="","",IFERROR(INDEX('INPUT-SIF_Questions'!$E$2:$E$300,MATCH($A43,'INPUT-SIF_Questions'!$A$2:$A$300,0)),""))</f>
        <v>0</v>
      </c>
    </row>
    <row r="44" spans="1:14" ht="28.5" customHeight="1" x14ac:dyDescent="0.45">
      <c r="A44" s="29" t="s">
        <v>170</v>
      </c>
      <c r="B44" s="15" t="s">
        <v>34</v>
      </c>
      <c r="C44" s="1" t="str">
        <f>IFERROR(VLOOKUP(B44,'DATABASE-DRIFT_LATENT_HP_ERROR'!$A$143:$B$160,2,FALSE()),"")</f>
        <v>Work at Height</v>
      </c>
      <c r="D44" s="27" t="s">
        <v>861</v>
      </c>
      <c r="E44" s="33" t="s">
        <v>810</v>
      </c>
      <c r="F44" s="1" t="str">
        <f>IFERROR(VLOOKUP(E44,'DATABASE-DRIFT_LATENT_HP_ERROR'!$A$81:$B$85,2,FALSE()),"")</f>
        <v>Latent.3</v>
      </c>
      <c r="G44" s="34" t="s">
        <v>812</v>
      </c>
      <c r="H44" s="29" t="str">
        <f>IFERROR(VLOOKUP(G44,'DATABASE-DRIFT_LATENT_HP_ERROR'!$B$88:$D$137,3,FALSE()),"")</f>
        <v>Validasi lapangan tidak cukup mendalam.</v>
      </c>
      <c r="K44" s="29">
        <f>IF($A44="","",IFERROR(INDEX('INPUT-SIF_Questions'!$B$2:$B$300,MATCH($A44,'INPUT-SIF_Questions'!$A$2:$A$300,0)),""))</f>
        <v>1</v>
      </c>
      <c r="L44" s="29" t="str">
        <f>IF($A44="","",IFERROR(INDEX('INPUT-SIF_Questions'!$F$2:$F$300,MATCH($A44,'INPUT-SIF_Questions'!$A$2:$A$300,0)),""))</f>
        <v>Baseline</v>
      </c>
      <c r="M44" s="29" t="str">
        <f>IF($A44="","",IFERROR(INDEX('INPUT-SIF_Questions'!$G$2:$G$300,MATCH($A44,'INPUT-SIF_Questions'!$A$2:$A$300,0)),""))</f>
        <v>Y</v>
      </c>
      <c r="N44" s="29">
        <f>IF($A44="","",IFERROR(INDEX('INPUT-SIF_Questions'!$E$2:$E$300,MATCH($A44,'INPUT-SIF_Questions'!$A$2:$A$300,0)),""))</f>
        <v>0</v>
      </c>
    </row>
    <row r="45" spans="1:14" ht="21" customHeight="1" x14ac:dyDescent="0.45">
      <c r="A45" s="29" t="s">
        <v>170</v>
      </c>
      <c r="B45" s="15" t="s">
        <v>34</v>
      </c>
      <c r="C45" s="1" t="str">
        <f>IFERROR(VLOOKUP(B45,'DATABASE-DRIFT_LATENT_HP_ERROR'!$A$143:$B$160,2,FALSE()),"")</f>
        <v>Work at Height</v>
      </c>
      <c r="D45" s="27" t="s">
        <v>862</v>
      </c>
      <c r="E45" s="33" t="s">
        <v>810</v>
      </c>
      <c r="F45" s="1" t="str">
        <f>IFERROR(VLOOKUP(E45,'DATABASE-DRIFT_LATENT_HP_ERROR'!$A$81:$B$85,2,FALSE()),"")</f>
        <v>Latent.3</v>
      </c>
      <c r="G45" s="34" t="s">
        <v>863</v>
      </c>
      <c r="H45" s="29" t="str">
        <f>IFERROR(VLOOKUP(G45,'DATABASE-DRIFT_LATENT_HP_ERROR'!$B$88:$D$137,3,FALSE()),"")</f>
        <v>Pengawasan teknikal tidak memadai.</v>
      </c>
      <c r="K45" s="29">
        <f>IF($A45="","",IFERROR(INDEX('INPUT-SIF_Questions'!$B$2:$B$300,MATCH($A45,'INPUT-SIF_Questions'!$A$2:$A$300,0)),""))</f>
        <v>1</v>
      </c>
      <c r="L45" s="29" t="str">
        <f>IF($A45="","",IFERROR(INDEX('INPUT-SIF_Questions'!$F$2:$F$300,MATCH($A45,'INPUT-SIF_Questions'!$A$2:$A$300,0)),""))</f>
        <v>Baseline</v>
      </c>
      <c r="M45" s="29" t="str">
        <f>IF($A45="","",IFERROR(INDEX('INPUT-SIF_Questions'!$G$2:$G$300,MATCH($A45,'INPUT-SIF_Questions'!$A$2:$A$300,0)),""))</f>
        <v>Y</v>
      </c>
      <c r="N45" s="29">
        <f>IF($A45="","",IFERROR(INDEX('INPUT-SIF_Questions'!$E$2:$E$300,MATCH($A45,'INPUT-SIF_Questions'!$A$2:$A$300,0)),""))</f>
        <v>0</v>
      </c>
    </row>
    <row r="46" spans="1:14" ht="21" customHeight="1" x14ac:dyDescent="0.45">
      <c r="A46" s="29" t="s">
        <v>170</v>
      </c>
      <c r="B46" s="15" t="s">
        <v>34</v>
      </c>
      <c r="C46" s="1" t="str">
        <f>IFERROR(VLOOKUP(B46,'DATABASE-DRIFT_LATENT_HP_ERROR'!$A$143:$B$160,2,FALSE()),"")</f>
        <v>Work at Height</v>
      </c>
      <c r="D46" s="27" t="s">
        <v>864</v>
      </c>
      <c r="E46" s="33" t="s">
        <v>810</v>
      </c>
      <c r="F46" s="1" t="str">
        <f>IFERROR(VLOOKUP(E46,'DATABASE-DRIFT_LATENT_HP_ERROR'!$A$81:$B$85,2,FALSE()),"")</f>
        <v>Latent.3</v>
      </c>
      <c r="G46" s="34" t="s">
        <v>865</v>
      </c>
      <c r="H46" s="29" t="str">
        <f>IFERROR(VLOOKUP(G46,'DATABASE-DRIFT_LATENT_HP_ERROR'!$B$88:$D$137,3,FALSE()),"")</f>
        <v>Prioritas produksi mempengaruhi keputusan keselamatan.</v>
      </c>
      <c r="K46" s="29">
        <f>IF($A46="","",IFERROR(INDEX('INPUT-SIF_Questions'!$B$2:$B$300,MATCH($A46,'INPUT-SIF_Questions'!$A$2:$A$300,0)),""))</f>
        <v>1</v>
      </c>
      <c r="L46" s="29" t="str">
        <f>IF($A46="","",IFERROR(INDEX('INPUT-SIF_Questions'!$F$2:$F$300,MATCH($A46,'INPUT-SIF_Questions'!$A$2:$A$300,0)),""))</f>
        <v>Baseline</v>
      </c>
      <c r="M46" s="29" t="str">
        <f>IF($A46="","",IFERROR(INDEX('INPUT-SIF_Questions'!$G$2:$G$300,MATCH($A46,'INPUT-SIF_Questions'!$A$2:$A$300,0)),""))</f>
        <v>Y</v>
      </c>
      <c r="N46" s="29">
        <f>IF($A46="","",IFERROR(INDEX('INPUT-SIF_Questions'!$E$2:$E$300,MATCH($A46,'INPUT-SIF_Questions'!$A$2:$A$300,0)),""))</f>
        <v>0</v>
      </c>
    </row>
    <row r="47" spans="1:14" ht="21" customHeight="1" x14ac:dyDescent="0.45">
      <c r="A47" s="29" t="s">
        <v>170</v>
      </c>
      <c r="B47" s="15" t="s">
        <v>34</v>
      </c>
      <c r="C47" s="1" t="str">
        <f>IFERROR(VLOOKUP(B47,'DATABASE-DRIFT_LATENT_HP_ERROR'!$A$143:$B$160,2,FALSE()),"")</f>
        <v>Work at Height</v>
      </c>
      <c r="D47" s="27" t="s">
        <v>866</v>
      </c>
      <c r="E47" s="33" t="s">
        <v>801</v>
      </c>
      <c r="F47" s="1" t="str">
        <f>IFERROR(VLOOKUP(E47,'DATABASE-DRIFT_LATENT_HP_ERROR'!$A$81:$B$85,2,FALSE()),"")</f>
        <v>Latent.2</v>
      </c>
      <c r="G47" s="34" t="s">
        <v>867</v>
      </c>
      <c r="H47" s="29" t="str">
        <f>IFERROR(VLOOKUP(G47,'DATABASE-DRIFT_LATENT_HP_ERROR'!$B$88:$D$137,3,FALSE()),"")</f>
        <v>Dokumen lebih fokus compliance administratif dibanding risk control.</v>
      </c>
      <c r="K47" s="29">
        <f>IF($A47="","",IFERROR(INDEX('INPUT-SIF_Questions'!$B$2:$B$300,MATCH($A47,'INPUT-SIF_Questions'!$A$2:$A$300,0)),""))</f>
        <v>1</v>
      </c>
      <c r="L47" s="29" t="str">
        <f>IF($A47="","",IFERROR(INDEX('INPUT-SIF_Questions'!$F$2:$F$300,MATCH($A47,'INPUT-SIF_Questions'!$A$2:$A$300,0)),""))</f>
        <v>Baseline</v>
      </c>
      <c r="M47" s="29" t="str">
        <f>IF($A47="","",IFERROR(INDEX('INPUT-SIF_Questions'!$G$2:$G$300,MATCH($A47,'INPUT-SIF_Questions'!$A$2:$A$300,0)),""))</f>
        <v>Y</v>
      </c>
      <c r="N47" s="29">
        <f>IF($A47="","",IFERROR(INDEX('INPUT-SIF_Questions'!$E$2:$E$300,MATCH($A47,'INPUT-SIF_Questions'!$A$2:$A$300,0)),""))</f>
        <v>0</v>
      </c>
    </row>
    <row r="48" spans="1:14" ht="21" customHeight="1" x14ac:dyDescent="0.45">
      <c r="A48" s="29" t="s">
        <v>170</v>
      </c>
      <c r="B48" s="15" t="s">
        <v>34</v>
      </c>
      <c r="C48" s="1" t="str">
        <f>IFERROR(VLOOKUP(B48,'DATABASE-DRIFT_LATENT_HP_ERROR'!$A$143:$B$160,2,FALSE()),"")</f>
        <v>Work at Height</v>
      </c>
      <c r="D48" s="27" t="s">
        <v>868</v>
      </c>
      <c r="E48" s="33" t="s">
        <v>810</v>
      </c>
      <c r="F48" s="1" t="str">
        <f>IFERROR(VLOOKUP(E48,'DATABASE-DRIFT_LATENT_HP_ERROR'!$A$81:$B$85,2,FALSE()),"")</f>
        <v>Latent.3</v>
      </c>
      <c r="G48" s="34" t="s">
        <v>814</v>
      </c>
      <c r="H48" s="29" t="str">
        <f>IFERROR(VLOOKUP(G48,'DATABASE-DRIFT_LATENT_HP_ERROR'!$B$88:$D$137,3,FALSE()),"")</f>
        <v>Coaching tidak fokus pada critical safeguards.</v>
      </c>
      <c r="K48" s="29">
        <f>IF($A48="","",IFERROR(INDEX('INPUT-SIF_Questions'!$B$2:$B$300,MATCH($A48,'INPUT-SIF_Questions'!$A$2:$A$300,0)),""))</f>
        <v>1</v>
      </c>
      <c r="L48" s="29" t="str">
        <f>IF($A48="","",IFERROR(INDEX('INPUT-SIF_Questions'!$F$2:$F$300,MATCH($A48,'INPUT-SIF_Questions'!$A$2:$A$300,0)),""))</f>
        <v>Baseline</v>
      </c>
      <c r="M48" s="29" t="str">
        <f>IF($A48="","",IFERROR(INDEX('INPUT-SIF_Questions'!$G$2:$G$300,MATCH($A48,'INPUT-SIF_Questions'!$A$2:$A$300,0)),""))</f>
        <v>Y</v>
      </c>
      <c r="N48" s="29">
        <f>IF($A48="","",IFERROR(INDEX('INPUT-SIF_Questions'!$E$2:$E$300,MATCH($A48,'INPUT-SIF_Questions'!$A$2:$A$300,0)),""))</f>
        <v>0</v>
      </c>
    </row>
    <row r="49" spans="1:14" ht="21" customHeight="1" x14ac:dyDescent="0.45">
      <c r="A49" s="29" t="s">
        <v>170</v>
      </c>
      <c r="B49" s="15" t="s">
        <v>34</v>
      </c>
      <c r="C49" s="1" t="str">
        <f>IFERROR(VLOOKUP(B49,'DATABASE-DRIFT_LATENT_HP_ERROR'!$A$143:$B$160,2,FALSE()),"")</f>
        <v>Work at Height</v>
      </c>
      <c r="D49" s="27" t="s">
        <v>869</v>
      </c>
      <c r="E49" s="33" t="s">
        <v>801</v>
      </c>
      <c r="F49" s="1" t="str">
        <f>IFERROR(VLOOKUP(E49,'DATABASE-DRIFT_LATENT_HP_ERROR'!$A$81:$B$85,2,FALSE()),"")</f>
        <v>Latent.2</v>
      </c>
      <c r="G49" s="34" t="s">
        <v>806</v>
      </c>
      <c r="H49" s="29" t="str">
        <f>IFERROR(VLOOKUP(G49,'DATABASE-DRIFT_LATENT_HP_ERROR'!$B$88:$D$137,3,FALSE()),"")</f>
        <v>Kriteria engineering atau acceptance criteria tidak tersedia.</v>
      </c>
      <c r="K49" s="29">
        <f>IF($A49="","",IFERROR(INDEX('INPUT-SIF_Questions'!$B$2:$B$300,MATCH($A49,'INPUT-SIF_Questions'!$A$2:$A$300,0)),""))</f>
        <v>1</v>
      </c>
      <c r="L49" s="29" t="str">
        <f>IF($A49="","",IFERROR(INDEX('INPUT-SIF_Questions'!$F$2:$F$300,MATCH($A49,'INPUT-SIF_Questions'!$A$2:$A$300,0)),""))</f>
        <v>Baseline</v>
      </c>
      <c r="M49" s="29" t="str">
        <f>IF($A49="","",IFERROR(INDEX('INPUT-SIF_Questions'!$G$2:$G$300,MATCH($A49,'INPUT-SIF_Questions'!$A$2:$A$300,0)),""))</f>
        <v>Y</v>
      </c>
      <c r="N49" s="29">
        <f>IF($A49="","",IFERROR(INDEX('INPUT-SIF_Questions'!$E$2:$E$300,MATCH($A49,'INPUT-SIF_Questions'!$A$2:$A$300,0)),""))</f>
        <v>0</v>
      </c>
    </row>
    <row r="50" spans="1:14" ht="21" customHeight="1" x14ac:dyDescent="0.45">
      <c r="A50" s="29" t="s">
        <v>170</v>
      </c>
      <c r="B50" s="15" t="s">
        <v>34</v>
      </c>
      <c r="C50" s="1" t="str">
        <f>IFERROR(VLOOKUP(B50,'DATABASE-DRIFT_LATENT_HP_ERROR'!$A$143:$B$160,2,FALSE()),"")</f>
        <v>Work at Height</v>
      </c>
      <c r="D50" s="27" t="s">
        <v>870</v>
      </c>
      <c r="E50" s="33" t="s">
        <v>816</v>
      </c>
      <c r="F50" s="1" t="str">
        <f>IFERROR(VLOOKUP(E50,'DATABASE-DRIFT_LATENT_HP_ERROR'!$A$81:$B$85,2,FALSE()),"")</f>
        <v>Latent.4</v>
      </c>
      <c r="G50" s="34" t="s">
        <v>871</v>
      </c>
      <c r="H50" s="29" t="str">
        <f>IFERROR(VLOOKUP(G50,'DATABASE-DRIFT_LATENT_HP_ERROR'!$B$88:$D$137,3,FALSE()),"")</f>
        <v>Contingency/rescue plan tidak memadai.</v>
      </c>
      <c r="K50" s="29">
        <f>IF($A50="","",IFERROR(INDEX('INPUT-SIF_Questions'!$B$2:$B$300,MATCH($A50,'INPUT-SIF_Questions'!$A$2:$A$300,0)),""))</f>
        <v>1</v>
      </c>
      <c r="L50" s="29" t="str">
        <f>IF($A50="","",IFERROR(INDEX('INPUT-SIF_Questions'!$F$2:$F$300,MATCH($A50,'INPUT-SIF_Questions'!$A$2:$A$300,0)),""))</f>
        <v>Baseline</v>
      </c>
      <c r="M50" s="29" t="str">
        <f>IF($A50="","",IFERROR(INDEX('INPUT-SIF_Questions'!$G$2:$G$300,MATCH($A50,'INPUT-SIF_Questions'!$A$2:$A$300,0)),""))</f>
        <v>Y</v>
      </c>
      <c r="N50" s="29">
        <f>IF($A50="","",IFERROR(INDEX('INPUT-SIF_Questions'!$E$2:$E$300,MATCH($A50,'INPUT-SIF_Questions'!$A$2:$A$300,0)),""))</f>
        <v>0</v>
      </c>
    </row>
    <row r="51" spans="1:14" ht="21" customHeight="1" x14ac:dyDescent="0.45">
      <c r="A51" s="29" t="s">
        <v>170</v>
      </c>
      <c r="B51" s="15" t="s">
        <v>34</v>
      </c>
      <c r="C51" s="1" t="str">
        <f>IFERROR(VLOOKUP(B51,'DATABASE-DRIFT_LATENT_HP_ERROR'!$A$143:$B$160,2,FALSE()),"")</f>
        <v>Work at Height</v>
      </c>
      <c r="D51" s="27" t="s">
        <v>872</v>
      </c>
      <c r="E51" s="33" t="s">
        <v>823</v>
      </c>
      <c r="F51" s="1" t="str">
        <f>IFERROR(VLOOKUP(E51,'DATABASE-DRIFT_LATENT_HP_ERROR'!$A$81:$B$85,2,FALSE()),"")</f>
        <v>Latent.5</v>
      </c>
      <c r="G51" s="34" t="s">
        <v>824</v>
      </c>
      <c r="H51" s="29" t="str">
        <f>IFERROR(VLOOKUP(G51,'DATABASE-DRIFT_LATENT_HP_ERROR'!$B$88:$D$137,3,FALSE()),"")</f>
        <v>Konfigurasi anchorage menciptakan swing fall/impact hazard.</v>
      </c>
      <c r="K51" s="29">
        <f>IF($A51="","",IFERROR(INDEX('INPUT-SIF_Questions'!$B$2:$B$300,MATCH($A51,'INPUT-SIF_Questions'!$A$2:$A$300,0)),""))</f>
        <v>1</v>
      </c>
      <c r="L51" s="29" t="str">
        <f>IF($A51="","",IFERROR(INDEX('INPUT-SIF_Questions'!$F$2:$F$300,MATCH($A51,'INPUT-SIF_Questions'!$A$2:$A$300,0)),""))</f>
        <v>Baseline</v>
      </c>
      <c r="M51" s="29" t="str">
        <f>IF($A51="","",IFERROR(INDEX('INPUT-SIF_Questions'!$G$2:$G$300,MATCH($A51,'INPUT-SIF_Questions'!$A$2:$A$300,0)),""))</f>
        <v>Y</v>
      </c>
      <c r="N51" s="29">
        <f>IF($A51="","",IFERROR(INDEX('INPUT-SIF_Questions'!$E$2:$E$300,MATCH($A51,'INPUT-SIF_Questions'!$A$2:$A$300,0)),""))</f>
        <v>0</v>
      </c>
    </row>
    <row r="52" spans="1:14" ht="21" customHeight="1" x14ac:dyDescent="0.45">
      <c r="A52" s="29" t="s">
        <v>170</v>
      </c>
      <c r="B52" s="15" t="s">
        <v>34</v>
      </c>
      <c r="C52" s="1" t="str">
        <f>IFERROR(VLOOKUP(B52,'DATABASE-DRIFT_LATENT_HP_ERROR'!$A$143:$B$160,2,FALSE()),"")</f>
        <v>Work at Height</v>
      </c>
      <c r="D52" s="27" t="s">
        <v>873</v>
      </c>
      <c r="E52" s="33" t="s">
        <v>823</v>
      </c>
      <c r="F52" s="1" t="str">
        <f>IFERROR(VLOOKUP(E52,'DATABASE-DRIFT_LATENT_HP_ERROR'!$A$81:$B$85,2,FALSE()),"")</f>
        <v>Latent.5</v>
      </c>
      <c r="G52" s="34" t="s">
        <v>826</v>
      </c>
      <c r="H52" s="29" t="str">
        <f>IFERROR(VLOOKUP(G52,'DATABASE-DRIFT_LATENT_HP_ERROR'!$B$88:$D$137,3,FALSE()),"")</f>
        <v>Barrier fisik tidak cukup melindungi pekerja.</v>
      </c>
      <c r="K52" s="29">
        <f>IF($A52="","",IFERROR(INDEX('INPUT-SIF_Questions'!$B$2:$B$300,MATCH($A52,'INPUT-SIF_Questions'!$A$2:$A$300,0)),""))</f>
        <v>1</v>
      </c>
      <c r="L52" s="29" t="str">
        <f>IF($A52="","",IFERROR(INDEX('INPUT-SIF_Questions'!$F$2:$F$300,MATCH($A52,'INPUT-SIF_Questions'!$A$2:$A$300,0)),""))</f>
        <v>Baseline</v>
      </c>
      <c r="M52" s="29" t="str">
        <f>IF($A52="","",IFERROR(INDEX('INPUT-SIF_Questions'!$G$2:$G$300,MATCH($A52,'INPUT-SIF_Questions'!$A$2:$A$300,0)),""))</f>
        <v>Y</v>
      </c>
      <c r="N52" s="29">
        <f>IF($A52="","",IFERROR(INDEX('INPUT-SIF_Questions'!$E$2:$E$300,MATCH($A52,'INPUT-SIF_Questions'!$A$2:$A$300,0)),""))</f>
        <v>0</v>
      </c>
    </row>
    <row r="53" spans="1:14" ht="21" customHeight="1" x14ac:dyDescent="0.45">
      <c r="A53" s="29" t="s">
        <v>170</v>
      </c>
      <c r="B53" s="15" t="s">
        <v>34</v>
      </c>
      <c r="C53" s="1" t="str">
        <f>IFERROR(VLOOKUP(B53,'DATABASE-DRIFT_LATENT_HP_ERROR'!$A$143:$B$160,2,FALSE()),"")</f>
        <v>Work at Height</v>
      </c>
      <c r="D53" s="27" t="s">
        <v>874</v>
      </c>
      <c r="E53" s="33" t="s">
        <v>816</v>
      </c>
      <c r="F53" s="1" t="str">
        <f>IFERROR(VLOOKUP(E53,'DATABASE-DRIFT_LATENT_HP_ERROR'!$A$81:$B$85,2,FALSE()),"")</f>
        <v>Latent.4</v>
      </c>
      <c r="G53" s="34" t="s">
        <v>875</v>
      </c>
      <c r="H53" s="29" t="str">
        <f>IFERROR(VLOOKUP(G53,'DATABASE-DRIFT_LATENT_HP_ERROR'!$B$88:$D$137,3,FALSE()),"")</f>
        <v>Perubahan kondisi lapangan tidak direview ulang.</v>
      </c>
      <c r="K53" s="29">
        <f>IF($A53="","",IFERROR(INDEX('INPUT-SIF_Questions'!$B$2:$B$300,MATCH($A53,'INPUT-SIF_Questions'!$A$2:$A$300,0)),""))</f>
        <v>1</v>
      </c>
      <c r="L53" s="29" t="str">
        <f>IF($A53="","",IFERROR(INDEX('INPUT-SIF_Questions'!$F$2:$F$300,MATCH($A53,'INPUT-SIF_Questions'!$A$2:$A$300,0)),""))</f>
        <v>Baseline</v>
      </c>
      <c r="M53" s="29" t="str">
        <f>IF($A53="","",IFERROR(INDEX('INPUT-SIF_Questions'!$G$2:$G$300,MATCH($A53,'INPUT-SIF_Questions'!$A$2:$A$300,0)),""))</f>
        <v>Y</v>
      </c>
      <c r="N53" s="29">
        <f>IF($A53="","",IFERROR(INDEX('INPUT-SIF_Questions'!$E$2:$E$300,MATCH($A53,'INPUT-SIF_Questions'!$A$2:$A$300,0)),""))</f>
        <v>0</v>
      </c>
    </row>
    <row r="54" spans="1:14" ht="21" customHeight="1" x14ac:dyDescent="0.45">
      <c r="A54" s="29" t="s">
        <v>170</v>
      </c>
      <c r="B54" s="15" t="s">
        <v>34</v>
      </c>
      <c r="C54" s="1" t="str">
        <f>IFERROR(VLOOKUP(B54,'DATABASE-DRIFT_LATENT_HP_ERROR'!$A$143:$B$160,2,FALSE()),"")</f>
        <v>Work at Height</v>
      </c>
      <c r="D54" s="27" t="s">
        <v>809</v>
      </c>
      <c r="E54" s="33" t="s">
        <v>810</v>
      </c>
      <c r="F54" s="1" t="str">
        <f>IFERROR(VLOOKUP(E54,'DATABASE-DRIFT_LATENT_HP_ERROR'!$A$81:$B$85,2,FALSE()),"")</f>
        <v>Latent.3</v>
      </c>
      <c r="G54" s="34" t="s">
        <v>672</v>
      </c>
      <c r="H54" s="29" t="str">
        <f>IFERROR(VLOOKUP(G54,'DATABASE-DRIFT_LATENT_HP_ERROR'!$B$88:$D$137,3,FALSE()),"")</f>
        <v>Supervisor berasumsi pekerja sudah memahami risiko.</v>
      </c>
      <c r="K54" s="29">
        <f>IF($A54="","",IFERROR(INDEX('INPUT-SIF_Questions'!$B$2:$B$300,MATCH($A54,'INPUT-SIF_Questions'!$A$2:$A$300,0)),""))</f>
        <v>1</v>
      </c>
      <c r="L54" s="29" t="str">
        <f>IF($A54="","",IFERROR(INDEX('INPUT-SIF_Questions'!$F$2:$F$300,MATCH($A54,'INPUT-SIF_Questions'!$A$2:$A$300,0)),""))</f>
        <v>Baseline</v>
      </c>
      <c r="M54" s="29" t="str">
        <f>IF($A54="","",IFERROR(INDEX('INPUT-SIF_Questions'!$G$2:$G$300,MATCH($A54,'INPUT-SIF_Questions'!$A$2:$A$300,0)),""))</f>
        <v>Y</v>
      </c>
      <c r="N54" s="29">
        <f>IF($A54="","",IFERROR(INDEX('INPUT-SIF_Questions'!$E$2:$E$300,MATCH($A54,'INPUT-SIF_Questions'!$A$2:$A$300,0)),""))</f>
        <v>0</v>
      </c>
    </row>
    <row r="55" spans="1:14" ht="14.25" customHeight="1" x14ac:dyDescent="0.45">
      <c r="A55" s="23" t="s">
        <v>189</v>
      </c>
      <c r="B55" s="23" t="s">
        <v>34</v>
      </c>
      <c r="C55" s="23" t="str">
        <f>IFERROR(VLOOKUP(B55,'DATABASE-DRIFT_LATENT_HP_ERROR'!$A$143:$B$160,2,FALSE()),"")</f>
        <v>Work at Height</v>
      </c>
      <c r="D55" s="23" t="s">
        <v>876</v>
      </c>
      <c r="E55" s="23" t="s">
        <v>794</v>
      </c>
      <c r="F55" s="23" t="str">
        <f>IFERROR(VLOOKUP(E55,'DATABASE-DRIFT_LATENT_HP_ERROR'!$A$81:$B$85,2,FALSE()),"")</f>
        <v>Latent.1</v>
      </c>
      <c r="G55" s="23" t="s">
        <v>795</v>
      </c>
      <c r="H55" s="23" t="str">
        <f>IFERROR(VLOOKUP(G55,'DATABASE-DRIFT_LATENT_HP_ERROR'!$B$88:$D$137,3,FALSE()),"")</f>
        <v>Hierarchy of control WAH tidak dipahami.</v>
      </c>
      <c r="K55" s="29">
        <f>IF($A55="","",IFERROR(INDEX('INPUT-SIF_Questions'!$B$2:$B$300,MATCH($A55,'INPUT-SIF_Questions'!$A$2:$A$300,0)),""))</f>
        <v>1</v>
      </c>
      <c r="L55" s="29" t="str">
        <f>IF($A55="","",IFERROR(INDEX('INPUT-SIF_Questions'!$F$2:$F$300,MATCH($A55,'INPUT-SIF_Questions'!$A$2:$A$300,0)),""))</f>
        <v>Baseline</v>
      </c>
      <c r="M55" s="29" t="str">
        <f>IF($A55="","",IFERROR(INDEX('INPUT-SIF_Questions'!$G$2:$G$300,MATCH($A55,'INPUT-SIF_Questions'!$A$2:$A$300,0)),""))</f>
        <v>Y</v>
      </c>
      <c r="N55" s="29">
        <f>IF($A55="","",IFERROR(INDEX('INPUT-SIF_Questions'!$E$2:$E$300,MATCH($A55,'INPUT-SIF_Questions'!$A$2:$A$300,0)),""))</f>
        <v>0</v>
      </c>
    </row>
    <row r="56" spans="1:14" ht="14.25" customHeight="1" x14ac:dyDescent="0.45">
      <c r="A56" s="23" t="s">
        <v>189</v>
      </c>
      <c r="B56" s="23" t="s">
        <v>34</v>
      </c>
      <c r="C56" s="23" t="str">
        <f>IFERROR(VLOOKUP(B56,'DATABASE-DRIFT_LATENT_HP_ERROR'!$A$143:$B$160,2,FALSE()),"")</f>
        <v>Work at Height</v>
      </c>
      <c r="D56" s="23" t="s">
        <v>877</v>
      </c>
      <c r="E56" s="23" t="s">
        <v>794</v>
      </c>
      <c r="F56" s="23" t="str">
        <f>IFERROR(VLOOKUP(E56,'DATABASE-DRIFT_LATENT_HP_ERROR'!$A$81:$B$85,2,FALSE()),"")</f>
        <v>Latent.1</v>
      </c>
      <c r="G56" s="23" t="s">
        <v>795</v>
      </c>
      <c r="H56" s="23" t="str">
        <f>IFERROR(VLOOKUP(G56,'DATABASE-DRIFT_LATENT_HP_ERROR'!$B$88:$D$137,3,FALSE()),"")</f>
        <v>Hierarchy of control WAH tidak dipahami.</v>
      </c>
      <c r="K56" s="29">
        <f>IF($A56="","",IFERROR(INDEX('INPUT-SIF_Questions'!$B$2:$B$300,MATCH($A56,'INPUT-SIF_Questions'!$A$2:$A$300,0)),""))</f>
        <v>1</v>
      </c>
      <c r="L56" s="29" t="str">
        <f>IF($A56="","",IFERROR(INDEX('INPUT-SIF_Questions'!$F$2:$F$300,MATCH($A56,'INPUT-SIF_Questions'!$A$2:$A$300,0)),""))</f>
        <v>Baseline</v>
      </c>
      <c r="M56" s="29" t="str">
        <f>IF($A56="","",IFERROR(INDEX('INPUT-SIF_Questions'!$G$2:$G$300,MATCH($A56,'INPUT-SIF_Questions'!$A$2:$A$300,0)),""))</f>
        <v>Y</v>
      </c>
      <c r="N56" s="29">
        <f>IF($A56="","",IFERROR(INDEX('INPUT-SIF_Questions'!$E$2:$E$300,MATCH($A56,'INPUT-SIF_Questions'!$A$2:$A$300,0)),""))</f>
        <v>0</v>
      </c>
    </row>
    <row r="57" spans="1:14" ht="14.25" customHeight="1" x14ac:dyDescent="0.45">
      <c r="A57" s="23" t="s">
        <v>189</v>
      </c>
      <c r="B57" s="23" t="s">
        <v>34</v>
      </c>
      <c r="C57" s="23" t="str">
        <f>IFERROR(VLOOKUP(B57,'DATABASE-DRIFT_LATENT_HP_ERROR'!$A$143:$B$160,2,FALSE()),"")</f>
        <v>Work at Height</v>
      </c>
      <c r="D57" s="23" t="s">
        <v>878</v>
      </c>
      <c r="E57" s="23" t="s">
        <v>794</v>
      </c>
      <c r="F57" s="23" t="str">
        <f>IFERROR(VLOOKUP(E57,'DATABASE-DRIFT_LATENT_HP_ERROR'!$A$81:$B$85,2,FALSE()),"")</f>
        <v>Latent.1</v>
      </c>
      <c r="G57" s="23" t="s">
        <v>797</v>
      </c>
      <c r="H57" s="23" t="str">
        <f>IFERROR(VLOOKUP(G57,'DATABASE-DRIFT_LATENT_HP_ERROR'!$B$88:$D$137,3,FALSE()),"")</f>
        <v>Pemahaman engineering consequence lemah.</v>
      </c>
      <c r="K57" s="29">
        <f>IF($A57="","",IFERROR(INDEX('INPUT-SIF_Questions'!$B$2:$B$300,MATCH($A57,'INPUT-SIF_Questions'!$A$2:$A$300,0)),""))</f>
        <v>1</v>
      </c>
      <c r="L57" s="29" t="str">
        <f>IF($A57="","",IFERROR(INDEX('INPUT-SIF_Questions'!$F$2:$F$300,MATCH($A57,'INPUT-SIF_Questions'!$A$2:$A$300,0)),""))</f>
        <v>Baseline</v>
      </c>
      <c r="M57" s="29" t="str">
        <f>IF($A57="","",IFERROR(INDEX('INPUT-SIF_Questions'!$G$2:$G$300,MATCH($A57,'INPUT-SIF_Questions'!$A$2:$A$300,0)),""))</f>
        <v>Y</v>
      </c>
      <c r="N57" s="29">
        <f>IF($A57="","",IFERROR(INDEX('INPUT-SIF_Questions'!$E$2:$E$300,MATCH($A57,'INPUT-SIF_Questions'!$A$2:$A$300,0)),""))</f>
        <v>0</v>
      </c>
    </row>
    <row r="58" spans="1:14" ht="14.25" customHeight="1" x14ac:dyDescent="0.45">
      <c r="A58" s="23" t="s">
        <v>189</v>
      </c>
      <c r="B58" s="23" t="s">
        <v>34</v>
      </c>
      <c r="C58" s="23" t="str">
        <f>IFERROR(VLOOKUP(B58,'DATABASE-DRIFT_LATENT_HP_ERROR'!$A$143:$B$160,2,FALSE()),"")</f>
        <v>Work at Height</v>
      </c>
      <c r="D58" s="23" t="s">
        <v>879</v>
      </c>
      <c r="E58" s="23" t="s">
        <v>794</v>
      </c>
      <c r="F58" s="23" t="str">
        <f>IFERROR(VLOOKUP(E58,'DATABASE-DRIFT_LATENT_HP_ERROR'!$A$81:$B$85,2,FALSE()),"")</f>
        <v>Latent.1</v>
      </c>
      <c r="G58" s="23" t="s">
        <v>797</v>
      </c>
      <c r="H58" s="23" t="str">
        <f>IFERROR(VLOOKUP(G58,'DATABASE-DRIFT_LATENT_HP_ERROR'!$B$88:$D$137,3,FALSE()),"")</f>
        <v>Pemahaman engineering consequence lemah.</v>
      </c>
      <c r="K58" s="29">
        <f>IF($A58="","",IFERROR(INDEX('INPUT-SIF_Questions'!$B$2:$B$300,MATCH($A58,'INPUT-SIF_Questions'!$A$2:$A$300,0)),""))</f>
        <v>1</v>
      </c>
      <c r="L58" s="29" t="str">
        <f>IF($A58="","",IFERROR(INDEX('INPUT-SIF_Questions'!$F$2:$F$300,MATCH($A58,'INPUT-SIF_Questions'!$A$2:$A$300,0)),""))</f>
        <v>Baseline</v>
      </c>
      <c r="M58" s="29" t="str">
        <f>IF($A58="","",IFERROR(INDEX('INPUT-SIF_Questions'!$G$2:$G$300,MATCH($A58,'INPUT-SIF_Questions'!$A$2:$A$300,0)),""))</f>
        <v>Y</v>
      </c>
      <c r="N58" s="29">
        <f>IF($A58="","",IFERROR(INDEX('INPUT-SIF_Questions'!$E$2:$E$300,MATCH($A58,'INPUT-SIF_Questions'!$A$2:$A$300,0)),""))</f>
        <v>0</v>
      </c>
    </row>
    <row r="59" spans="1:14" ht="14.25" customHeight="1" x14ac:dyDescent="0.45">
      <c r="A59" s="23" t="s">
        <v>189</v>
      </c>
      <c r="B59" s="23" t="s">
        <v>34</v>
      </c>
      <c r="C59" s="23" t="str">
        <f>IFERROR(VLOOKUP(B59,'DATABASE-DRIFT_LATENT_HP_ERROR'!$A$143:$B$160,2,FALSE()),"")</f>
        <v>Work at Height</v>
      </c>
      <c r="D59" s="23" t="s">
        <v>880</v>
      </c>
      <c r="E59" s="23" t="s">
        <v>881</v>
      </c>
      <c r="F59" s="23" t="str">
        <f>IFERROR(VLOOKUP(E59,'DATABASE-DRIFT_LATENT_HP_ERROR'!$A$81:$B$85,2,FALSE()),"")</f>
        <v/>
      </c>
      <c r="G59" s="23" t="s">
        <v>882</v>
      </c>
      <c r="H59" s="23" t="str">
        <f>IFERROR(VLOOKUP(G59,'DATABASE-DRIFT_LATENT_HP_ERROR'!$B$88:$D$137,3,FALSE()),"")</f>
        <v/>
      </c>
      <c r="K59" s="29">
        <f>IF($A59="","",IFERROR(INDEX('INPUT-SIF_Questions'!$B$2:$B$300,MATCH($A59,'INPUT-SIF_Questions'!$A$2:$A$300,0)),""))</f>
        <v>1</v>
      </c>
      <c r="L59" s="29" t="str">
        <f>IF($A59="","",IFERROR(INDEX('INPUT-SIF_Questions'!$F$2:$F$300,MATCH($A59,'INPUT-SIF_Questions'!$A$2:$A$300,0)),""))</f>
        <v>Baseline</v>
      </c>
      <c r="M59" s="29" t="str">
        <f>IF($A59="","",IFERROR(INDEX('INPUT-SIF_Questions'!$G$2:$G$300,MATCH($A59,'INPUT-SIF_Questions'!$A$2:$A$300,0)),""))</f>
        <v>Y</v>
      </c>
      <c r="N59" s="29">
        <f>IF($A59="","",IFERROR(INDEX('INPUT-SIF_Questions'!$E$2:$E$300,MATCH($A59,'INPUT-SIF_Questions'!$A$2:$A$300,0)),""))</f>
        <v>0</v>
      </c>
    </row>
    <row r="60" spans="1:14" ht="21" customHeight="1" x14ac:dyDescent="0.45">
      <c r="A60" s="23" t="s">
        <v>189</v>
      </c>
      <c r="B60" s="23" t="s">
        <v>34</v>
      </c>
      <c r="C60" s="23" t="str">
        <f>IFERROR(VLOOKUP(B60,'DATABASE-DRIFT_LATENT_HP_ERROR'!$A$143:$B$160,2,FALSE()),"")</f>
        <v>Work at Height</v>
      </c>
      <c r="D60" s="23" t="s">
        <v>883</v>
      </c>
      <c r="E60" s="23" t="s">
        <v>801</v>
      </c>
      <c r="F60" s="23" t="str">
        <f>IFERROR(VLOOKUP(E60,'DATABASE-DRIFT_LATENT_HP_ERROR'!$A$81:$B$85,2,FALSE()),"")</f>
        <v>Latent.2</v>
      </c>
      <c r="G60" s="23" t="s">
        <v>804</v>
      </c>
      <c r="H60" s="23" t="str">
        <f>IFERROR(VLOOKUP(G60,'DATABASE-DRIFT_LATENT_HP_ERROR'!$B$88:$D$137,3,FALSE()),"")</f>
        <v>Safeguard penting tidak tertulis jelas.</v>
      </c>
      <c r="K60" s="29">
        <f>IF($A60="","",IFERROR(INDEX('INPUT-SIF_Questions'!$B$2:$B$300,MATCH($A60,'INPUT-SIF_Questions'!$A$2:$A$300,0)),""))</f>
        <v>1</v>
      </c>
      <c r="L60" s="29" t="str">
        <f>IF($A60="","",IFERROR(INDEX('INPUT-SIF_Questions'!$F$2:$F$300,MATCH($A60,'INPUT-SIF_Questions'!$A$2:$A$300,0)),""))</f>
        <v>Baseline</v>
      </c>
      <c r="M60" s="29" t="str">
        <f>IF($A60="","",IFERROR(INDEX('INPUT-SIF_Questions'!$G$2:$G$300,MATCH($A60,'INPUT-SIF_Questions'!$A$2:$A$300,0)),""))</f>
        <v>Y</v>
      </c>
      <c r="N60" s="29">
        <f>IF($A60="","",IFERROR(INDEX('INPUT-SIF_Questions'!$E$2:$E$300,MATCH($A60,'INPUT-SIF_Questions'!$A$2:$A$300,0)),""))</f>
        <v>0</v>
      </c>
    </row>
    <row r="61" spans="1:14" ht="14.25" customHeight="1" x14ac:dyDescent="0.45">
      <c r="A61" s="23" t="s">
        <v>189</v>
      </c>
      <c r="B61" s="23" t="s">
        <v>34</v>
      </c>
      <c r="C61" s="23" t="str">
        <f>IFERROR(VLOOKUP(B61,'DATABASE-DRIFT_LATENT_HP_ERROR'!$A$143:$B$160,2,FALSE()),"")</f>
        <v>Work at Height</v>
      </c>
      <c r="D61" s="23" t="s">
        <v>884</v>
      </c>
      <c r="E61" s="23" t="s">
        <v>810</v>
      </c>
      <c r="F61" s="23" t="str">
        <f>IFERROR(VLOOKUP(E61,'DATABASE-DRIFT_LATENT_HP_ERROR'!$A$81:$B$85,2,FALSE()),"")</f>
        <v>Latent.3</v>
      </c>
      <c r="G61" s="23" t="s">
        <v>812</v>
      </c>
      <c r="H61" s="23" t="str">
        <f>IFERROR(VLOOKUP(G61,'DATABASE-DRIFT_LATENT_HP_ERROR'!$B$88:$D$137,3,FALSE()),"")</f>
        <v>Validasi lapangan tidak cukup mendalam.</v>
      </c>
      <c r="K61" s="29">
        <f>IF($A61="","",IFERROR(INDEX('INPUT-SIF_Questions'!$B$2:$B$300,MATCH($A61,'INPUT-SIF_Questions'!$A$2:$A$300,0)),""))</f>
        <v>1</v>
      </c>
      <c r="L61" s="29" t="str">
        <f>IF($A61="","",IFERROR(INDEX('INPUT-SIF_Questions'!$F$2:$F$300,MATCH($A61,'INPUT-SIF_Questions'!$A$2:$A$300,0)),""))</f>
        <v>Baseline</v>
      </c>
      <c r="M61" s="29" t="str">
        <f>IF($A61="","",IFERROR(INDEX('INPUT-SIF_Questions'!$G$2:$G$300,MATCH($A61,'INPUT-SIF_Questions'!$A$2:$A$300,0)),""))</f>
        <v>Y</v>
      </c>
      <c r="N61" s="29">
        <f>IF($A61="","",IFERROR(INDEX('INPUT-SIF_Questions'!$E$2:$E$300,MATCH($A61,'INPUT-SIF_Questions'!$A$2:$A$300,0)),""))</f>
        <v>0</v>
      </c>
    </row>
    <row r="62" spans="1:14" ht="14.25" customHeight="1" x14ac:dyDescent="0.45">
      <c r="A62" s="23" t="s">
        <v>189</v>
      </c>
      <c r="B62" s="23" t="s">
        <v>34</v>
      </c>
      <c r="C62" s="23" t="str">
        <f>IFERROR(VLOOKUP(B62,'DATABASE-DRIFT_LATENT_HP_ERROR'!$A$143:$B$160,2,FALSE()),"")</f>
        <v>Work at Height</v>
      </c>
      <c r="D62" s="23" t="s">
        <v>885</v>
      </c>
      <c r="E62" s="23" t="s">
        <v>881</v>
      </c>
      <c r="F62" s="23" t="str">
        <f>IFERROR(VLOOKUP(E62,'DATABASE-DRIFT_LATENT_HP_ERROR'!$A$81:$B$85,2,FALSE()),"")</f>
        <v/>
      </c>
      <c r="G62" s="23" t="s">
        <v>882</v>
      </c>
      <c r="H62" s="23" t="str">
        <f>IFERROR(VLOOKUP(G62,'DATABASE-DRIFT_LATENT_HP_ERROR'!$B$88:$D$137,3,FALSE()),"")</f>
        <v/>
      </c>
      <c r="K62" s="29">
        <f>IF($A62="","",IFERROR(INDEX('INPUT-SIF_Questions'!$B$2:$B$300,MATCH($A62,'INPUT-SIF_Questions'!$A$2:$A$300,0)),""))</f>
        <v>1</v>
      </c>
      <c r="L62" s="29" t="str">
        <f>IF($A62="","",IFERROR(INDEX('INPUT-SIF_Questions'!$F$2:$F$300,MATCH($A62,'INPUT-SIF_Questions'!$A$2:$A$300,0)),""))</f>
        <v>Baseline</v>
      </c>
      <c r="M62" s="29" t="str">
        <f>IF($A62="","",IFERROR(INDEX('INPUT-SIF_Questions'!$G$2:$G$300,MATCH($A62,'INPUT-SIF_Questions'!$A$2:$A$300,0)),""))</f>
        <v>Y</v>
      </c>
      <c r="N62" s="29">
        <f>IF($A62="","",IFERROR(INDEX('INPUT-SIF_Questions'!$E$2:$E$300,MATCH($A62,'INPUT-SIF_Questions'!$A$2:$A$300,0)),""))</f>
        <v>0</v>
      </c>
    </row>
    <row r="63" spans="1:14" ht="21" customHeight="1" x14ac:dyDescent="0.45">
      <c r="A63" s="23" t="s">
        <v>206</v>
      </c>
      <c r="B63" s="23" t="s">
        <v>207</v>
      </c>
      <c r="C63" s="23" t="str">
        <f>IFERROR(VLOOKUP(B63,'DATABASE-DRIFT_LATENT_HP_ERROR'!$A$143:$B$160,2,FALSE()),"")</f>
        <v>Confined Space Entry</v>
      </c>
      <c r="D63" s="23" t="s">
        <v>886</v>
      </c>
      <c r="E63" s="23" t="s">
        <v>816</v>
      </c>
      <c r="F63" s="23" t="str">
        <f>IFERROR(VLOOKUP(E63,'DATABASE-DRIFT_LATENT_HP_ERROR'!$A$81:$B$85,2,FALSE()),"")</f>
        <v>Latent.4</v>
      </c>
      <c r="G63" s="23" t="s">
        <v>871</v>
      </c>
      <c r="H63" s="23" t="str">
        <f>IFERROR(VLOOKUP(G63,'DATABASE-DRIFT_LATENT_HP_ERROR'!$B$88:$D$137,3,FALSE()),"")</f>
        <v>Contingency/rescue plan tidak memadai.</v>
      </c>
      <c r="K63" s="29">
        <f>IF($A63="","",IFERROR(INDEX('INPUT-SIF_Questions'!$B$2:$B$300,MATCH($A63,'INPUT-SIF_Questions'!$A$2:$A$300,0)),""))</f>
        <v>1</v>
      </c>
      <c r="L63" s="29" t="str">
        <f>IF($A63="","",IFERROR(INDEX('INPUT-SIF_Questions'!$F$2:$F$300,MATCH($A63,'INPUT-SIF_Questions'!$A$2:$A$300,0)),""))</f>
        <v>Baseline</v>
      </c>
      <c r="M63" s="29" t="str">
        <f>IF($A63="","",IFERROR(INDEX('INPUT-SIF_Questions'!$G$2:$G$300,MATCH($A63,'INPUT-SIF_Questions'!$A$2:$A$300,0)),""))</f>
        <v>Y</v>
      </c>
      <c r="N63" s="29">
        <f>IF($A63="","",IFERROR(INDEX('INPUT-SIF_Questions'!$E$2:$E$300,MATCH($A63,'INPUT-SIF_Questions'!$A$2:$A$300,0)),""))</f>
        <v>0</v>
      </c>
    </row>
    <row r="64" spans="1:14" ht="14.25" customHeight="1" x14ac:dyDescent="0.45">
      <c r="A64" s="23" t="s">
        <v>206</v>
      </c>
      <c r="B64" s="23" t="s">
        <v>207</v>
      </c>
      <c r="C64" s="23" t="str">
        <f>IFERROR(VLOOKUP(B64,'DATABASE-DRIFT_LATENT_HP_ERROR'!$A$143:$B$160,2,FALSE()),"")</f>
        <v>Confined Space Entry</v>
      </c>
      <c r="D64" s="23" t="s">
        <v>887</v>
      </c>
      <c r="E64" s="23" t="s">
        <v>816</v>
      </c>
      <c r="F64" s="23" t="str">
        <f>IFERROR(VLOOKUP(E64,'DATABASE-DRIFT_LATENT_HP_ERROR'!$A$81:$B$85,2,FALSE()),"")</f>
        <v>Latent.4</v>
      </c>
      <c r="G64" s="23" t="s">
        <v>871</v>
      </c>
      <c r="H64" s="23" t="str">
        <f>IFERROR(VLOOKUP(G64,'DATABASE-DRIFT_LATENT_HP_ERROR'!$B$88:$D$137,3,FALSE()),"")</f>
        <v>Contingency/rescue plan tidak memadai.</v>
      </c>
      <c r="K64" s="29">
        <f>IF($A64="","",IFERROR(INDEX('INPUT-SIF_Questions'!$B$2:$B$300,MATCH($A64,'INPUT-SIF_Questions'!$A$2:$A$300,0)),""))</f>
        <v>1</v>
      </c>
      <c r="L64" s="29" t="str">
        <f>IF($A64="","",IFERROR(INDEX('INPUT-SIF_Questions'!$F$2:$F$300,MATCH($A64,'INPUT-SIF_Questions'!$A$2:$A$300,0)),""))</f>
        <v>Baseline</v>
      </c>
      <c r="M64" s="29" t="str">
        <f>IF($A64="","",IFERROR(INDEX('INPUT-SIF_Questions'!$G$2:$G$300,MATCH($A64,'INPUT-SIF_Questions'!$A$2:$A$300,0)),""))</f>
        <v>Y</v>
      </c>
      <c r="N64" s="29">
        <f>IF($A64="","",IFERROR(INDEX('INPUT-SIF_Questions'!$E$2:$E$300,MATCH($A64,'INPUT-SIF_Questions'!$A$2:$A$300,0)),""))</f>
        <v>0</v>
      </c>
    </row>
    <row r="65" spans="1:14" ht="14.25" customHeight="1" x14ac:dyDescent="0.45">
      <c r="A65" s="23" t="s">
        <v>206</v>
      </c>
      <c r="B65" s="23" t="s">
        <v>207</v>
      </c>
      <c r="C65" s="23" t="str">
        <f>IFERROR(VLOOKUP(B65,'DATABASE-DRIFT_LATENT_HP_ERROR'!$A$143:$B$160,2,FALSE()),"")</f>
        <v>Confined Space Entry</v>
      </c>
      <c r="D65" s="23" t="s">
        <v>888</v>
      </c>
      <c r="E65" s="23" t="s">
        <v>801</v>
      </c>
      <c r="F65" s="23" t="str">
        <f>IFERROR(VLOOKUP(E65,'DATABASE-DRIFT_LATENT_HP_ERROR'!$A$81:$B$85,2,FALSE()),"")</f>
        <v>Latent.2</v>
      </c>
      <c r="G65" s="23" t="s">
        <v>804</v>
      </c>
      <c r="H65" s="23" t="str">
        <f>IFERROR(VLOOKUP(G65,'DATABASE-DRIFT_LATENT_HP_ERROR'!$B$88:$D$137,3,FALSE()),"")</f>
        <v>Safeguard penting tidak tertulis jelas.</v>
      </c>
      <c r="K65" s="29">
        <f>IF($A65="","",IFERROR(INDEX('INPUT-SIF_Questions'!$B$2:$B$300,MATCH($A65,'INPUT-SIF_Questions'!$A$2:$A$300,0)),""))</f>
        <v>1</v>
      </c>
      <c r="L65" s="29" t="str">
        <f>IF($A65="","",IFERROR(INDEX('INPUT-SIF_Questions'!$F$2:$F$300,MATCH($A65,'INPUT-SIF_Questions'!$A$2:$A$300,0)),""))</f>
        <v>Baseline</v>
      </c>
      <c r="M65" s="29" t="str">
        <f>IF($A65="","",IFERROR(INDEX('INPUT-SIF_Questions'!$G$2:$G$300,MATCH($A65,'INPUT-SIF_Questions'!$A$2:$A$300,0)),""))</f>
        <v>Y</v>
      </c>
      <c r="N65" s="29">
        <f>IF($A65="","",IFERROR(INDEX('INPUT-SIF_Questions'!$E$2:$E$300,MATCH($A65,'INPUT-SIF_Questions'!$A$2:$A$300,0)),""))</f>
        <v>0</v>
      </c>
    </row>
    <row r="66" spans="1:14" ht="14.25" customHeight="1" x14ac:dyDescent="0.45">
      <c r="A66" s="23" t="s">
        <v>206</v>
      </c>
      <c r="B66" s="23" t="s">
        <v>207</v>
      </c>
      <c r="C66" s="23" t="str">
        <f>IFERROR(VLOOKUP(B66,'DATABASE-DRIFT_LATENT_HP_ERROR'!$A$143:$B$160,2,FALSE()),"")</f>
        <v>Confined Space Entry</v>
      </c>
      <c r="D66" s="23" t="s">
        <v>889</v>
      </c>
      <c r="E66" s="23" t="s">
        <v>881</v>
      </c>
      <c r="F66" s="23" t="str">
        <f>IFERROR(VLOOKUP(E66,'DATABASE-DRIFT_LATENT_HP_ERROR'!$A$81:$B$85,2,FALSE()),"")</f>
        <v/>
      </c>
      <c r="G66" s="23" t="s">
        <v>882</v>
      </c>
      <c r="H66" s="23" t="str">
        <f>IFERROR(VLOOKUP(G66,'DATABASE-DRIFT_LATENT_HP_ERROR'!$B$88:$D$137,3,FALSE()),"")</f>
        <v/>
      </c>
      <c r="K66" s="29">
        <f>IF($A66="","",IFERROR(INDEX('INPUT-SIF_Questions'!$B$2:$B$300,MATCH($A66,'INPUT-SIF_Questions'!$A$2:$A$300,0)),""))</f>
        <v>1</v>
      </c>
      <c r="L66" s="29" t="str">
        <f>IF($A66="","",IFERROR(INDEX('INPUT-SIF_Questions'!$F$2:$F$300,MATCH($A66,'INPUT-SIF_Questions'!$A$2:$A$300,0)),""))</f>
        <v>Baseline</v>
      </c>
      <c r="M66" s="29" t="str">
        <f>IF($A66="","",IFERROR(INDEX('INPUT-SIF_Questions'!$G$2:$G$300,MATCH($A66,'INPUT-SIF_Questions'!$A$2:$A$300,0)),""))</f>
        <v>Y</v>
      </c>
      <c r="N66" s="29">
        <f>IF($A66="","",IFERROR(INDEX('INPUT-SIF_Questions'!$E$2:$E$300,MATCH($A66,'INPUT-SIF_Questions'!$A$2:$A$300,0)),""))</f>
        <v>0</v>
      </c>
    </row>
    <row r="67" spans="1:14" ht="14.25" customHeight="1" x14ac:dyDescent="0.45">
      <c r="A67" s="23" t="s">
        <v>206</v>
      </c>
      <c r="B67" s="23" t="s">
        <v>207</v>
      </c>
      <c r="C67" s="23" t="str">
        <f>IFERROR(VLOOKUP(B67,'DATABASE-DRIFT_LATENT_HP_ERROR'!$A$143:$B$160,2,FALSE()),"")</f>
        <v>Confined Space Entry</v>
      </c>
      <c r="D67" s="23" t="s">
        <v>890</v>
      </c>
      <c r="E67" s="23" t="s">
        <v>794</v>
      </c>
      <c r="F67" s="23" t="str">
        <f>IFERROR(VLOOKUP(E67,'DATABASE-DRIFT_LATENT_HP_ERROR'!$A$81:$B$85,2,FALSE()),"")</f>
        <v>Latent.1</v>
      </c>
      <c r="G67" s="23" t="s">
        <v>797</v>
      </c>
      <c r="H67" s="23" t="str">
        <f>IFERROR(VLOOKUP(G67,'DATABASE-DRIFT_LATENT_HP_ERROR'!$B$88:$D$137,3,FALSE()),"")</f>
        <v>Pemahaman engineering consequence lemah.</v>
      </c>
      <c r="K67" s="29">
        <f>IF($A67="","",IFERROR(INDEX('INPUT-SIF_Questions'!$B$2:$B$300,MATCH($A67,'INPUT-SIF_Questions'!$A$2:$A$300,0)),""))</f>
        <v>1</v>
      </c>
      <c r="L67" s="29" t="str">
        <f>IF($A67="","",IFERROR(INDEX('INPUT-SIF_Questions'!$F$2:$F$300,MATCH($A67,'INPUT-SIF_Questions'!$A$2:$A$300,0)),""))</f>
        <v>Baseline</v>
      </c>
      <c r="M67" s="29" t="str">
        <f>IF($A67="","",IFERROR(INDEX('INPUT-SIF_Questions'!$G$2:$G$300,MATCH($A67,'INPUT-SIF_Questions'!$A$2:$A$300,0)),""))</f>
        <v>Y</v>
      </c>
      <c r="N67" s="29">
        <f>IF($A67="","",IFERROR(INDEX('INPUT-SIF_Questions'!$E$2:$E$300,MATCH($A67,'INPUT-SIF_Questions'!$A$2:$A$300,0)),""))</f>
        <v>0</v>
      </c>
    </row>
    <row r="68" spans="1:14" ht="14.25" customHeight="1" x14ac:dyDescent="0.45">
      <c r="A68" s="23" t="s">
        <v>206</v>
      </c>
      <c r="B68" s="23" t="s">
        <v>207</v>
      </c>
      <c r="C68" s="23" t="str">
        <f>IFERROR(VLOOKUP(B68,'DATABASE-DRIFT_LATENT_HP_ERROR'!$A$143:$B$160,2,FALSE()),"")</f>
        <v>Confined Space Entry</v>
      </c>
      <c r="D68" s="23" t="s">
        <v>891</v>
      </c>
      <c r="E68" s="23" t="s">
        <v>810</v>
      </c>
      <c r="F68" s="23" t="str">
        <f>IFERROR(VLOOKUP(E68,'DATABASE-DRIFT_LATENT_HP_ERROR'!$A$81:$B$85,2,FALSE()),"")</f>
        <v>Latent.3</v>
      </c>
      <c r="G68" s="23" t="s">
        <v>812</v>
      </c>
      <c r="H68" s="23" t="str">
        <f>IFERROR(VLOOKUP(G68,'DATABASE-DRIFT_LATENT_HP_ERROR'!$B$88:$D$137,3,FALSE()),"")</f>
        <v>Validasi lapangan tidak cukup mendalam.</v>
      </c>
      <c r="K68" s="29">
        <f>IF($A68="","",IFERROR(INDEX('INPUT-SIF_Questions'!$B$2:$B$300,MATCH($A68,'INPUT-SIF_Questions'!$A$2:$A$300,0)),""))</f>
        <v>1</v>
      </c>
      <c r="L68" s="29" t="str">
        <f>IF($A68="","",IFERROR(INDEX('INPUT-SIF_Questions'!$F$2:$F$300,MATCH($A68,'INPUT-SIF_Questions'!$A$2:$A$300,0)),""))</f>
        <v>Baseline</v>
      </c>
      <c r="M68" s="29" t="str">
        <f>IF($A68="","",IFERROR(INDEX('INPUT-SIF_Questions'!$G$2:$G$300,MATCH($A68,'INPUT-SIF_Questions'!$A$2:$A$300,0)),""))</f>
        <v>Y</v>
      </c>
      <c r="N68" s="29">
        <f>IF($A68="","",IFERROR(INDEX('INPUT-SIF_Questions'!$E$2:$E$300,MATCH($A68,'INPUT-SIF_Questions'!$A$2:$A$300,0)),""))</f>
        <v>0</v>
      </c>
    </row>
    <row r="69" spans="1:14" ht="14.25" customHeight="1" x14ac:dyDescent="0.45">
      <c r="A69" s="23" t="s">
        <v>245</v>
      </c>
      <c r="B69" s="23" t="s">
        <v>207</v>
      </c>
      <c r="C69" s="23" t="str">
        <f>IFERROR(VLOOKUP(B69,'DATABASE-DRIFT_LATENT_HP_ERROR'!$A$143:$B$160,2,FALSE()),"")</f>
        <v>Confined Space Entry</v>
      </c>
      <c r="D69" s="23" t="s">
        <v>892</v>
      </c>
      <c r="E69" s="23" t="s">
        <v>816</v>
      </c>
      <c r="F69" s="23" t="str">
        <f>IFERROR(VLOOKUP(E69,'DATABASE-DRIFT_LATENT_HP_ERROR'!$A$81:$B$85,2,FALSE()),"")</f>
        <v>Latent.4</v>
      </c>
      <c r="G69" s="23" t="s">
        <v>871</v>
      </c>
      <c r="H69" s="23" t="str">
        <f>IFERROR(VLOOKUP(G69,'DATABASE-DRIFT_LATENT_HP_ERROR'!$B$88:$D$137,3,FALSE()),"")</f>
        <v>Contingency/rescue plan tidak memadai.</v>
      </c>
      <c r="K69" s="29">
        <f>IF($A69="","",IFERROR(INDEX('INPUT-SIF_Questions'!$B$2:$B$300,MATCH($A69,'INPUT-SIF_Questions'!$A$2:$A$300,0)),""))</f>
        <v>1</v>
      </c>
      <c r="L69" s="29" t="str">
        <f>IF($A69="","",IFERROR(INDEX('INPUT-SIF_Questions'!$F$2:$F$300,MATCH($A69,'INPUT-SIF_Questions'!$A$2:$A$300,0)),""))</f>
        <v>Baseline</v>
      </c>
      <c r="M69" s="29" t="str">
        <f>IF($A69="","",IFERROR(INDEX('INPUT-SIF_Questions'!$G$2:$G$300,MATCH($A69,'INPUT-SIF_Questions'!$A$2:$A$300,0)),""))</f>
        <v>Y</v>
      </c>
      <c r="N69" s="29">
        <f>IF($A69="","",IFERROR(INDEX('INPUT-SIF_Questions'!$E$2:$E$300,MATCH($A69,'INPUT-SIF_Questions'!$A$2:$A$300,0)),""))</f>
        <v>0</v>
      </c>
    </row>
    <row r="70" spans="1:14" ht="14.25" customHeight="1" x14ac:dyDescent="0.45">
      <c r="A70" s="23" t="s">
        <v>245</v>
      </c>
      <c r="B70" s="23" t="s">
        <v>207</v>
      </c>
      <c r="C70" s="23" t="str">
        <f>IFERROR(VLOOKUP(B70,'DATABASE-DRIFT_LATENT_HP_ERROR'!$A$143:$B$160,2,FALSE()),"")</f>
        <v>Confined Space Entry</v>
      </c>
      <c r="D70" s="23" t="s">
        <v>893</v>
      </c>
      <c r="E70" s="23" t="s">
        <v>801</v>
      </c>
      <c r="F70" s="23" t="str">
        <f>IFERROR(VLOOKUP(E70,'DATABASE-DRIFT_LATENT_HP_ERROR'!$A$81:$B$85,2,FALSE()),"")</f>
        <v>Latent.2</v>
      </c>
      <c r="G70" s="23" t="s">
        <v>804</v>
      </c>
      <c r="H70" s="23" t="str">
        <f>IFERROR(VLOOKUP(G70,'DATABASE-DRIFT_LATENT_HP_ERROR'!$B$88:$D$137,3,FALSE()),"")</f>
        <v>Safeguard penting tidak tertulis jelas.</v>
      </c>
      <c r="K70" s="29">
        <f>IF($A70="","",IFERROR(INDEX('INPUT-SIF_Questions'!$B$2:$B$300,MATCH($A70,'INPUT-SIF_Questions'!$A$2:$A$300,0)),""))</f>
        <v>1</v>
      </c>
      <c r="L70" s="29" t="str">
        <f>IF($A70="","",IFERROR(INDEX('INPUT-SIF_Questions'!$F$2:$F$300,MATCH($A70,'INPUT-SIF_Questions'!$A$2:$A$300,0)),""))</f>
        <v>Baseline</v>
      </c>
      <c r="M70" s="29" t="str">
        <f>IF($A70="","",IFERROR(INDEX('INPUT-SIF_Questions'!$G$2:$G$300,MATCH($A70,'INPUT-SIF_Questions'!$A$2:$A$300,0)),""))</f>
        <v>Y</v>
      </c>
      <c r="N70" s="29">
        <f>IF($A70="","",IFERROR(INDEX('INPUT-SIF_Questions'!$E$2:$E$300,MATCH($A70,'INPUT-SIF_Questions'!$A$2:$A$300,0)),""))</f>
        <v>0</v>
      </c>
    </row>
    <row r="71" spans="1:14" ht="14.25" customHeight="1" x14ac:dyDescent="0.45">
      <c r="A71" s="23" t="s">
        <v>245</v>
      </c>
      <c r="B71" s="23" t="s">
        <v>207</v>
      </c>
      <c r="C71" s="23" t="str">
        <f>IFERROR(VLOOKUP(B71,'DATABASE-DRIFT_LATENT_HP_ERROR'!$A$143:$B$160,2,FALSE()),"")</f>
        <v>Confined Space Entry</v>
      </c>
      <c r="D71" s="23" t="s">
        <v>894</v>
      </c>
      <c r="E71" s="23" t="s">
        <v>881</v>
      </c>
      <c r="F71" s="23" t="str">
        <f>IFERROR(VLOOKUP(E71,'DATABASE-DRIFT_LATENT_HP_ERROR'!$A$81:$B$85,2,FALSE()),"")</f>
        <v/>
      </c>
      <c r="G71" s="23" t="s">
        <v>882</v>
      </c>
      <c r="H71" s="23" t="str">
        <f>IFERROR(VLOOKUP(G71,'DATABASE-DRIFT_LATENT_HP_ERROR'!$B$88:$D$137,3,FALSE()),"")</f>
        <v/>
      </c>
      <c r="K71" s="29">
        <f>IF($A71="","",IFERROR(INDEX('INPUT-SIF_Questions'!$B$2:$B$300,MATCH($A71,'INPUT-SIF_Questions'!$A$2:$A$300,0)),""))</f>
        <v>1</v>
      </c>
      <c r="L71" s="29" t="str">
        <f>IF($A71="","",IFERROR(INDEX('INPUT-SIF_Questions'!$F$2:$F$300,MATCH($A71,'INPUT-SIF_Questions'!$A$2:$A$300,0)),""))</f>
        <v>Baseline</v>
      </c>
      <c r="M71" s="29" t="str">
        <f>IF($A71="","",IFERROR(INDEX('INPUT-SIF_Questions'!$G$2:$G$300,MATCH($A71,'INPUT-SIF_Questions'!$A$2:$A$300,0)),""))</f>
        <v>Y</v>
      </c>
      <c r="N71" s="29">
        <f>IF($A71="","",IFERROR(INDEX('INPUT-SIF_Questions'!$E$2:$E$300,MATCH($A71,'INPUT-SIF_Questions'!$A$2:$A$300,0)),""))</f>
        <v>0</v>
      </c>
    </row>
    <row r="72" spans="1:14" ht="14.25" customHeight="1" x14ac:dyDescent="0.45">
      <c r="A72" s="23" t="s">
        <v>245</v>
      </c>
      <c r="B72" s="23" t="s">
        <v>207</v>
      </c>
      <c r="C72" s="23" t="str">
        <f>IFERROR(VLOOKUP(B72,'DATABASE-DRIFT_LATENT_HP_ERROR'!$A$143:$B$160,2,FALSE()),"")</f>
        <v>Confined Space Entry</v>
      </c>
      <c r="D72" s="23" t="s">
        <v>895</v>
      </c>
      <c r="E72" s="23" t="s">
        <v>816</v>
      </c>
      <c r="F72" s="23" t="str">
        <f>IFERROR(VLOOKUP(E72,'DATABASE-DRIFT_LATENT_HP_ERROR'!$A$81:$B$85,2,FALSE()),"")</f>
        <v>Latent.4</v>
      </c>
      <c r="G72" s="23" t="s">
        <v>871</v>
      </c>
      <c r="H72" s="23" t="str">
        <f>IFERROR(VLOOKUP(G72,'DATABASE-DRIFT_LATENT_HP_ERROR'!$B$88:$D$137,3,FALSE()),"")</f>
        <v>Contingency/rescue plan tidak memadai.</v>
      </c>
      <c r="K72" s="29">
        <f>IF($A72="","",IFERROR(INDEX('INPUT-SIF_Questions'!$B$2:$B$300,MATCH($A72,'INPUT-SIF_Questions'!$A$2:$A$300,0)),""))</f>
        <v>1</v>
      </c>
      <c r="L72" s="29" t="str">
        <f>IF($A72="","",IFERROR(INDEX('INPUT-SIF_Questions'!$F$2:$F$300,MATCH($A72,'INPUT-SIF_Questions'!$A$2:$A$300,0)),""))</f>
        <v>Baseline</v>
      </c>
      <c r="M72" s="29" t="str">
        <f>IF($A72="","",IFERROR(INDEX('INPUT-SIF_Questions'!$G$2:$G$300,MATCH($A72,'INPUT-SIF_Questions'!$A$2:$A$300,0)),""))</f>
        <v>Y</v>
      </c>
      <c r="N72" s="29">
        <f>IF($A72="","",IFERROR(INDEX('INPUT-SIF_Questions'!$E$2:$E$300,MATCH($A72,'INPUT-SIF_Questions'!$A$2:$A$300,0)),""))</f>
        <v>0</v>
      </c>
    </row>
    <row r="73" spans="1:14" ht="14.25" customHeight="1" x14ac:dyDescent="0.45">
      <c r="A73" s="23" t="s">
        <v>245</v>
      </c>
      <c r="B73" s="23" t="s">
        <v>207</v>
      </c>
      <c r="C73" s="23" t="str">
        <f>IFERROR(VLOOKUP(B73,'DATABASE-DRIFT_LATENT_HP_ERROR'!$A$143:$B$160,2,FALSE()),"")</f>
        <v>Confined Space Entry</v>
      </c>
      <c r="D73" s="23" t="s">
        <v>896</v>
      </c>
      <c r="E73" s="23" t="s">
        <v>823</v>
      </c>
      <c r="F73" s="23" t="str">
        <f>IFERROR(VLOOKUP(E73,'DATABASE-DRIFT_LATENT_HP_ERROR'!$A$81:$B$85,2,FALSE()),"")</f>
        <v>Latent.5</v>
      </c>
      <c r="G73" s="23" t="s">
        <v>826</v>
      </c>
      <c r="H73" s="23" t="str">
        <f>IFERROR(VLOOKUP(G73,'DATABASE-DRIFT_LATENT_HP_ERROR'!$B$88:$D$137,3,FALSE()),"")</f>
        <v>Barrier fisik tidak cukup melindungi pekerja.</v>
      </c>
      <c r="K73" s="29">
        <f>IF($A73="","",IFERROR(INDEX('INPUT-SIF_Questions'!$B$2:$B$300,MATCH($A73,'INPUT-SIF_Questions'!$A$2:$A$300,0)),""))</f>
        <v>1</v>
      </c>
      <c r="L73" s="29" t="str">
        <f>IF($A73="","",IFERROR(INDEX('INPUT-SIF_Questions'!$F$2:$F$300,MATCH($A73,'INPUT-SIF_Questions'!$A$2:$A$300,0)),""))</f>
        <v>Baseline</v>
      </c>
      <c r="M73" s="29" t="str">
        <f>IF($A73="","",IFERROR(INDEX('INPUT-SIF_Questions'!$G$2:$G$300,MATCH($A73,'INPUT-SIF_Questions'!$A$2:$A$300,0)),""))</f>
        <v>Y</v>
      </c>
      <c r="N73" s="29">
        <f>IF($A73="","",IFERROR(INDEX('INPUT-SIF_Questions'!$E$2:$E$300,MATCH($A73,'INPUT-SIF_Questions'!$A$2:$A$300,0)),""))</f>
        <v>0</v>
      </c>
    </row>
    <row r="74" spans="1:14" ht="14.25" customHeight="1" x14ac:dyDescent="0.45">
      <c r="A74" s="23" t="s">
        <v>245</v>
      </c>
      <c r="B74" s="23" t="s">
        <v>207</v>
      </c>
      <c r="C74" s="23" t="str">
        <f>IFERROR(VLOOKUP(B74,'DATABASE-DRIFT_LATENT_HP_ERROR'!$A$143:$B$160,2,FALSE()),"")</f>
        <v>Confined Space Entry</v>
      </c>
      <c r="D74" s="23" t="s">
        <v>897</v>
      </c>
      <c r="E74" s="23" t="s">
        <v>810</v>
      </c>
      <c r="F74" s="23" t="str">
        <f>IFERROR(VLOOKUP(E74,'DATABASE-DRIFT_LATENT_HP_ERROR'!$A$81:$B$85,2,FALSE()),"")</f>
        <v>Latent.3</v>
      </c>
      <c r="G74" s="23" t="s">
        <v>812</v>
      </c>
      <c r="H74" s="23" t="str">
        <f>IFERROR(VLOOKUP(G74,'DATABASE-DRIFT_LATENT_HP_ERROR'!$B$88:$D$137,3,FALSE()),"")</f>
        <v>Validasi lapangan tidak cukup mendalam.</v>
      </c>
      <c r="K74" s="29">
        <f>IF($A74="","",IFERROR(INDEX('INPUT-SIF_Questions'!$B$2:$B$300,MATCH($A74,'INPUT-SIF_Questions'!$A$2:$A$300,0)),""))</f>
        <v>1</v>
      </c>
      <c r="L74" s="29" t="str">
        <f>IF($A74="","",IFERROR(INDEX('INPUT-SIF_Questions'!$F$2:$F$300,MATCH($A74,'INPUT-SIF_Questions'!$A$2:$A$300,0)),""))</f>
        <v>Baseline</v>
      </c>
      <c r="M74" s="29" t="str">
        <f>IF($A74="","",IFERROR(INDEX('INPUT-SIF_Questions'!$G$2:$G$300,MATCH($A74,'INPUT-SIF_Questions'!$A$2:$A$300,0)),""))</f>
        <v>Y</v>
      </c>
      <c r="N74" s="29">
        <f>IF($A74="","",IFERROR(INDEX('INPUT-SIF_Questions'!$E$2:$E$300,MATCH($A74,'INPUT-SIF_Questions'!$A$2:$A$300,0)),""))</f>
        <v>0</v>
      </c>
    </row>
    <row r="75" spans="1:14" ht="14.25" customHeight="1" x14ac:dyDescent="0.45">
      <c r="A75" s="23" t="s">
        <v>245</v>
      </c>
      <c r="B75" s="23" t="s">
        <v>207</v>
      </c>
      <c r="C75" s="23" t="str">
        <f>IFERROR(VLOOKUP(B75,'DATABASE-DRIFT_LATENT_HP_ERROR'!$A$143:$B$160,2,FALSE()),"")</f>
        <v>Confined Space Entry</v>
      </c>
      <c r="D75" s="23" t="s">
        <v>898</v>
      </c>
      <c r="E75" s="23" t="s">
        <v>899</v>
      </c>
      <c r="F75" s="23" t="str">
        <f>IFERROR(VLOOKUP(E75,'DATABASE-DRIFT_LATENT_HP_ERROR'!$A$81:$B$85,2,FALSE()),"")</f>
        <v/>
      </c>
      <c r="G75" s="23" t="s">
        <v>900</v>
      </c>
      <c r="H75" s="23" t="str">
        <f>IFERROR(VLOOKUP(G75,'DATABASE-DRIFT_LATENT_HP_ERROR'!$B$88:$D$137,3,FALSE()),"")</f>
        <v/>
      </c>
      <c r="K75" s="29">
        <f>IF($A75="","",IFERROR(INDEX('INPUT-SIF_Questions'!$B$2:$B$300,MATCH($A75,'INPUT-SIF_Questions'!$A$2:$A$300,0)),""))</f>
        <v>1</v>
      </c>
      <c r="L75" s="29" t="str">
        <f>IF($A75="","",IFERROR(INDEX('INPUT-SIF_Questions'!$F$2:$F$300,MATCH($A75,'INPUT-SIF_Questions'!$A$2:$A$300,0)),""))</f>
        <v>Baseline</v>
      </c>
      <c r="M75" s="29" t="str">
        <f>IF($A75="","",IFERROR(INDEX('INPUT-SIF_Questions'!$G$2:$G$300,MATCH($A75,'INPUT-SIF_Questions'!$A$2:$A$300,0)),""))</f>
        <v>Y</v>
      </c>
      <c r="N75" s="29">
        <f>IF($A75="","",IFERROR(INDEX('INPUT-SIF_Questions'!$E$2:$E$300,MATCH($A75,'INPUT-SIF_Questions'!$A$2:$A$300,0)),""))</f>
        <v>0</v>
      </c>
    </row>
    <row r="76" spans="1:14" ht="14.25" customHeight="1" x14ac:dyDescent="0.45">
      <c r="A76" s="23" t="s">
        <v>264</v>
      </c>
      <c r="B76" s="23" t="s">
        <v>207</v>
      </c>
      <c r="C76" s="23" t="str">
        <f>IFERROR(VLOOKUP(B76,'DATABASE-DRIFT_LATENT_HP_ERROR'!$A$143:$B$160,2,FALSE()),"")</f>
        <v>Confined Space Entry</v>
      </c>
      <c r="D76" s="23" t="s">
        <v>901</v>
      </c>
      <c r="E76" s="23" t="s">
        <v>816</v>
      </c>
      <c r="F76" s="23" t="str">
        <f>IFERROR(VLOOKUP(E76,'DATABASE-DRIFT_LATENT_HP_ERROR'!$A$81:$B$85,2,FALSE()),"")</f>
        <v>Latent.4</v>
      </c>
      <c r="G76" s="23" t="s">
        <v>871</v>
      </c>
      <c r="H76" s="23" t="str">
        <f>IFERROR(VLOOKUP(G76,'DATABASE-DRIFT_LATENT_HP_ERROR'!$B$88:$D$137,3,FALSE()),"")</f>
        <v>Contingency/rescue plan tidak memadai.</v>
      </c>
      <c r="K76" s="29">
        <f>IF($A76="","",IFERROR(INDEX('INPUT-SIF_Questions'!$B$2:$B$300,MATCH($A76,'INPUT-SIF_Questions'!$A$2:$A$300,0)),""))</f>
        <v>1</v>
      </c>
      <c r="L76" s="29" t="str">
        <f>IF($A76="","",IFERROR(INDEX('INPUT-SIF_Questions'!$F$2:$F$300,MATCH($A76,'INPUT-SIF_Questions'!$A$2:$A$300,0)),""))</f>
        <v>Baseline</v>
      </c>
      <c r="M76" s="29" t="str">
        <f>IF($A76="","",IFERROR(INDEX('INPUT-SIF_Questions'!$G$2:$G$300,MATCH($A76,'INPUT-SIF_Questions'!$A$2:$A$300,0)),""))</f>
        <v>Y</v>
      </c>
      <c r="N76" s="29">
        <f>IF($A76="","",IFERROR(INDEX('INPUT-SIF_Questions'!$E$2:$E$300,MATCH($A76,'INPUT-SIF_Questions'!$A$2:$A$300,0)),""))</f>
        <v>0</v>
      </c>
    </row>
    <row r="77" spans="1:14" ht="14.25" customHeight="1" x14ac:dyDescent="0.45">
      <c r="A77" s="23" t="s">
        <v>264</v>
      </c>
      <c r="B77" s="23" t="s">
        <v>207</v>
      </c>
      <c r="C77" s="23" t="str">
        <f>IFERROR(VLOOKUP(B77,'DATABASE-DRIFT_LATENT_HP_ERROR'!$A$143:$B$160,2,FALSE()),"")</f>
        <v>Confined Space Entry</v>
      </c>
      <c r="D77" s="23" t="s">
        <v>893</v>
      </c>
      <c r="E77" s="23" t="s">
        <v>801</v>
      </c>
      <c r="F77" s="23" t="str">
        <f>IFERROR(VLOOKUP(E77,'DATABASE-DRIFT_LATENT_HP_ERROR'!$A$81:$B$85,2,FALSE()),"")</f>
        <v>Latent.2</v>
      </c>
      <c r="G77" s="23" t="s">
        <v>804</v>
      </c>
      <c r="H77" s="23" t="str">
        <f>IFERROR(VLOOKUP(G77,'DATABASE-DRIFT_LATENT_HP_ERROR'!$B$88:$D$137,3,FALSE()),"")</f>
        <v>Safeguard penting tidak tertulis jelas.</v>
      </c>
      <c r="K77" s="29">
        <f>IF($A77="","",IFERROR(INDEX('INPUT-SIF_Questions'!$B$2:$B$300,MATCH($A77,'INPUT-SIF_Questions'!$A$2:$A$300,0)),""))</f>
        <v>1</v>
      </c>
      <c r="L77" s="29" t="str">
        <f>IF($A77="","",IFERROR(INDEX('INPUT-SIF_Questions'!$F$2:$F$300,MATCH($A77,'INPUT-SIF_Questions'!$A$2:$A$300,0)),""))</f>
        <v>Baseline</v>
      </c>
      <c r="M77" s="29" t="str">
        <f>IF($A77="","",IFERROR(INDEX('INPUT-SIF_Questions'!$G$2:$G$300,MATCH($A77,'INPUT-SIF_Questions'!$A$2:$A$300,0)),""))</f>
        <v>Y</v>
      </c>
      <c r="N77" s="29">
        <f>IF($A77="","",IFERROR(INDEX('INPUT-SIF_Questions'!$E$2:$E$300,MATCH($A77,'INPUT-SIF_Questions'!$A$2:$A$300,0)),""))</f>
        <v>0</v>
      </c>
    </row>
    <row r="78" spans="1:14" ht="14.25" customHeight="1" x14ac:dyDescent="0.45">
      <c r="A78" s="23" t="s">
        <v>264</v>
      </c>
      <c r="B78" s="23" t="s">
        <v>207</v>
      </c>
      <c r="C78" s="23" t="str">
        <f>IFERROR(VLOOKUP(B78,'DATABASE-DRIFT_LATENT_HP_ERROR'!$A$143:$B$160,2,FALSE()),"")</f>
        <v>Confined Space Entry</v>
      </c>
      <c r="D78" s="23" t="s">
        <v>894</v>
      </c>
      <c r="E78" s="23" t="s">
        <v>881</v>
      </c>
      <c r="F78" s="23" t="str">
        <f>IFERROR(VLOOKUP(E78,'DATABASE-DRIFT_LATENT_HP_ERROR'!$A$81:$B$85,2,FALSE()),"")</f>
        <v/>
      </c>
      <c r="G78" s="23" t="s">
        <v>882</v>
      </c>
      <c r="H78" s="23" t="str">
        <f>IFERROR(VLOOKUP(G78,'DATABASE-DRIFT_LATENT_HP_ERROR'!$B$88:$D$137,3,FALSE()),"")</f>
        <v/>
      </c>
      <c r="K78" s="29">
        <f>IF($A78="","",IFERROR(INDEX('INPUT-SIF_Questions'!$B$2:$B$300,MATCH($A78,'INPUT-SIF_Questions'!$A$2:$A$300,0)),""))</f>
        <v>1</v>
      </c>
      <c r="L78" s="29" t="str">
        <f>IF($A78="","",IFERROR(INDEX('INPUT-SIF_Questions'!$F$2:$F$300,MATCH($A78,'INPUT-SIF_Questions'!$A$2:$A$300,0)),""))</f>
        <v>Baseline</v>
      </c>
      <c r="M78" s="29" t="str">
        <f>IF($A78="","",IFERROR(INDEX('INPUT-SIF_Questions'!$G$2:$G$300,MATCH($A78,'INPUT-SIF_Questions'!$A$2:$A$300,0)),""))</f>
        <v>Y</v>
      </c>
      <c r="N78" s="29">
        <f>IF($A78="","",IFERROR(INDEX('INPUT-SIF_Questions'!$E$2:$E$300,MATCH($A78,'INPUT-SIF_Questions'!$A$2:$A$300,0)),""))</f>
        <v>0</v>
      </c>
    </row>
    <row r="79" spans="1:14" ht="14.25" customHeight="1" x14ac:dyDescent="0.45">
      <c r="A79" s="23" t="s">
        <v>264</v>
      </c>
      <c r="B79" s="23" t="s">
        <v>207</v>
      </c>
      <c r="C79" s="23" t="str">
        <f>IFERROR(VLOOKUP(B79,'DATABASE-DRIFT_LATENT_HP_ERROR'!$A$143:$B$160,2,FALSE()),"")</f>
        <v>Confined Space Entry</v>
      </c>
      <c r="D79" s="23" t="s">
        <v>895</v>
      </c>
      <c r="E79" s="23" t="s">
        <v>816</v>
      </c>
      <c r="F79" s="23" t="str">
        <f>IFERROR(VLOOKUP(E79,'DATABASE-DRIFT_LATENT_HP_ERROR'!$A$81:$B$85,2,FALSE()),"")</f>
        <v>Latent.4</v>
      </c>
      <c r="G79" s="23" t="s">
        <v>871</v>
      </c>
      <c r="H79" s="23" t="str">
        <f>IFERROR(VLOOKUP(G79,'DATABASE-DRIFT_LATENT_HP_ERROR'!$B$88:$D$137,3,FALSE()),"")</f>
        <v>Contingency/rescue plan tidak memadai.</v>
      </c>
      <c r="K79" s="29">
        <f>IF($A79="","",IFERROR(INDEX('INPUT-SIF_Questions'!$B$2:$B$300,MATCH($A79,'INPUT-SIF_Questions'!$A$2:$A$300,0)),""))</f>
        <v>1</v>
      </c>
      <c r="L79" s="29" t="str">
        <f>IF($A79="","",IFERROR(INDEX('INPUT-SIF_Questions'!$F$2:$F$300,MATCH($A79,'INPUT-SIF_Questions'!$A$2:$A$300,0)),""))</f>
        <v>Baseline</v>
      </c>
      <c r="M79" s="29" t="str">
        <f>IF($A79="","",IFERROR(INDEX('INPUT-SIF_Questions'!$G$2:$G$300,MATCH($A79,'INPUT-SIF_Questions'!$A$2:$A$300,0)),""))</f>
        <v>Y</v>
      </c>
      <c r="N79" s="29">
        <f>IF($A79="","",IFERROR(INDEX('INPUT-SIF_Questions'!$E$2:$E$300,MATCH($A79,'INPUT-SIF_Questions'!$A$2:$A$300,0)),""))</f>
        <v>0</v>
      </c>
    </row>
    <row r="80" spans="1:14" ht="14.25" customHeight="1" x14ac:dyDescent="0.45">
      <c r="A80" s="23" t="s">
        <v>264</v>
      </c>
      <c r="B80" s="23" t="s">
        <v>207</v>
      </c>
      <c r="C80" s="23" t="str">
        <f>IFERROR(VLOOKUP(B80,'DATABASE-DRIFT_LATENT_HP_ERROR'!$A$143:$B$160,2,FALSE()),"")</f>
        <v>Confined Space Entry</v>
      </c>
      <c r="D80" s="23" t="s">
        <v>896</v>
      </c>
      <c r="E80" s="23" t="s">
        <v>823</v>
      </c>
      <c r="F80" s="23" t="str">
        <f>IFERROR(VLOOKUP(E80,'DATABASE-DRIFT_LATENT_HP_ERROR'!$A$81:$B$85,2,FALSE()),"")</f>
        <v>Latent.5</v>
      </c>
      <c r="G80" s="23" t="s">
        <v>826</v>
      </c>
      <c r="H80" s="23" t="str">
        <f>IFERROR(VLOOKUP(G80,'DATABASE-DRIFT_LATENT_HP_ERROR'!$B$88:$D$137,3,FALSE()),"")</f>
        <v>Barrier fisik tidak cukup melindungi pekerja.</v>
      </c>
      <c r="K80" s="29">
        <f>IF($A80="","",IFERROR(INDEX('INPUT-SIF_Questions'!$B$2:$B$300,MATCH($A80,'INPUT-SIF_Questions'!$A$2:$A$300,0)),""))</f>
        <v>1</v>
      </c>
      <c r="L80" s="29" t="str">
        <f>IF($A80="","",IFERROR(INDEX('INPUT-SIF_Questions'!$F$2:$F$300,MATCH($A80,'INPUT-SIF_Questions'!$A$2:$A$300,0)),""))</f>
        <v>Baseline</v>
      </c>
      <c r="M80" s="29" t="str">
        <f>IF($A80="","",IFERROR(INDEX('INPUT-SIF_Questions'!$G$2:$G$300,MATCH($A80,'INPUT-SIF_Questions'!$A$2:$A$300,0)),""))</f>
        <v>Y</v>
      </c>
      <c r="N80" s="29">
        <f>IF($A80="","",IFERROR(INDEX('INPUT-SIF_Questions'!$E$2:$E$300,MATCH($A80,'INPUT-SIF_Questions'!$A$2:$A$300,0)),""))</f>
        <v>0</v>
      </c>
    </row>
    <row r="81" spans="1:14" ht="14.25" customHeight="1" x14ac:dyDescent="0.45">
      <c r="A81" s="23" t="s">
        <v>264</v>
      </c>
      <c r="B81" s="23" t="s">
        <v>207</v>
      </c>
      <c r="C81" s="23" t="str">
        <f>IFERROR(VLOOKUP(B81,'DATABASE-DRIFT_LATENT_HP_ERROR'!$A$143:$B$160,2,FALSE()),"")</f>
        <v>Confined Space Entry</v>
      </c>
      <c r="D81" s="23" t="s">
        <v>897</v>
      </c>
      <c r="E81" s="23" t="s">
        <v>810</v>
      </c>
      <c r="F81" s="23" t="str">
        <f>IFERROR(VLOOKUP(E81,'DATABASE-DRIFT_LATENT_HP_ERROR'!$A$81:$B$85,2,FALSE()),"")</f>
        <v>Latent.3</v>
      </c>
      <c r="G81" s="23" t="s">
        <v>812</v>
      </c>
      <c r="H81" s="23" t="str">
        <f>IFERROR(VLOOKUP(G81,'DATABASE-DRIFT_LATENT_HP_ERROR'!$B$88:$D$137,3,FALSE()),"")</f>
        <v>Validasi lapangan tidak cukup mendalam.</v>
      </c>
      <c r="K81" s="29">
        <f>IF($A81="","",IFERROR(INDEX('INPUT-SIF_Questions'!$B$2:$B$300,MATCH($A81,'INPUT-SIF_Questions'!$A$2:$A$300,0)),""))</f>
        <v>1</v>
      </c>
      <c r="L81" s="29" t="str">
        <f>IF($A81="","",IFERROR(INDEX('INPUT-SIF_Questions'!$F$2:$F$300,MATCH($A81,'INPUT-SIF_Questions'!$A$2:$A$300,0)),""))</f>
        <v>Baseline</v>
      </c>
      <c r="M81" s="29" t="str">
        <f>IF($A81="","",IFERROR(INDEX('INPUT-SIF_Questions'!$G$2:$G$300,MATCH($A81,'INPUT-SIF_Questions'!$A$2:$A$300,0)),""))</f>
        <v>Y</v>
      </c>
      <c r="N81" s="29">
        <f>IF($A81="","",IFERROR(INDEX('INPUT-SIF_Questions'!$E$2:$E$300,MATCH($A81,'INPUT-SIF_Questions'!$A$2:$A$300,0)),""))</f>
        <v>0</v>
      </c>
    </row>
    <row r="82" spans="1:14" ht="14.25" customHeight="1" x14ac:dyDescent="0.45">
      <c r="A82" s="23" t="s">
        <v>264</v>
      </c>
      <c r="B82" s="23" t="s">
        <v>207</v>
      </c>
      <c r="C82" s="23" t="str">
        <f>IFERROR(VLOOKUP(B82,'DATABASE-DRIFT_LATENT_HP_ERROR'!$A$143:$B$160,2,FALSE()),"")</f>
        <v>Confined Space Entry</v>
      </c>
      <c r="D82" s="23" t="s">
        <v>898</v>
      </c>
      <c r="E82" s="23" t="s">
        <v>899</v>
      </c>
      <c r="F82" s="23" t="str">
        <f>IFERROR(VLOOKUP(E82,'DATABASE-DRIFT_LATENT_HP_ERROR'!$A$81:$B$85,2,FALSE()),"")</f>
        <v/>
      </c>
      <c r="G82" s="23" t="s">
        <v>900</v>
      </c>
      <c r="H82" s="23" t="str">
        <f>IFERROR(VLOOKUP(G82,'DATABASE-DRIFT_LATENT_HP_ERROR'!$B$88:$D$137,3,FALSE()),"")</f>
        <v/>
      </c>
      <c r="K82" s="29">
        <f>IF($A82="","",IFERROR(INDEX('INPUT-SIF_Questions'!$B$2:$B$300,MATCH($A82,'INPUT-SIF_Questions'!$A$2:$A$300,0)),""))</f>
        <v>1</v>
      </c>
      <c r="L82" s="29" t="str">
        <f>IF($A82="","",IFERROR(INDEX('INPUT-SIF_Questions'!$F$2:$F$300,MATCH($A82,'INPUT-SIF_Questions'!$A$2:$A$300,0)),""))</f>
        <v>Baseline</v>
      </c>
      <c r="M82" s="29" t="str">
        <f>IF($A82="","",IFERROR(INDEX('INPUT-SIF_Questions'!$G$2:$G$300,MATCH($A82,'INPUT-SIF_Questions'!$A$2:$A$300,0)),""))</f>
        <v>Y</v>
      </c>
      <c r="N82" s="29">
        <f>IF($A82="","",IFERROR(INDEX('INPUT-SIF_Questions'!$E$2:$E$300,MATCH($A82,'INPUT-SIF_Questions'!$A$2:$A$300,0)),""))</f>
        <v>0</v>
      </c>
    </row>
    <row r="83" spans="1:14" ht="14.25" customHeight="1" x14ac:dyDescent="0.45">
      <c r="A83" s="23" t="s">
        <v>275</v>
      </c>
      <c r="B83" s="23" t="s">
        <v>34</v>
      </c>
      <c r="C83" s="23" t="str">
        <f>IFERROR(VLOOKUP(B83,'DATABASE-DRIFT_LATENT_HP_ERROR'!$A$143:$B$160,2,FALSE()),"")</f>
        <v>Work at Height</v>
      </c>
      <c r="D83" s="23" t="s">
        <v>902</v>
      </c>
      <c r="E83" s="23" t="s">
        <v>794</v>
      </c>
      <c r="F83" s="23" t="str">
        <f>IFERROR(VLOOKUP(E83,'DATABASE-DRIFT_LATENT_HP_ERROR'!$A$81:$B$85,2,FALSE()),"")</f>
        <v>Latent.1</v>
      </c>
      <c r="G83" s="23" t="s">
        <v>795</v>
      </c>
      <c r="H83" s="23" t="str">
        <f>IFERROR(VLOOKUP(G83,'DATABASE-DRIFT_LATENT_HP_ERROR'!$B$88:$D$137,3,FALSE()),"")</f>
        <v>Hierarchy of control WAH tidak dipahami.</v>
      </c>
      <c r="K83" s="29">
        <f>IF($A83="","",IFERROR(INDEX('INPUT-SIF_Questions'!$B$2:$B$300,MATCH($A83,'INPUT-SIF_Questions'!$A$2:$A$300,0)),""))</f>
        <v>1</v>
      </c>
      <c r="L83" s="29" t="str">
        <f>IF($A83="","",IFERROR(INDEX('INPUT-SIF_Questions'!$F$2:$F$300,MATCH($A83,'INPUT-SIF_Questions'!$A$2:$A$300,0)),""))</f>
        <v>Baseline</v>
      </c>
      <c r="M83" s="29" t="str">
        <f>IF($A83="","",IFERROR(INDEX('INPUT-SIF_Questions'!$G$2:$G$300,MATCH($A83,'INPUT-SIF_Questions'!$A$2:$A$300,0)),""))</f>
        <v>Y</v>
      </c>
      <c r="N83" s="29">
        <f>IF($A83="","",IFERROR(INDEX('INPUT-SIF_Questions'!$E$2:$E$300,MATCH($A83,'INPUT-SIF_Questions'!$A$2:$A$300,0)),""))</f>
        <v>0</v>
      </c>
    </row>
    <row r="84" spans="1:14" ht="14.25" customHeight="1" x14ac:dyDescent="0.45">
      <c r="A84" s="23" t="s">
        <v>275</v>
      </c>
      <c r="B84" s="23" t="s">
        <v>34</v>
      </c>
      <c r="C84" s="23" t="str">
        <f>IFERROR(VLOOKUP(B84,'DATABASE-DRIFT_LATENT_HP_ERROR'!$A$143:$B$160,2,FALSE()),"")</f>
        <v>Work at Height</v>
      </c>
      <c r="D84" s="23" t="s">
        <v>903</v>
      </c>
      <c r="E84" s="23" t="s">
        <v>794</v>
      </c>
      <c r="F84" s="23" t="str">
        <f>IFERROR(VLOOKUP(E84,'DATABASE-DRIFT_LATENT_HP_ERROR'!$A$81:$B$85,2,FALSE()),"")</f>
        <v>Latent.1</v>
      </c>
      <c r="G84" s="23" t="s">
        <v>797</v>
      </c>
      <c r="H84" s="23" t="str">
        <f>IFERROR(VLOOKUP(G84,'DATABASE-DRIFT_LATENT_HP_ERROR'!$B$88:$D$137,3,FALSE()),"")</f>
        <v>Pemahaman engineering consequence lemah.</v>
      </c>
      <c r="K84" s="29">
        <f>IF($A84="","",IFERROR(INDEX('INPUT-SIF_Questions'!$B$2:$B$300,MATCH($A84,'INPUT-SIF_Questions'!$A$2:$A$300,0)),""))</f>
        <v>1</v>
      </c>
      <c r="L84" s="29" t="str">
        <f>IF($A84="","",IFERROR(INDEX('INPUT-SIF_Questions'!$F$2:$F$300,MATCH($A84,'INPUT-SIF_Questions'!$A$2:$A$300,0)),""))</f>
        <v>Baseline</v>
      </c>
      <c r="M84" s="29" t="str">
        <f>IF($A84="","",IFERROR(INDEX('INPUT-SIF_Questions'!$G$2:$G$300,MATCH($A84,'INPUT-SIF_Questions'!$A$2:$A$300,0)),""))</f>
        <v>Y</v>
      </c>
      <c r="N84" s="29">
        <f>IF($A84="","",IFERROR(INDEX('INPUT-SIF_Questions'!$E$2:$E$300,MATCH($A84,'INPUT-SIF_Questions'!$A$2:$A$300,0)),""))</f>
        <v>0</v>
      </c>
    </row>
    <row r="85" spans="1:14" ht="14.25" customHeight="1" x14ac:dyDescent="0.45">
      <c r="A85" s="23" t="s">
        <v>275</v>
      </c>
      <c r="B85" s="23" t="s">
        <v>34</v>
      </c>
      <c r="C85" s="23" t="str">
        <f>IFERROR(VLOOKUP(B85,'DATABASE-DRIFT_LATENT_HP_ERROR'!$A$143:$B$160,2,FALSE()),"")</f>
        <v>Work at Height</v>
      </c>
      <c r="D85" s="23" t="s">
        <v>904</v>
      </c>
      <c r="E85" s="23" t="s">
        <v>810</v>
      </c>
      <c r="F85" s="23" t="str">
        <f>IFERROR(VLOOKUP(E85,'DATABASE-DRIFT_LATENT_HP_ERROR'!$A$81:$B$85,2,FALSE()),"")</f>
        <v>Latent.3</v>
      </c>
      <c r="G85" s="23" t="s">
        <v>812</v>
      </c>
      <c r="H85" s="23" t="str">
        <f>IFERROR(VLOOKUP(G85,'DATABASE-DRIFT_LATENT_HP_ERROR'!$B$88:$D$137,3,FALSE()),"")</f>
        <v>Validasi lapangan tidak cukup mendalam.</v>
      </c>
      <c r="K85" s="29">
        <f>IF($A85="","",IFERROR(INDEX('INPUT-SIF_Questions'!$B$2:$B$300,MATCH($A85,'INPUT-SIF_Questions'!$A$2:$A$300,0)),""))</f>
        <v>1</v>
      </c>
      <c r="L85" s="29" t="str">
        <f>IF($A85="","",IFERROR(INDEX('INPUT-SIF_Questions'!$F$2:$F$300,MATCH($A85,'INPUT-SIF_Questions'!$A$2:$A$300,0)),""))</f>
        <v>Baseline</v>
      </c>
      <c r="M85" s="29" t="str">
        <f>IF($A85="","",IFERROR(INDEX('INPUT-SIF_Questions'!$G$2:$G$300,MATCH($A85,'INPUT-SIF_Questions'!$A$2:$A$300,0)),""))</f>
        <v>Y</v>
      </c>
      <c r="N85" s="29">
        <f>IF($A85="","",IFERROR(INDEX('INPUT-SIF_Questions'!$E$2:$E$300,MATCH($A85,'INPUT-SIF_Questions'!$A$2:$A$300,0)),""))</f>
        <v>0</v>
      </c>
    </row>
    <row r="86" spans="1:14" ht="14.25" customHeight="1" x14ac:dyDescent="0.45">
      <c r="A86" s="23" t="s">
        <v>275</v>
      </c>
      <c r="B86" s="23" t="s">
        <v>34</v>
      </c>
      <c r="C86" s="23" t="str">
        <f>IFERROR(VLOOKUP(B86,'DATABASE-DRIFT_LATENT_HP_ERROR'!$A$143:$B$160,2,FALSE()),"")</f>
        <v>Work at Height</v>
      </c>
      <c r="D86" s="23" t="s">
        <v>905</v>
      </c>
      <c r="E86" s="23" t="s">
        <v>801</v>
      </c>
      <c r="F86" s="23" t="str">
        <f>IFERROR(VLOOKUP(E86,'DATABASE-DRIFT_LATENT_HP_ERROR'!$A$81:$B$85,2,FALSE()),"")</f>
        <v>Latent.2</v>
      </c>
      <c r="G86" s="23" t="s">
        <v>804</v>
      </c>
      <c r="H86" s="23" t="str">
        <f>IFERROR(VLOOKUP(G86,'DATABASE-DRIFT_LATENT_HP_ERROR'!$B$88:$D$137,3,FALSE()),"")</f>
        <v>Safeguard penting tidak tertulis jelas.</v>
      </c>
      <c r="K86" s="29">
        <f>IF($A86="","",IFERROR(INDEX('INPUT-SIF_Questions'!$B$2:$B$300,MATCH($A86,'INPUT-SIF_Questions'!$A$2:$A$300,0)),""))</f>
        <v>1</v>
      </c>
      <c r="L86" s="29" t="str">
        <f>IF($A86="","",IFERROR(INDEX('INPUT-SIF_Questions'!$F$2:$F$300,MATCH($A86,'INPUT-SIF_Questions'!$A$2:$A$300,0)),""))</f>
        <v>Baseline</v>
      </c>
      <c r="M86" s="29" t="str">
        <f>IF($A86="","",IFERROR(INDEX('INPUT-SIF_Questions'!$G$2:$G$300,MATCH($A86,'INPUT-SIF_Questions'!$A$2:$A$300,0)),""))</f>
        <v>Y</v>
      </c>
      <c r="N86" s="29">
        <f>IF($A86="","",IFERROR(INDEX('INPUT-SIF_Questions'!$E$2:$E$300,MATCH($A86,'INPUT-SIF_Questions'!$A$2:$A$300,0)),""))</f>
        <v>0</v>
      </c>
    </row>
    <row r="87" spans="1:14" ht="14.25" customHeight="1" x14ac:dyDescent="0.45">
      <c r="A87" s="23" t="s">
        <v>275</v>
      </c>
      <c r="B87" s="23" t="s">
        <v>34</v>
      </c>
      <c r="C87" s="23" t="str">
        <f>IFERROR(VLOOKUP(B87,'DATABASE-DRIFT_LATENT_HP_ERROR'!$A$143:$B$160,2,FALSE()),"")</f>
        <v>Work at Height</v>
      </c>
      <c r="D87" s="23" t="s">
        <v>906</v>
      </c>
      <c r="E87" s="23" t="s">
        <v>899</v>
      </c>
      <c r="F87" s="23" t="str">
        <f>IFERROR(VLOOKUP(E87,'DATABASE-DRIFT_LATENT_HP_ERROR'!$A$81:$B$85,2,FALSE()),"")</f>
        <v/>
      </c>
      <c r="G87" s="23" t="s">
        <v>900</v>
      </c>
      <c r="H87" s="23" t="str">
        <f>IFERROR(VLOOKUP(G87,'DATABASE-DRIFT_LATENT_HP_ERROR'!$B$88:$D$137,3,FALSE()),"")</f>
        <v/>
      </c>
      <c r="K87" s="29">
        <f>IF($A87="","",IFERROR(INDEX('INPUT-SIF_Questions'!$B$2:$B$300,MATCH($A87,'INPUT-SIF_Questions'!$A$2:$A$300,0)),""))</f>
        <v>1</v>
      </c>
      <c r="L87" s="29" t="str">
        <f>IF($A87="","",IFERROR(INDEX('INPUT-SIF_Questions'!$F$2:$F$300,MATCH($A87,'INPUT-SIF_Questions'!$A$2:$A$300,0)),""))</f>
        <v>Baseline</v>
      </c>
      <c r="M87" s="29" t="str">
        <f>IF($A87="","",IFERROR(INDEX('INPUT-SIF_Questions'!$G$2:$G$300,MATCH($A87,'INPUT-SIF_Questions'!$A$2:$A$300,0)),""))</f>
        <v>Y</v>
      </c>
      <c r="N87" s="29">
        <f>IF($A87="","",IFERROR(INDEX('INPUT-SIF_Questions'!$E$2:$E$300,MATCH($A87,'INPUT-SIF_Questions'!$A$2:$A$300,0)),""))</f>
        <v>0</v>
      </c>
    </row>
    <row r="88" spans="1:14" ht="14.25" customHeight="1" x14ac:dyDescent="0.45">
      <c r="A88" s="23" t="s">
        <v>275</v>
      </c>
      <c r="B88" s="23" t="s">
        <v>34</v>
      </c>
      <c r="C88" s="23" t="str">
        <f>IFERROR(VLOOKUP(B88,'DATABASE-DRIFT_LATENT_HP_ERROR'!$A$143:$B$160,2,FALSE()),"")</f>
        <v>Work at Height</v>
      </c>
      <c r="D88" s="23" t="s">
        <v>884</v>
      </c>
      <c r="E88" s="23" t="s">
        <v>881</v>
      </c>
      <c r="F88" s="23" t="str">
        <f>IFERROR(VLOOKUP(E88,'DATABASE-DRIFT_LATENT_HP_ERROR'!$A$81:$B$85,2,FALSE()),"")</f>
        <v/>
      </c>
      <c r="G88" s="23" t="s">
        <v>882</v>
      </c>
      <c r="H88" s="23" t="str">
        <f>IFERROR(VLOOKUP(G88,'DATABASE-DRIFT_LATENT_HP_ERROR'!$B$88:$D$137,3,FALSE()),"")</f>
        <v/>
      </c>
      <c r="K88" s="29">
        <f>IF($A88="","",IFERROR(INDEX('INPUT-SIF_Questions'!$B$2:$B$300,MATCH($A88,'INPUT-SIF_Questions'!$A$2:$A$300,0)),""))</f>
        <v>1</v>
      </c>
      <c r="L88" s="29" t="str">
        <f>IF($A88="","",IFERROR(INDEX('INPUT-SIF_Questions'!$F$2:$F$300,MATCH($A88,'INPUT-SIF_Questions'!$A$2:$A$300,0)),""))</f>
        <v>Baseline</v>
      </c>
      <c r="M88" s="29" t="str">
        <f>IF($A88="","",IFERROR(INDEX('INPUT-SIF_Questions'!$G$2:$G$300,MATCH($A88,'INPUT-SIF_Questions'!$A$2:$A$300,0)),""))</f>
        <v>Y</v>
      </c>
      <c r="N88" s="29">
        <f>IF($A88="","",IFERROR(INDEX('INPUT-SIF_Questions'!$E$2:$E$300,MATCH($A88,'INPUT-SIF_Questions'!$A$2:$A$300,0)),""))</f>
        <v>0</v>
      </c>
    </row>
    <row r="89" spans="1:14" ht="14.25" customHeight="1" x14ac:dyDescent="0.45">
      <c r="A89" s="23" t="s">
        <v>275</v>
      </c>
      <c r="B89" s="23" t="s">
        <v>34</v>
      </c>
      <c r="C89" s="23" t="str">
        <f>IFERROR(VLOOKUP(B89,'DATABASE-DRIFT_LATENT_HP_ERROR'!$A$143:$B$160,2,FALSE()),"")</f>
        <v>Work at Height</v>
      </c>
      <c r="D89" s="23" t="s">
        <v>907</v>
      </c>
      <c r="E89" s="23" t="s">
        <v>810</v>
      </c>
      <c r="F89" s="23" t="str">
        <f>IFERROR(VLOOKUP(E89,'DATABASE-DRIFT_LATENT_HP_ERROR'!$A$81:$B$85,2,FALSE()),"")</f>
        <v>Latent.3</v>
      </c>
      <c r="G89" s="23" t="s">
        <v>812</v>
      </c>
      <c r="H89" s="23" t="str">
        <f>IFERROR(VLOOKUP(G89,'DATABASE-DRIFT_LATENT_HP_ERROR'!$B$88:$D$137,3,FALSE()),"")</f>
        <v>Validasi lapangan tidak cukup mendalam.</v>
      </c>
      <c r="K89" s="29">
        <f>IF($A89="","",IFERROR(INDEX('INPUT-SIF_Questions'!$B$2:$B$300,MATCH($A89,'INPUT-SIF_Questions'!$A$2:$A$300,0)),""))</f>
        <v>1</v>
      </c>
      <c r="L89" s="29" t="str">
        <f>IF($A89="","",IFERROR(INDEX('INPUT-SIF_Questions'!$F$2:$F$300,MATCH($A89,'INPUT-SIF_Questions'!$A$2:$A$300,0)),""))</f>
        <v>Baseline</v>
      </c>
      <c r="M89" s="29" t="str">
        <f>IF($A89="","",IFERROR(INDEX('INPUT-SIF_Questions'!$G$2:$G$300,MATCH($A89,'INPUT-SIF_Questions'!$A$2:$A$300,0)),""))</f>
        <v>Y</v>
      </c>
      <c r="N89" s="29">
        <f>IF($A89="","",IFERROR(INDEX('INPUT-SIF_Questions'!$E$2:$E$300,MATCH($A89,'INPUT-SIF_Questions'!$A$2:$A$300,0)),""))</f>
        <v>0</v>
      </c>
    </row>
    <row r="90" spans="1:14" ht="14.25" customHeight="1" x14ac:dyDescent="0.45">
      <c r="A90" s="23" t="s">
        <v>275</v>
      </c>
      <c r="B90" s="23" t="s">
        <v>34</v>
      </c>
      <c r="C90" s="23" t="str">
        <f>IFERROR(VLOOKUP(B90,'DATABASE-DRIFT_LATENT_HP_ERROR'!$A$143:$B$160,2,FALSE()),"")</f>
        <v>Work at Height</v>
      </c>
      <c r="D90" s="23" t="s">
        <v>908</v>
      </c>
      <c r="E90" s="23" t="s">
        <v>881</v>
      </c>
      <c r="F90" s="23" t="str">
        <f>IFERROR(VLOOKUP(E90,'DATABASE-DRIFT_LATENT_HP_ERROR'!$A$81:$B$85,2,FALSE()),"")</f>
        <v/>
      </c>
      <c r="G90" s="23" t="s">
        <v>882</v>
      </c>
      <c r="H90" s="23" t="str">
        <f>IFERROR(VLOOKUP(G90,'DATABASE-DRIFT_LATENT_HP_ERROR'!$B$88:$D$137,3,FALSE()),"")</f>
        <v/>
      </c>
      <c r="K90" s="29">
        <f>IF($A90="","",IFERROR(INDEX('INPUT-SIF_Questions'!$B$2:$B$300,MATCH($A90,'INPUT-SIF_Questions'!$A$2:$A$300,0)),""))</f>
        <v>1</v>
      </c>
      <c r="L90" s="29" t="str">
        <f>IF($A90="","",IFERROR(INDEX('INPUT-SIF_Questions'!$F$2:$F$300,MATCH($A90,'INPUT-SIF_Questions'!$A$2:$A$300,0)),""))</f>
        <v>Baseline</v>
      </c>
      <c r="M90" s="29" t="str">
        <f>IF($A90="","",IFERROR(INDEX('INPUT-SIF_Questions'!$G$2:$G$300,MATCH($A90,'INPUT-SIF_Questions'!$A$2:$A$300,0)),""))</f>
        <v>Y</v>
      </c>
      <c r="N90" s="29">
        <f>IF($A90="","",IFERROR(INDEX('INPUT-SIF_Questions'!$E$2:$E$300,MATCH($A90,'INPUT-SIF_Questions'!$A$2:$A$300,0)),""))</f>
        <v>0</v>
      </c>
    </row>
    <row r="91" spans="1:14" ht="14.25" customHeight="1" x14ac:dyDescent="0.45">
      <c r="A91" s="23" t="s">
        <v>291</v>
      </c>
      <c r="B91" s="23" t="s">
        <v>292</v>
      </c>
      <c r="C91" s="23" t="str">
        <f>IFERROR(VLOOKUP(B91,'DATABASE-DRIFT_LATENT_HP_ERROR'!$A$143:$B$160,2,FALSE()),"")</f>
        <v>Hot Work</v>
      </c>
      <c r="D91" s="23" t="s">
        <v>909</v>
      </c>
      <c r="E91" s="23" t="s">
        <v>794</v>
      </c>
      <c r="F91" s="23" t="str">
        <f>IFERROR(VLOOKUP(E91,'DATABASE-DRIFT_LATENT_HP_ERROR'!$A$81:$B$85,2,FALSE()),"")</f>
        <v>Latent.1</v>
      </c>
      <c r="G91" s="23" t="s">
        <v>841</v>
      </c>
      <c r="H91" s="23" t="str">
        <f>IFERROR(VLOOKUP(G91,'DATABASE-DRIFT_LATENT_HP_ERROR'!$B$88:$D$137,3,FALSE()),"")</f>
        <v>Personel tidak memahami aspek teknikal pekerjaan atau safeguard.</v>
      </c>
      <c r="K91" s="29">
        <f>IF($A91="","",IFERROR(INDEX('INPUT-SIF_Questions'!$B$2:$B$300,MATCH($A91,'INPUT-SIF_Questions'!$A$2:$A$300,0)),""))</f>
        <v>1</v>
      </c>
      <c r="L91" s="29" t="str">
        <f>IF($A91="","",IFERROR(INDEX('INPUT-SIF_Questions'!$F$2:$F$300,MATCH($A91,'INPUT-SIF_Questions'!$A$2:$A$300,0)),""))</f>
        <v>Baseline</v>
      </c>
      <c r="M91" s="29" t="str">
        <f>IF($A91="","",IFERROR(INDEX('INPUT-SIF_Questions'!$G$2:$G$300,MATCH($A91,'INPUT-SIF_Questions'!$A$2:$A$300,0)),""))</f>
        <v>Y</v>
      </c>
      <c r="N91" s="29">
        <f>IF($A91="","",IFERROR(INDEX('INPUT-SIF_Questions'!$E$2:$E$300,MATCH($A91,'INPUT-SIF_Questions'!$A$2:$A$300,0)),""))</f>
        <v>0</v>
      </c>
    </row>
    <row r="92" spans="1:14" ht="14.25" customHeight="1" x14ac:dyDescent="0.45">
      <c r="A92" s="23" t="s">
        <v>291</v>
      </c>
      <c r="B92" s="23" t="s">
        <v>292</v>
      </c>
      <c r="C92" s="23" t="str">
        <f>IFERROR(VLOOKUP(B92,'DATABASE-DRIFT_LATENT_HP_ERROR'!$A$143:$B$160,2,FALSE()),"")</f>
        <v>Hot Work</v>
      </c>
      <c r="D92" s="23" t="s">
        <v>910</v>
      </c>
      <c r="E92" s="23" t="s">
        <v>810</v>
      </c>
      <c r="F92" s="23" t="str">
        <f>IFERROR(VLOOKUP(E92,'DATABASE-DRIFT_LATENT_HP_ERROR'!$A$81:$B$85,2,FALSE()),"")</f>
        <v>Latent.3</v>
      </c>
      <c r="G92" s="23" t="s">
        <v>812</v>
      </c>
      <c r="H92" s="23" t="str">
        <f>IFERROR(VLOOKUP(G92,'DATABASE-DRIFT_LATENT_HP_ERROR'!$B$88:$D$137,3,FALSE()),"")</f>
        <v>Validasi lapangan tidak cukup mendalam.</v>
      </c>
      <c r="K92" s="29">
        <f>IF($A92="","",IFERROR(INDEX('INPUT-SIF_Questions'!$B$2:$B$300,MATCH($A92,'INPUT-SIF_Questions'!$A$2:$A$300,0)),""))</f>
        <v>1</v>
      </c>
      <c r="L92" s="29" t="str">
        <f>IF($A92="","",IFERROR(INDEX('INPUT-SIF_Questions'!$F$2:$F$300,MATCH($A92,'INPUT-SIF_Questions'!$A$2:$A$300,0)),""))</f>
        <v>Baseline</v>
      </c>
      <c r="M92" s="29" t="str">
        <f>IF($A92="","",IFERROR(INDEX('INPUT-SIF_Questions'!$G$2:$G$300,MATCH($A92,'INPUT-SIF_Questions'!$A$2:$A$300,0)),""))</f>
        <v>Y</v>
      </c>
      <c r="N92" s="29">
        <f>IF($A92="","",IFERROR(INDEX('INPUT-SIF_Questions'!$E$2:$E$300,MATCH($A92,'INPUT-SIF_Questions'!$A$2:$A$300,0)),""))</f>
        <v>0</v>
      </c>
    </row>
    <row r="93" spans="1:14" ht="14.25" customHeight="1" x14ac:dyDescent="0.45">
      <c r="A93" s="23" t="s">
        <v>291</v>
      </c>
      <c r="B93" s="23" t="s">
        <v>292</v>
      </c>
      <c r="C93" s="23" t="str">
        <f>IFERROR(VLOOKUP(B93,'DATABASE-DRIFT_LATENT_HP_ERROR'!$A$143:$B$160,2,FALSE()),"")</f>
        <v>Hot Work</v>
      </c>
      <c r="D93" s="23" t="s">
        <v>911</v>
      </c>
      <c r="E93" s="23" t="s">
        <v>881</v>
      </c>
      <c r="F93" s="23" t="str">
        <f>IFERROR(VLOOKUP(E93,'DATABASE-DRIFT_LATENT_HP_ERROR'!$A$81:$B$85,2,FALSE()),"")</f>
        <v/>
      </c>
      <c r="G93" s="23" t="s">
        <v>882</v>
      </c>
      <c r="H93" s="23" t="str">
        <f>IFERROR(VLOOKUP(G93,'DATABASE-DRIFT_LATENT_HP_ERROR'!$B$88:$D$137,3,FALSE()),"")</f>
        <v/>
      </c>
      <c r="K93" s="29">
        <f>IF($A93="","",IFERROR(INDEX('INPUT-SIF_Questions'!$B$2:$B$300,MATCH($A93,'INPUT-SIF_Questions'!$A$2:$A$300,0)),""))</f>
        <v>1</v>
      </c>
      <c r="L93" s="29" t="str">
        <f>IF($A93="","",IFERROR(INDEX('INPUT-SIF_Questions'!$F$2:$F$300,MATCH($A93,'INPUT-SIF_Questions'!$A$2:$A$300,0)),""))</f>
        <v>Baseline</v>
      </c>
      <c r="M93" s="29" t="str">
        <f>IF($A93="","",IFERROR(INDEX('INPUT-SIF_Questions'!$G$2:$G$300,MATCH($A93,'INPUT-SIF_Questions'!$A$2:$A$300,0)),""))</f>
        <v>Y</v>
      </c>
      <c r="N93" s="29">
        <f>IF($A93="","",IFERROR(INDEX('INPUT-SIF_Questions'!$E$2:$E$300,MATCH($A93,'INPUT-SIF_Questions'!$A$2:$A$300,0)),""))</f>
        <v>0</v>
      </c>
    </row>
    <row r="94" spans="1:14" ht="14.25" customHeight="1" x14ac:dyDescent="0.45">
      <c r="A94" s="23" t="s">
        <v>291</v>
      </c>
      <c r="B94" s="23" t="s">
        <v>292</v>
      </c>
      <c r="C94" s="23" t="str">
        <f>IFERROR(VLOOKUP(B94,'DATABASE-DRIFT_LATENT_HP_ERROR'!$A$143:$B$160,2,FALSE()),"")</f>
        <v>Hot Work</v>
      </c>
      <c r="D94" s="23" t="s">
        <v>912</v>
      </c>
      <c r="E94" s="23" t="s">
        <v>801</v>
      </c>
      <c r="F94" s="23" t="str">
        <f>IFERROR(VLOOKUP(E94,'DATABASE-DRIFT_LATENT_HP_ERROR'!$A$81:$B$85,2,FALSE()),"")</f>
        <v>Latent.2</v>
      </c>
      <c r="G94" s="23" t="s">
        <v>913</v>
      </c>
      <c r="H94" s="23" t="str">
        <f>IFERROR(VLOOKUP(G94,'DATABASE-DRIFT_LATENT_HP_ERROR'!$B$88:$D$137,3,FALSE()),"")</f>
        <v/>
      </c>
      <c r="K94" s="29">
        <f>IF($A94="","",IFERROR(INDEX('INPUT-SIF_Questions'!$B$2:$B$300,MATCH($A94,'INPUT-SIF_Questions'!$A$2:$A$300,0)),""))</f>
        <v>1</v>
      </c>
      <c r="L94" s="29" t="str">
        <f>IF($A94="","",IFERROR(INDEX('INPUT-SIF_Questions'!$F$2:$F$300,MATCH($A94,'INPUT-SIF_Questions'!$A$2:$A$300,0)),""))</f>
        <v>Baseline</v>
      </c>
      <c r="M94" s="29" t="str">
        <f>IF($A94="","",IFERROR(INDEX('INPUT-SIF_Questions'!$G$2:$G$300,MATCH($A94,'INPUT-SIF_Questions'!$A$2:$A$300,0)),""))</f>
        <v>Y</v>
      </c>
      <c r="N94" s="29">
        <f>IF($A94="","",IFERROR(INDEX('INPUT-SIF_Questions'!$E$2:$E$300,MATCH($A94,'INPUT-SIF_Questions'!$A$2:$A$300,0)),""))</f>
        <v>0</v>
      </c>
    </row>
    <row r="95" spans="1:14" ht="14.25" customHeight="1" x14ac:dyDescent="0.45">
      <c r="A95" s="23" t="s">
        <v>291</v>
      </c>
      <c r="B95" s="23" t="s">
        <v>292</v>
      </c>
      <c r="C95" s="23" t="str">
        <f>IFERROR(VLOOKUP(B95,'DATABASE-DRIFT_LATENT_HP_ERROR'!$A$143:$B$160,2,FALSE()),"")</f>
        <v>Hot Work</v>
      </c>
      <c r="D95" s="23" t="s">
        <v>914</v>
      </c>
      <c r="E95" s="23" t="s">
        <v>810</v>
      </c>
      <c r="F95" s="23" t="str">
        <f>IFERROR(VLOOKUP(E95,'DATABASE-DRIFT_LATENT_HP_ERROR'!$A$81:$B$85,2,FALSE()),"")</f>
        <v>Latent.3</v>
      </c>
      <c r="G95" s="23" t="s">
        <v>915</v>
      </c>
      <c r="H95" s="23" t="str">
        <f>IFERROR(VLOOKUP(G95,'DATABASE-DRIFT_LATENT_HP_ERROR'!$B$88:$D$137,3,FALSE()),"")</f>
        <v/>
      </c>
      <c r="K95" s="29">
        <f>IF($A95="","",IFERROR(INDEX('INPUT-SIF_Questions'!$B$2:$B$300,MATCH($A95,'INPUT-SIF_Questions'!$A$2:$A$300,0)),""))</f>
        <v>1</v>
      </c>
      <c r="L95" s="29" t="str">
        <f>IF($A95="","",IFERROR(INDEX('INPUT-SIF_Questions'!$F$2:$F$300,MATCH($A95,'INPUT-SIF_Questions'!$A$2:$A$300,0)),""))</f>
        <v>Baseline</v>
      </c>
      <c r="M95" s="29" t="str">
        <f>IF($A95="","",IFERROR(INDEX('INPUT-SIF_Questions'!$G$2:$G$300,MATCH($A95,'INPUT-SIF_Questions'!$A$2:$A$300,0)),""))</f>
        <v>Y</v>
      </c>
      <c r="N95" s="29">
        <f>IF($A95="","",IFERROR(INDEX('INPUT-SIF_Questions'!$E$2:$E$300,MATCH($A95,'INPUT-SIF_Questions'!$A$2:$A$300,0)),""))</f>
        <v>0</v>
      </c>
    </row>
    <row r="96" spans="1:14" ht="14.25" customHeight="1" x14ac:dyDescent="0.45">
      <c r="A96" s="23" t="s">
        <v>291</v>
      </c>
      <c r="B96" s="23" t="s">
        <v>292</v>
      </c>
      <c r="C96" s="23" t="str">
        <f>IFERROR(VLOOKUP(B96,'DATABASE-DRIFT_LATENT_HP_ERROR'!$A$143:$B$160,2,FALSE()),"")</f>
        <v>Hot Work</v>
      </c>
      <c r="D96" s="23" t="s">
        <v>916</v>
      </c>
      <c r="E96" s="23" t="s">
        <v>899</v>
      </c>
      <c r="F96" s="23" t="str">
        <f>IFERROR(VLOOKUP(E96,'DATABASE-DRIFT_LATENT_HP_ERROR'!$A$81:$B$85,2,FALSE()),"")</f>
        <v/>
      </c>
      <c r="G96" s="23" t="s">
        <v>917</v>
      </c>
      <c r="H96" s="23" t="str">
        <f>IFERROR(VLOOKUP(G96,'DATABASE-DRIFT_LATENT_HP_ERROR'!$B$88:$D$137,3,FALSE()),"")</f>
        <v/>
      </c>
      <c r="K96" s="29">
        <f>IF($A96="","",IFERROR(INDEX('INPUT-SIF_Questions'!$B$2:$B$300,MATCH($A96,'INPUT-SIF_Questions'!$A$2:$A$300,0)),""))</f>
        <v>1</v>
      </c>
      <c r="L96" s="29" t="str">
        <f>IF($A96="","",IFERROR(INDEX('INPUT-SIF_Questions'!$F$2:$F$300,MATCH($A96,'INPUT-SIF_Questions'!$A$2:$A$300,0)),""))</f>
        <v>Baseline</v>
      </c>
      <c r="M96" s="29" t="str">
        <f>IF($A96="","",IFERROR(INDEX('INPUT-SIF_Questions'!$G$2:$G$300,MATCH($A96,'INPUT-SIF_Questions'!$A$2:$A$300,0)),""))</f>
        <v>Y</v>
      </c>
      <c r="N96" s="29">
        <f>IF($A96="","",IFERROR(INDEX('INPUT-SIF_Questions'!$E$2:$E$300,MATCH($A96,'INPUT-SIF_Questions'!$A$2:$A$300,0)),""))</f>
        <v>0</v>
      </c>
    </row>
    <row r="97" spans="1:14" ht="14.25" customHeight="1" x14ac:dyDescent="0.45">
      <c r="A97" s="23" t="s">
        <v>321</v>
      </c>
      <c r="B97" s="23" t="s">
        <v>34</v>
      </c>
      <c r="C97" s="23" t="str">
        <f>IFERROR(VLOOKUP(B97,'DATABASE-DRIFT_LATENT_HP_ERROR'!$A$143:$B$160,2,FALSE()),"")</f>
        <v>Work at Height</v>
      </c>
      <c r="D97" s="23" t="s">
        <v>918</v>
      </c>
      <c r="E97" s="23" t="s">
        <v>794</v>
      </c>
      <c r="F97" s="23" t="str">
        <f>IFERROR(VLOOKUP(E97,'DATABASE-DRIFT_LATENT_HP_ERROR'!$A$81:$B$85,2,FALSE()),"")</f>
        <v>Latent.1</v>
      </c>
      <c r="G97" s="23" t="s">
        <v>841</v>
      </c>
      <c r="H97" s="23" t="str">
        <f>IFERROR(VLOOKUP(G97,'DATABASE-DRIFT_LATENT_HP_ERROR'!$B$88:$D$137,3,FALSE()),"")</f>
        <v>Personel tidak memahami aspek teknikal pekerjaan atau safeguard.</v>
      </c>
      <c r="K97" s="29">
        <f>IF($A97="","",IFERROR(INDEX('INPUT-SIF_Questions'!$B$2:$B$300,MATCH($A97,'INPUT-SIF_Questions'!$A$2:$A$300,0)),""))</f>
        <v>1</v>
      </c>
      <c r="L97" s="29" t="str">
        <f>IF($A97="","",IFERROR(INDEX('INPUT-SIF_Questions'!$F$2:$F$300,MATCH($A97,'INPUT-SIF_Questions'!$A$2:$A$300,0)),""))</f>
        <v>Baseline</v>
      </c>
      <c r="M97" s="29" t="str">
        <f>IF($A97="","",IFERROR(INDEX('INPUT-SIF_Questions'!$G$2:$G$300,MATCH($A97,'INPUT-SIF_Questions'!$A$2:$A$300,0)),""))</f>
        <v>Y</v>
      </c>
      <c r="N97" s="29">
        <f>IF($A97="","",IFERROR(INDEX('INPUT-SIF_Questions'!$E$2:$E$300,MATCH($A97,'INPUT-SIF_Questions'!$A$2:$A$300,0)),""))</f>
        <v>0</v>
      </c>
    </row>
    <row r="98" spans="1:14" ht="14.25" customHeight="1" x14ac:dyDescent="0.45">
      <c r="A98" s="23" t="s">
        <v>321</v>
      </c>
      <c r="B98" s="23" t="s">
        <v>34</v>
      </c>
      <c r="C98" s="23" t="str">
        <f>IFERROR(VLOOKUP(B98,'DATABASE-DRIFT_LATENT_HP_ERROR'!$A$143:$B$160,2,FALSE()),"")</f>
        <v>Work at Height</v>
      </c>
      <c r="D98" s="23" t="s">
        <v>919</v>
      </c>
      <c r="E98" s="23" t="s">
        <v>794</v>
      </c>
      <c r="F98" s="23" t="str">
        <f>IFERROR(VLOOKUP(E98,'DATABASE-DRIFT_LATENT_HP_ERROR'!$A$81:$B$85,2,FALSE()),"")</f>
        <v>Latent.1</v>
      </c>
      <c r="G98" s="23" t="s">
        <v>858</v>
      </c>
      <c r="H98" s="23" t="str">
        <f>IFERROR(VLOOKUP(G98,'DATABASE-DRIFT_LATENT_HP_ERROR'!$B$88:$D$137,3,FALSE()),"")</f>
        <v>Kompetensi emergency response/rescue tidak memadai.</v>
      </c>
      <c r="K98" s="29">
        <f>IF($A98="","",IFERROR(INDEX('INPUT-SIF_Questions'!$B$2:$B$300,MATCH($A98,'INPUT-SIF_Questions'!$A$2:$A$300,0)),""))</f>
        <v>1</v>
      </c>
      <c r="L98" s="29" t="str">
        <f>IF($A98="","",IFERROR(INDEX('INPUT-SIF_Questions'!$F$2:$F$300,MATCH($A98,'INPUT-SIF_Questions'!$A$2:$A$300,0)),""))</f>
        <v>Baseline</v>
      </c>
      <c r="M98" s="29" t="str">
        <f>IF($A98="","",IFERROR(INDEX('INPUT-SIF_Questions'!$G$2:$G$300,MATCH($A98,'INPUT-SIF_Questions'!$A$2:$A$300,0)),""))</f>
        <v>Y</v>
      </c>
      <c r="N98" s="29">
        <f>IF($A98="","",IFERROR(INDEX('INPUT-SIF_Questions'!$E$2:$E$300,MATCH($A98,'INPUT-SIF_Questions'!$A$2:$A$300,0)),""))</f>
        <v>0</v>
      </c>
    </row>
    <row r="99" spans="1:14" ht="14.25" customHeight="1" x14ac:dyDescent="0.45">
      <c r="A99" s="23" t="s">
        <v>321</v>
      </c>
      <c r="B99" s="23" t="s">
        <v>34</v>
      </c>
      <c r="C99" s="23" t="str">
        <f>IFERROR(VLOOKUP(B99,'DATABASE-DRIFT_LATENT_HP_ERROR'!$A$143:$B$160,2,FALSE()),"")</f>
        <v>Work at Height</v>
      </c>
      <c r="D99" s="23" t="s">
        <v>920</v>
      </c>
      <c r="E99" s="23" t="s">
        <v>801</v>
      </c>
      <c r="F99" s="23" t="str">
        <f>IFERROR(VLOOKUP(E99,'DATABASE-DRIFT_LATENT_HP_ERROR'!$A$81:$B$85,2,FALSE()),"")</f>
        <v>Latent.2</v>
      </c>
      <c r="G99" s="23" t="s">
        <v>921</v>
      </c>
      <c r="H99" s="23" t="str">
        <f>IFERROR(VLOOKUP(G99,'DATABASE-DRIFT_LATENT_HP_ERROR'!$B$88:$D$137,3,FALSE()),"")</f>
        <v/>
      </c>
      <c r="K99" s="29">
        <f>IF($A99="","",IFERROR(INDEX('INPUT-SIF_Questions'!$B$2:$B$300,MATCH($A99,'INPUT-SIF_Questions'!$A$2:$A$300,0)),""))</f>
        <v>1</v>
      </c>
      <c r="L99" s="29" t="str">
        <f>IF($A99="","",IFERROR(INDEX('INPUT-SIF_Questions'!$F$2:$F$300,MATCH($A99,'INPUT-SIF_Questions'!$A$2:$A$300,0)),""))</f>
        <v>Baseline</v>
      </c>
      <c r="M99" s="29" t="str">
        <f>IF($A99="","",IFERROR(INDEX('INPUT-SIF_Questions'!$G$2:$G$300,MATCH($A99,'INPUT-SIF_Questions'!$A$2:$A$300,0)),""))</f>
        <v>Y</v>
      </c>
      <c r="N99" s="29">
        <f>IF($A99="","",IFERROR(INDEX('INPUT-SIF_Questions'!$E$2:$E$300,MATCH($A99,'INPUT-SIF_Questions'!$A$2:$A$300,0)),""))</f>
        <v>0</v>
      </c>
    </row>
    <row r="100" spans="1:14" ht="14.25" customHeight="1" x14ac:dyDescent="0.45">
      <c r="A100" s="23" t="s">
        <v>321</v>
      </c>
      <c r="B100" s="23" t="s">
        <v>34</v>
      </c>
      <c r="C100" s="23" t="str">
        <f>IFERROR(VLOOKUP(B100,'DATABASE-DRIFT_LATENT_HP_ERROR'!$A$143:$B$160,2,FALSE()),"")</f>
        <v>Work at Height</v>
      </c>
      <c r="D100" s="23" t="s">
        <v>922</v>
      </c>
      <c r="E100" s="23" t="s">
        <v>823</v>
      </c>
      <c r="F100" s="23" t="str">
        <f>IFERROR(VLOOKUP(E100,'DATABASE-DRIFT_LATENT_HP_ERROR'!$A$81:$B$85,2,FALSE()),"")</f>
        <v>Latent.5</v>
      </c>
      <c r="G100" s="23" t="s">
        <v>806</v>
      </c>
      <c r="H100" s="23" t="str">
        <f>IFERROR(VLOOKUP(G100,'DATABASE-DRIFT_LATENT_HP_ERROR'!$B$88:$D$137,3,FALSE()),"")</f>
        <v>Kriteria engineering atau acceptance criteria tidak tersedia.</v>
      </c>
      <c r="K100" s="29">
        <f>IF($A100="","",IFERROR(INDEX('INPUT-SIF_Questions'!$B$2:$B$300,MATCH($A100,'INPUT-SIF_Questions'!$A$2:$A$300,0)),""))</f>
        <v>1</v>
      </c>
      <c r="L100" s="29" t="str">
        <f>IF($A100="","",IFERROR(INDEX('INPUT-SIF_Questions'!$F$2:$F$300,MATCH($A100,'INPUT-SIF_Questions'!$A$2:$A$300,0)),""))</f>
        <v>Baseline</v>
      </c>
      <c r="M100" s="29" t="str">
        <f>IF($A100="","",IFERROR(INDEX('INPUT-SIF_Questions'!$G$2:$G$300,MATCH($A100,'INPUT-SIF_Questions'!$A$2:$A$300,0)),""))</f>
        <v>Y</v>
      </c>
      <c r="N100" s="29">
        <f>IF($A100="","",IFERROR(INDEX('INPUT-SIF_Questions'!$E$2:$E$300,MATCH($A100,'INPUT-SIF_Questions'!$A$2:$A$300,0)),""))</f>
        <v>0</v>
      </c>
    </row>
    <row r="101" spans="1:14" ht="14.25" customHeight="1" x14ac:dyDescent="0.45">
      <c r="A101" s="23" t="s">
        <v>321</v>
      </c>
      <c r="B101" s="23" t="s">
        <v>34</v>
      </c>
      <c r="C101" s="23" t="str">
        <f>IFERROR(VLOOKUP(B101,'DATABASE-DRIFT_LATENT_HP_ERROR'!$A$143:$B$160,2,FALSE()),"")</f>
        <v>Work at Height</v>
      </c>
      <c r="D101" s="23" t="s">
        <v>923</v>
      </c>
      <c r="E101" s="23" t="s">
        <v>810</v>
      </c>
      <c r="F101" s="23" t="str">
        <f>IFERROR(VLOOKUP(E101,'DATABASE-DRIFT_LATENT_HP_ERROR'!$A$81:$B$85,2,FALSE()),"")</f>
        <v>Latent.3</v>
      </c>
      <c r="G101" s="23" t="s">
        <v>814</v>
      </c>
      <c r="H101" s="23" t="str">
        <f>IFERROR(VLOOKUP(G101,'DATABASE-DRIFT_LATENT_HP_ERROR'!$B$88:$D$137,3,FALSE()),"")</f>
        <v>Coaching tidak fokus pada critical safeguards.</v>
      </c>
      <c r="K101" s="29">
        <f>IF($A101="","",IFERROR(INDEX('INPUT-SIF_Questions'!$B$2:$B$300,MATCH($A101,'INPUT-SIF_Questions'!$A$2:$A$300,0)),""))</f>
        <v>1</v>
      </c>
      <c r="L101" s="29" t="str">
        <f>IF($A101="","",IFERROR(INDEX('INPUT-SIF_Questions'!$F$2:$F$300,MATCH($A101,'INPUT-SIF_Questions'!$A$2:$A$300,0)),""))</f>
        <v>Baseline</v>
      </c>
      <c r="M101" s="29" t="str">
        <f>IF($A101="","",IFERROR(INDEX('INPUT-SIF_Questions'!$G$2:$G$300,MATCH($A101,'INPUT-SIF_Questions'!$A$2:$A$300,0)),""))</f>
        <v>Y</v>
      </c>
      <c r="N101" s="29">
        <f>IF($A101="","",IFERROR(INDEX('INPUT-SIF_Questions'!$E$2:$E$300,MATCH($A101,'INPUT-SIF_Questions'!$A$2:$A$300,0)),""))</f>
        <v>0</v>
      </c>
    </row>
    <row r="102" spans="1:14" ht="14.25" customHeight="1" x14ac:dyDescent="0.45">
      <c r="A102" s="23" t="s">
        <v>321</v>
      </c>
      <c r="B102" s="23" t="s">
        <v>34</v>
      </c>
      <c r="C102" s="23" t="str">
        <f>IFERROR(VLOOKUP(B102,'DATABASE-DRIFT_LATENT_HP_ERROR'!$A$143:$B$160,2,FALSE()),"")</f>
        <v>Work at Height</v>
      </c>
      <c r="D102" s="23" t="s">
        <v>924</v>
      </c>
      <c r="E102" s="23" t="s">
        <v>810</v>
      </c>
      <c r="F102" s="23" t="str">
        <f>IFERROR(VLOOKUP(E102,'DATABASE-DRIFT_LATENT_HP_ERROR'!$A$81:$B$85,2,FALSE()),"")</f>
        <v>Latent.3</v>
      </c>
      <c r="G102" s="23" t="s">
        <v>925</v>
      </c>
      <c r="H102" s="23" t="str">
        <f>IFERROR(VLOOKUP(G102,'DATABASE-DRIFT_LATENT_HP_ERROR'!$B$88:$D$137,3,FALSE()),"")</f>
        <v/>
      </c>
      <c r="K102" s="29">
        <f>IF($A102="","",IFERROR(INDEX('INPUT-SIF_Questions'!$B$2:$B$300,MATCH($A102,'INPUT-SIF_Questions'!$A$2:$A$300,0)),""))</f>
        <v>1</v>
      </c>
      <c r="L102" s="29" t="str">
        <f>IF($A102="","",IFERROR(INDEX('INPUT-SIF_Questions'!$F$2:$F$300,MATCH($A102,'INPUT-SIF_Questions'!$A$2:$A$300,0)),""))</f>
        <v>Baseline</v>
      </c>
      <c r="M102" s="29" t="str">
        <f>IF($A102="","",IFERROR(INDEX('INPUT-SIF_Questions'!$G$2:$G$300,MATCH($A102,'INPUT-SIF_Questions'!$A$2:$A$300,0)),""))</f>
        <v>Y</v>
      </c>
      <c r="N102" s="29">
        <f>IF($A102="","",IFERROR(INDEX('INPUT-SIF_Questions'!$E$2:$E$300,MATCH($A102,'INPUT-SIF_Questions'!$A$2:$A$300,0)),""))</f>
        <v>0</v>
      </c>
    </row>
    <row r="103" spans="1:14" ht="14.25" customHeight="1" x14ac:dyDescent="0.45">
      <c r="A103" s="23" t="s">
        <v>321</v>
      </c>
      <c r="B103" s="23" t="s">
        <v>34</v>
      </c>
      <c r="C103" s="23" t="str">
        <f>IFERROR(VLOOKUP(B103,'DATABASE-DRIFT_LATENT_HP_ERROR'!$A$143:$B$160,2,FALSE()),"")</f>
        <v>Work at Height</v>
      </c>
      <c r="D103" s="23" t="s">
        <v>926</v>
      </c>
      <c r="E103" s="23" t="s">
        <v>816</v>
      </c>
      <c r="F103" s="23" t="str">
        <f>IFERROR(VLOOKUP(E103,'DATABASE-DRIFT_LATENT_HP_ERROR'!$A$81:$B$85,2,FALSE()),"")</f>
        <v>Latent.4</v>
      </c>
      <c r="G103" s="23" t="s">
        <v>927</v>
      </c>
      <c r="H103" s="23" t="str">
        <f>IFERROR(VLOOKUP(G103,'DATABASE-DRIFT_LATENT_HP_ERROR'!$B$88:$D$137,3,FALSE()),"")</f>
        <v/>
      </c>
      <c r="K103" s="29">
        <f>IF($A103="","",IFERROR(INDEX('INPUT-SIF_Questions'!$B$2:$B$300,MATCH($A103,'INPUT-SIF_Questions'!$A$2:$A$300,0)),""))</f>
        <v>1</v>
      </c>
      <c r="L103" s="29" t="str">
        <f>IF($A103="","",IFERROR(INDEX('INPUT-SIF_Questions'!$F$2:$F$300,MATCH($A103,'INPUT-SIF_Questions'!$A$2:$A$300,0)),""))</f>
        <v>Baseline</v>
      </c>
      <c r="M103" s="29" t="str">
        <f>IF($A103="","",IFERROR(INDEX('INPUT-SIF_Questions'!$G$2:$G$300,MATCH($A103,'INPUT-SIF_Questions'!$A$2:$A$300,0)),""))</f>
        <v>Y</v>
      </c>
      <c r="N103" s="29">
        <f>IF($A103="","",IFERROR(INDEX('INPUT-SIF_Questions'!$E$2:$E$300,MATCH($A103,'INPUT-SIF_Questions'!$A$2:$A$300,0)),""))</f>
        <v>0</v>
      </c>
    </row>
    <row r="104" spans="1:14" ht="14.25" customHeight="1" x14ac:dyDescent="0.45">
      <c r="A104" s="23" t="s">
        <v>321</v>
      </c>
      <c r="B104" s="23" t="s">
        <v>34</v>
      </c>
      <c r="C104" s="23" t="str">
        <f>IFERROR(VLOOKUP(B104,'DATABASE-DRIFT_LATENT_HP_ERROR'!$A$143:$B$160,2,FALSE()),"")</f>
        <v>Work at Height</v>
      </c>
      <c r="D104" s="23" t="s">
        <v>928</v>
      </c>
      <c r="E104" s="23" t="s">
        <v>823</v>
      </c>
      <c r="F104" s="23" t="str">
        <f>IFERROR(VLOOKUP(E104,'DATABASE-DRIFT_LATENT_HP_ERROR'!$A$81:$B$85,2,FALSE()),"")</f>
        <v>Latent.5</v>
      </c>
      <c r="G104" s="23" t="s">
        <v>806</v>
      </c>
      <c r="H104" s="23" t="str">
        <f>IFERROR(VLOOKUP(G104,'DATABASE-DRIFT_LATENT_HP_ERROR'!$B$88:$D$137,3,FALSE()),"")</f>
        <v>Kriteria engineering atau acceptance criteria tidak tersedia.</v>
      </c>
      <c r="K104" s="29">
        <f>IF($A104="","",IFERROR(INDEX('INPUT-SIF_Questions'!$B$2:$B$300,MATCH($A104,'INPUT-SIF_Questions'!$A$2:$A$300,0)),""))</f>
        <v>1</v>
      </c>
      <c r="L104" s="29" t="str">
        <f>IF($A104="","",IFERROR(INDEX('INPUT-SIF_Questions'!$F$2:$F$300,MATCH($A104,'INPUT-SIF_Questions'!$A$2:$A$300,0)),""))</f>
        <v>Baseline</v>
      </c>
      <c r="M104" s="29" t="str">
        <f>IF($A104="","",IFERROR(INDEX('INPUT-SIF_Questions'!$G$2:$G$300,MATCH($A104,'INPUT-SIF_Questions'!$A$2:$A$300,0)),""))</f>
        <v>Y</v>
      </c>
      <c r="N104" s="29">
        <f>IF($A104="","",IFERROR(INDEX('INPUT-SIF_Questions'!$E$2:$E$300,MATCH($A104,'INPUT-SIF_Questions'!$A$2:$A$300,0)),""))</f>
        <v>0</v>
      </c>
    </row>
    <row r="105" spans="1:14" ht="35.25" customHeight="1" x14ac:dyDescent="0.45">
      <c r="A105" s="29" t="s">
        <v>333</v>
      </c>
      <c r="B105" s="1" t="s">
        <v>143</v>
      </c>
      <c r="C105" s="1" t="str">
        <f>IFERROR(VLOOKUP(B105,'DATABASE-DRIFT_LATENT_HP_ERROR'!$A$143:$B$160,2,FALSE()),"")</f>
        <v>Ground Disturbance or Excavation</v>
      </c>
      <c r="D105" s="27" t="s">
        <v>929</v>
      </c>
      <c r="E105" s="33" t="s">
        <v>801</v>
      </c>
      <c r="F105" s="1" t="str">
        <f>IFERROR(VLOOKUP(E105,'DATABASE-DRIFT_LATENT_HP_ERROR'!$A$81:$B$85,2,FALSE()),"")</f>
        <v>Latent.2</v>
      </c>
      <c r="G105" s="34" t="s">
        <v>806</v>
      </c>
      <c r="H105" s="3" t="str">
        <f>IFERROR(VLOOKUP(G105,'DATABASE-DRIFT_LATENT_HP_ERROR'!$B$88:$D$137,3,FALSE()),"")</f>
        <v>Kriteria engineering atau acceptance criteria tidak tersedia.</v>
      </c>
      <c r="K105" s="29">
        <f>IF($A105="","",IFERROR(INDEX('INPUT-SIF_Questions'!$B$2:$B$300,MATCH($A105,'INPUT-SIF_Questions'!$A$2:$A$300,0)),""))</f>
        <v>1</v>
      </c>
      <c r="L105" s="29" t="str">
        <f>IF($A105="","",IFERROR(INDEX('INPUT-SIF_Questions'!$F$2:$F$300,MATCH($A105,'INPUT-SIF_Questions'!$A$2:$A$300,0)),""))</f>
        <v>Baseline</v>
      </c>
      <c r="M105" s="29" t="str">
        <f>IF($A105="","",IFERROR(INDEX('INPUT-SIF_Questions'!$G$2:$G$300,MATCH($A105,'INPUT-SIF_Questions'!$A$2:$A$300,0)),""))</f>
        <v>Y</v>
      </c>
      <c r="N105" s="29">
        <f>IF($A105="","",IFERROR(INDEX('INPUT-SIF_Questions'!$E$2:$E$300,MATCH($A105,'INPUT-SIF_Questions'!$A$2:$A$300,0)),""))</f>
        <v>0</v>
      </c>
    </row>
    <row r="106" spans="1:14" ht="35.25" customHeight="1" x14ac:dyDescent="0.45">
      <c r="A106" s="29" t="s">
        <v>333</v>
      </c>
      <c r="B106" s="1" t="s">
        <v>143</v>
      </c>
      <c r="C106" s="1" t="str">
        <f>IFERROR(VLOOKUP(B106,'DATABASE-DRIFT_LATENT_HP_ERROR'!$A$143:$B$160,2,FALSE()),"")</f>
        <v>Ground Disturbance or Excavation</v>
      </c>
      <c r="D106" s="27" t="s">
        <v>930</v>
      </c>
      <c r="E106" s="33" t="s">
        <v>801</v>
      </c>
      <c r="F106" s="1" t="str">
        <f>IFERROR(VLOOKUP(E106,'DATABASE-DRIFT_LATENT_HP_ERROR'!$A$81:$B$85,2,FALSE()),"")</f>
        <v>Latent.2</v>
      </c>
      <c r="G106" s="34" t="s">
        <v>804</v>
      </c>
      <c r="H106" s="3" t="str">
        <f>IFERROR(VLOOKUP(G106,'DATABASE-DRIFT_LATENT_HP_ERROR'!$B$88:$D$137,3,FALSE()),"")</f>
        <v>Safeguard penting tidak tertulis jelas.</v>
      </c>
      <c r="K106" s="29">
        <f>IF($A106="","",IFERROR(INDEX('INPUT-SIF_Questions'!$B$2:$B$300,MATCH($A106,'INPUT-SIF_Questions'!$A$2:$A$300,0)),""))</f>
        <v>1</v>
      </c>
      <c r="L106" s="29" t="str">
        <f>IF($A106="","",IFERROR(INDEX('INPUT-SIF_Questions'!$F$2:$F$300,MATCH($A106,'INPUT-SIF_Questions'!$A$2:$A$300,0)),""))</f>
        <v>Baseline</v>
      </c>
      <c r="M106" s="29" t="str">
        <f>IF($A106="","",IFERROR(INDEX('INPUT-SIF_Questions'!$G$2:$G$300,MATCH($A106,'INPUT-SIF_Questions'!$A$2:$A$300,0)),""))</f>
        <v>Y</v>
      </c>
      <c r="N106" s="29">
        <f>IF($A106="","",IFERROR(INDEX('INPUT-SIF_Questions'!$E$2:$E$300,MATCH($A106,'INPUT-SIF_Questions'!$A$2:$A$300,0)),""))</f>
        <v>0</v>
      </c>
    </row>
    <row r="107" spans="1:14" ht="42.75" customHeight="1" x14ac:dyDescent="0.45">
      <c r="A107" s="29" t="s">
        <v>333</v>
      </c>
      <c r="B107" s="1" t="s">
        <v>143</v>
      </c>
      <c r="C107" s="1" t="str">
        <f>IFERROR(VLOOKUP(B107,'DATABASE-DRIFT_LATENT_HP_ERROR'!$A$143:$B$160,2,FALSE()),"")</f>
        <v>Ground Disturbance or Excavation</v>
      </c>
      <c r="D107" s="27" t="s">
        <v>931</v>
      </c>
      <c r="E107" s="33" t="s">
        <v>816</v>
      </c>
      <c r="F107" s="1" t="str">
        <f>IFERROR(VLOOKUP(E107,'DATABASE-DRIFT_LATENT_HP_ERROR'!$A$81:$B$85,2,FALSE()),"")</f>
        <v>Latent.4</v>
      </c>
      <c r="G107" s="34" t="s">
        <v>932</v>
      </c>
      <c r="H107" s="3" t="str">
        <f>IFERROR(VLOOKUP(G107,'DATABASE-DRIFT_LATENT_HP_ERROR'!$B$88:$D$137,3,FALSE()),"")</f>
        <v>Verifikasi utilitas bawah tanah tidak dilakukan memadai.</v>
      </c>
      <c r="K107" s="29">
        <f>IF($A107="","",IFERROR(INDEX('INPUT-SIF_Questions'!$B$2:$B$300,MATCH($A107,'INPUT-SIF_Questions'!$A$2:$A$300,0)),""))</f>
        <v>1</v>
      </c>
      <c r="L107" s="29" t="str">
        <f>IF($A107="","",IFERROR(INDEX('INPUT-SIF_Questions'!$F$2:$F$300,MATCH($A107,'INPUT-SIF_Questions'!$A$2:$A$300,0)),""))</f>
        <v>Baseline</v>
      </c>
      <c r="M107" s="29" t="str">
        <f>IF($A107="","",IFERROR(INDEX('INPUT-SIF_Questions'!$G$2:$G$300,MATCH($A107,'INPUT-SIF_Questions'!$A$2:$A$300,0)),""))</f>
        <v>Y</v>
      </c>
      <c r="N107" s="29">
        <f>IF($A107="","",IFERROR(INDEX('INPUT-SIF_Questions'!$E$2:$E$300,MATCH($A107,'INPUT-SIF_Questions'!$A$2:$A$300,0)),""))</f>
        <v>0</v>
      </c>
    </row>
    <row r="108" spans="1:14" ht="42.75" customHeight="1" x14ac:dyDescent="0.45">
      <c r="A108" s="29" t="s">
        <v>333</v>
      </c>
      <c r="B108" s="1" t="s">
        <v>143</v>
      </c>
      <c r="C108" s="1" t="str">
        <f>IFERROR(VLOOKUP(B108,'DATABASE-DRIFT_LATENT_HP_ERROR'!$A$143:$B$160,2,FALSE()),"")</f>
        <v>Ground Disturbance or Excavation</v>
      </c>
      <c r="D108" s="27" t="s">
        <v>933</v>
      </c>
      <c r="E108" s="33" t="s">
        <v>794</v>
      </c>
      <c r="F108" s="1" t="str">
        <f>IFERROR(VLOOKUP(E108,'DATABASE-DRIFT_LATENT_HP_ERROR'!$A$81:$B$85,2,FALSE()),"")</f>
        <v>Latent.1</v>
      </c>
      <c r="G108" s="34" t="s">
        <v>858</v>
      </c>
      <c r="H108" s="3" t="str">
        <f>IFERROR(VLOOKUP(G108,'DATABASE-DRIFT_LATENT_HP_ERROR'!$B$88:$D$137,3,FALSE()),"")</f>
        <v>Kompetensi emergency response/rescue tidak memadai.</v>
      </c>
      <c r="K108" s="29">
        <f>IF($A108="","",IFERROR(INDEX('INPUT-SIF_Questions'!$B$2:$B$300,MATCH($A108,'INPUT-SIF_Questions'!$A$2:$A$300,0)),""))</f>
        <v>1</v>
      </c>
      <c r="L108" s="29" t="str">
        <f>IF($A108="","",IFERROR(INDEX('INPUT-SIF_Questions'!$F$2:$F$300,MATCH($A108,'INPUT-SIF_Questions'!$A$2:$A$300,0)),""))</f>
        <v>Baseline</v>
      </c>
      <c r="M108" s="29" t="str">
        <f>IF($A108="","",IFERROR(INDEX('INPUT-SIF_Questions'!$G$2:$G$300,MATCH($A108,'INPUT-SIF_Questions'!$A$2:$A$300,0)),""))</f>
        <v>Y</v>
      </c>
      <c r="N108" s="29">
        <f>IF($A108="","",IFERROR(INDEX('INPUT-SIF_Questions'!$E$2:$E$300,MATCH($A108,'INPUT-SIF_Questions'!$A$2:$A$300,0)),""))</f>
        <v>0</v>
      </c>
    </row>
    <row r="109" spans="1:14" ht="35.25" customHeight="1" x14ac:dyDescent="0.45">
      <c r="A109" s="29" t="s">
        <v>333</v>
      </c>
      <c r="B109" s="1" t="s">
        <v>143</v>
      </c>
      <c r="C109" s="1" t="str">
        <f>IFERROR(VLOOKUP(B109,'DATABASE-DRIFT_LATENT_HP_ERROR'!$A$143:$B$160,2,FALSE()),"")</f>
        <v>Ground Disturbance or Excavation</v>
      </c>
      <c r="D109" s="27" t="s">
        <v>934</v>
      </c>
      <c r="E109" s="33" t="s">
        <v>816</v>
      </c>
      <c r="F109" s="1" t="str">
        <f>IFERROR(VLOOKUP(E109,'DATABASE-DRIFT_LATENT_HP_ERROR'!$A$81:$B$85,2,FALSE()),"")</f>
        <v>Latent.4</v>
      </c>
      <c r="G109" s="34" t="s">
        <v>932</v>
      </c>
      <c r="H109" s="3" t="str">
        <f>IFERROR(VLOOKUP(G109,'DATABASE-DRIFT_LATENT_HP_ERROR'!$B$88:$D$137,3,FALSE()),"")</f>
        <v>Verifikasi utilitas bawah tanah tidak dilakukan memadai.</v>
      </c>
      <c r="K109" s="29">
        <f>IF($A109="","",IFERROR(INDEX('INPUT-SIF_Questions'!$B$2:$B$300,MATCH($A109,'INPUT-SIF_Questions'!$A$2:$A$300,0)),""))</f>
        <v>1</v>
      </c>
      <c r="L109" s="29" t="str">
        <f>IF($A109="","",IFERROR(INDEX('INPUT-SIF_Questions'!$F$2:$F$300,MATCH($A109,'INPUT-SIF_Questions'!$A$2:$A$300,0)),""))</f>
        <v>Baseline</v>
      </c>
      <c r="M109" s="29" t="str">
        <f>IF($A109="","",IFERROR(INDEX('INPUT-SIF_Questions'!$G$2:$G$300,MATCH($A109,'INPUT-SIF_Questions'!$A$2:$A$300,0)),""))</f>
        <v>Y</v>
      </c>
      <c r="N109" s="29">
        <f>IF($A109="","",IFERROR(INDEX('INPUT-SIF_Questions'!$E$2:$E$300,MATCH($A109,'INPUT-SIF_Questions'!$A$2:$A$300,0)),""))</f>
        <v>0</v>
      </c>
    </row>
    <row r="110" spans="1:14" ht="49.5" customHeight="1" x14ac:dyDescent="0.45">
      <c r="A110" s="29" t="s">
        <v>333</v>
      </c>
      <c r="B110" s="1" t="s">
        <v>143</v>
      </c>
      <c r="C110" s="1" t="str">
        <f>IFERROR(VLOOKUP(B110,'DATABASE-DRIFT_LATENT_HP_ERROR'!$A$143:$B$160,2,FALSE()),"")</f>
        <v>Ground Disturbance or Excavation</v>
      </c>
      <c r="D110" s="27" t="s">
        <v>935</v>
      </c>
      <c r="E110" s="33" t="s">
        <v>823</v>
      </c>
      <c r="F110" s="1" t="str">
        <f>IFERROR(VLOOKUP(E110,'DATABASE-DRIFT_LATENT_HP_ERROR'!$A$81:$B$85,2,FALSE()),"")</f>
        <v>Latent.5</v>
      </c>
      <c r="G110" s="34" t="s">
        <v>835</v>
      </c>
      <c r="H110" s="3" t="str">
        <f>IFERROR(VLOOKUP(G110,'DATABASE-DRIFT_LATENT_HP_ERROR'!$B$88:$D$137,3,FALSE()),"")</f>
        <v>Safeguard engineering tidak cukup kuat.</v>
      </c>
      <c r="K110" s="29">
        <f>IF($A110="","",IFERROR(INDEX('INPUT-SIF_Questions'!$B$2:$B$300,MATCH($A110,'INPUT-SIF_Questions'!$A$2:$A$300,0)),""))</f>
        <v>1</v>
      </c>
      <c r="L110" s="29" t="str">
        <f>IF($A110="","",IFERROR(INDEX('INPUT-SIF_Questions'!$F$2:$F$300,MATCH($A110,'INPUT-SIF_Questions'!$A$2:$A$300,0)),""))</f>
        <v>Baseline</v>
      </c>
      <c r="M110" s="29" t="str">
        <f>IF($A110="","",IFERROR(INDEX('INPUT-SIF_Questions'!$G$2:$G$300,MATCH($A110,'INPUT-SIF_Questions'!$A$2:$A$300,0)),""))</f>
        <v>Y</v>
      </c>
      <c r="N110" s="29">
        <f>IF($A110="","",IFERROR(INDEX('INPUT-SIF_Questions'!$E$2:$E$300,MATCH($A110,'INPUT-SIF_Questions'!$A$2:$A$300,0)),""))</f>
        <v>0</v>
      </c>
    </row>
    <row r="111" spans="1:14" ht="21" customHeight="1" x14ac:dyDescent="0.45">
      <c r="A111" s="29" t="s">
        <v>348</v>
      </c>
      <c r="B111" s="1" t="s">
        <v>34</v>
      </c>
      <c r="C111" s="1" t="str">
        <f>IFERROR(VLOOKUP(B111,'DATABASE-DRIFT_LATENT_HP_ERROR'!$A$143:$B$160,2,FALSE()),"")</f>
        <v>Work at Height</v>
      </c>
      <c r="D111" s="27" t="s">
        <v>936</v>
      </c>
      <c r="E111" s="33" t="s">
        <v>794</v>
      </c>
      <c r="F111" s="1" t="str">
        <f>IFERROR(VLOOKUP(E111,'DATABASE-DRIFT_LATENT_HP_ERROR'!$A$81:$B$85,2,FALSE()),"")</f>
        <v>Latent.1</v>
      </c>
      <c r="G111" s="34" t="s">
        <v>841</v>
      </c>
      <c r="H111" s="3" t="str">
        <f>IFERROR(VLOOKUP(G111,'DATABASE-DRIFT_LATENT_HP_ERROR'!$B$88:$D$137,3,FALSE()),"")</f>
        <v>Personel tidak memahami aspek teknikal pekerjaan atau safeguard.</v>
      </c>
      <c r="K111" s="29">
        <f>IF($A111="","",IFERROR(INDEX('INPUT-SIF_Questions'!$B$2:$B$300,MATCH($A111,'INPUT-SIF_Questions'!$A$2:$A$300,0)),""))</f>
        <v>1</v>
      </c>
      <c r="L111" s="29" t="str">
        <f>IF($A111="","",IFERROR(INDEX('INPUT-SIF_Questions'!$F$2:$F$300,MATCH($A111,'INPUT-SIF_Questions'!$A$2:$A$300,0)),""))</f>
        <v>Baseline</v>
      </c>
      <c r="M111" s="29" t="str">
        <f>IF($A111="","",IFERROR(INDEX('INPUT-SIF_Questions'!$G$2:$G$300,MATCH($A111,'INPUT-SIF_Questions'!$A$2:$A$300,0)),""))</f>
        <v>Y</v>
      </c>
      <c r="N111" s="29">
        <f>IF($A111="","",IFERROR(INDEX('INPUT-SIF_Questions'!$E$2:$E$300,MATCH($A111,'INPUT-SIF_Questions'!$A$2:$A$300,0)),""))</f>
        <v>0</v>
      </c>
    </row>
    <row r="112" spans="1:14" ht="35.25" customHeight="1" x14ac:dyDescent="0.45">
      <c r="A112" s="29" t="s">
        <v>348</v>
      </c>
      <c r="B112" s="1" t="s">
        <v>34</v>
      </c>
      <c r="C112" s="1" t="str">
        <f>IFERROR(VLOOKUP(B112,'DATABASE-DRIFT_LATENT_HP_ERROR'!$A$143:$B$160,2,FALSE()),"")</f>
        <v>Work at Height</v>
      </c>
      <c r="D112" s="27" t="s">
        <v>937</v>
      </c>
      <c r="E112" s="33" t="s">
        <v>794</v>
      </c>
      <c r="F112" s="1" t="str">
        <f>IFERROR(VLOOKUP(E112,'DATABASE-DRIFT_LATENT_HP_ERROR'!$A$81:$B$85,2,FALSE()),"")</f>
        <v>Latent.1</v>
      </c>
      <c r="G112" s="34" t="s">
        <v>854</v>
      </c>
      <c r="H112" s="3" t="str">
        <f>IFERROR(VLOOKUP(G112,'DATABASE-DRIFT_LATENT_HP_ERROR'!$B$88:$D$137,3,FALSE()),"")</f>
        <v>Critical safeguard dipahami tidak sesuai intent engineering/safety.</v>
      </c>
      <c r="K112" s="29">
        <f>IF($A112="","",IFERROR(INDEX('INPUT-SIF_Questions'!$B$2:$B$300,MATCH($A112,'INPUT-SIF_Questions'!$A$2:$A$300,0)),""))</f>
        <v>1</v>
      </c>
      <c r="L112" s="29" t="str">
        <f>IF($A112="","",IFERROR(INDEX('INPUT-SIF_Questions'!$F$2:$F$300,MATCH($A112,'INPUT-SIF_Questions'!$A$2:$A$300,0)),""))</f>
        <v>Baseline</v>
      </c>
      <c r="M112" s="29" t="str">
        <f>IF($A112="","",IFERROR(INDEX('INPUT-SIF_Questions'!$G$2:$G$300,MATCH($A112,'INPUT-SIF_Questions'!$A$2:$A$300,0)),""))</f>
        <v>Y</v>
      </c>
      <c r="N112" s="29">
        <f>IF($A112="","",IFERROR(INDEX('INPUT-SIF_Questions'!$E$2:$E$300,MATCH($A112,'INPUT-SIF_Questions'!$A$2:$A$300,0)),""))</f>
        <v>0</v>
      </c>
    </row>
    <row r="113" spans="1:14" ht="21" customHeight="1" x14ac:dyDescent="0.45">
      <c r="A113" s="29" t="s">
        <v>348</v>
      </c>
      <c r="B113" s="1" t="s">
        <v>34</v>
      </c>
      <c r="C113" s="1" t="str">
        <f>IFERROR(VLOOKUP(B113,'DATABASE-DRIFT_LATENT_HP_ERROR'!$A$143:$B$160,2,FALSE()),"")</f>
        <v>Work at Height</v>
      </c>
      <c r="D113" s="27" t="s">
        <v>938</v>
      </c>
      <c r="E113" s="33" t="s">
        <v>801</v>
      </c>
      <c r="F113" s="1" t="str">
        <f>IFERROR(VLOOKUP(E113,'DATABASE-DRIFT_LATENT_HP_ERROR'!$A$81:$B$85,2,FALSE()),"")</f>
        <v>Latent.2</v>
      </c>
      <c r="G113" s="34" t="s">
        <v>848</v>
      </c>
      <c r="H113" s="3" t="str">
        <f>IFERROR(VLOOKUP(G113,'DATABASE-DRIFT_LATENT_HP_ERROR'!$B$88:$D$137,3,FALSE()),"")</f>
        <v>Prosedur sulit diterapkan di kondisi lapangan aktual.</v>
      </c>
      <c r="K113" s="29">
        <f>IF($A113="","",IFERROR(INDEX('INPUT-SIF_Questions'!$B$2:$B$300,MATCH($A113,'INPUT-SIF_Questions'!$A$2:$A$300,0)),""))</f>
        <v>1</v>
      </c>
      <c r="L113" s="29" t="str">
        <f>IF($A113="","",IFERROR(INDEX('INPUT-SIF_Questions'!$F$2:$F$300,MATCH($A113,'INPUT-SIF_Questions'!$A$2:$A$300,0)),""))</f>
        <v>Baseline</v>
      </c>
      <c r="M113" s="29" t="str">
        <f>IF($A113="","",IFERROR(INDEX('INPUT-SIF_Questions'!$G$2:$G$300,MATCH($A113,'INPUT-SIF_Questions'!$A$2:$A$300,0)),""))</f>
        <v>Y</v>
      </c>
      <c r="N113" s="29">
        <f>IF($A113="","",IFERROR(INDEX('INPUT-SIF_Questions'!$E$2:$E$300,MATCH($A113,'INPUT-SIF_Questions'!$A$2:$A$300,0)),""))</f>
        <v>0</v>
      </c>
    </row>
    <row r="114" spans="1:14" ht="21" customHeight="1" x14ac:dyDescent="0.45">
      <c r="A114" s="29" t="s">
        <v>348</v>
      </c>
      <c r="B114" s="1" t="s">
        <v>34</v>
      </c>
      <c r="C114" s="1" t="str">
        <f>IFERROR(VLOOKUP(B114,'DATABASE-DRIFT_LATENT_HP_ERROR'!$A$143:$B$160,2,FALSE()),"")</f>
        <v>Work at Height</v>
      </c>
      <c r="D114" s="27" t="s">
        <v>939</v>
      </c>
      <c r="E114" s="33" t="s">
        <v>823</v>
      </c>
      <c r="F114" s="1" t="str">
        <f>IFERROR(VLOOKUP(E114,'DATABASE-DRIFT_LATENT_HP_ERROR'!$A$81:$B$85,2,FALSE()),"")</f>
        <v>Latent.5</v>
      </c>
      <c r="G114" s="34" t="s">
        <v>824</v>
      </c>
      <c r="H114" s="3" t="str">
        <f>IFERROR(VLOOKUP(G114,'DATABASE-DRIFT_LATENT_HP_ERROR'!$B$88:$D$137,3,FALSE()),"")</f>
        <v>Konfigurasi anchorage menciptakan swing fall/impact hazard.</v>
      </c>
      <c r="K114" s="29">
        <f>IF($A114="","",IFERROR(INDEX('INPUT-SIF_Questions'!$B$2:$B$300,MATCH($A114,'INPUT-SIF_Questions'!$A$2:$A$300,0)),""))</f>
        <v>1</v>
      </c>
      <c r="L114" s="29" t="str">
        <f>IF($A114="","",IFERROR(INDEX('INPUT-SIF_Questions'!$F$2:$F$300,MATCH($A114,'INPUT-SIF_Questions'!$A$2:$A$300,0)),""))</f>
        <v>Baseline</v>
      </c>
      <c r="M114" s="29" t="str">
        <f>IF($A114="","",IFERROR(INDEX('INPUT-SIF_Questions'!$G$2:$G$300,MATCH($A114,'INPUT-SIF_Questions'!$A$2:$A$300,0)),""))</f>
        <v>Y</v>
      </c>
      <c r="N114" s="29">
        <f>IF($A114="","",IFERROR(INDEX('INPUT-SIF_Questions'!$E$2:$E$300,MATCH($A114,'INPUT-SIF_Questions'!$A$2:$A$300,0)),""))</f>
        <v>0</v>
      </c>
    </row>
    <row r="115" spans="1:14" ht="14.25" customHeight="1" x14ac:dyDescent="0.45">
      <c r="A115" s="29" t="s">
        <v>348</v>
      </c>
      <c r="B115" s="1" t="s">
        <v>34</v>
      </c>
      <c r="C115" s="1" t="str">
        <f>IFERROR(VLOOKUP(B115,'DATABASE-DRIFT_LATENT_HP_ERROR'!$A$143:$B$160,2,FALSE()),"")</f>
        <v>Work at Height</v>
      </c>
      <c r="D115" s="27" t="s">
        <v>940</v>
      </c>
      <c r="E115" s="33" t="s">
        <v>810</v>
      </c>
      <c r="F115" s="1" t="str">
        <f>IFERROR(VLOOKUP(E115,'DATABASE-DRIFT_LATENT_HP_ERROR'!$A$81:$B$85,2,FALSE()),"")</f>
        <v>Latent.3</v>
      </c>
      <c r="G115" s="34" t="s">
        <v>814</v>
      </c>
      <c r="H115" s="3" t="str">
        <f>IFERROR(VLOOKUP(G115,'DATABASE-DRIFT_LATENT_HP_ERROR'!$B$88:$D$137,3,FALSE()),"")</f>
        <v>Coaching tidak fokus pada critical safeguards.</v>
      </c>
      <c r="K115" s="29">
        <f>IF($A115="","",IFERROR(INDEX('INPUT-SIF_Questions'!$B$2:$B$300,MATCH($A115,'INPUT-SIF_Questions'!$A$2:$A$300,0)),""))</f>
        <v>1</v>
      </c>
      <c r="L115" s="29" t="str">
        <f>IF($A115="","",IFERROR(INDEX('INPUT-SIF_Questions'!$F$2:$F$300,MATCH($A115,'INPUT-SIF_Questions'!$A$2:$A$300,0)),""))</f>
        <v>Baseline</v>
      </c>
      <c r="M115" s="29" t="str">
        <f>IF($A115="","",IFERROR(INDEX('INPUT-SIF_Questions'!$G$2:$G$300,MATCH($A115,'INPUT-SIF_Questions'!$A$2:$A$300,0)),""))</f>
        <v>Y</v>
      </c>
      <c r="N115" s="29">
        <f>IF($A115="","",IFERROR(INDEX('INPUT-SIF_Questions'!$E$2:$E$300,MATCH($A115,'INPUT-SIF_Questions'!$A$2:$A$300,0)),""))</f>
        <v>0</v>
      </c>
    </row>
    <row r="116" spans="1:14" ht="14.25" customHeight="1" x14ac:dyDescent="0.45">
      <c r="A116" s="29" t="s">
        <v>366</v>
      </c>
      <c r="B116" s="1" t="s">
        <v>34</v>
      </c>
      <c r="C116" s="1" t="str">
        <f>IFERROR(VLOOKUP(B116,'DATABASE-DRIFT_LATENT_HP_ERROR'!$A$143:$B$160,2,FALSE()),"")</f>
        <v>Work at Height</v>
      </c>
      <c r="D116" s="27" t="s">
        <v>941</v>
      </c>
      <c r="E116" s="33" t="s">
        <v>794</v>
      </c>
      <c r="F116" s="1" t="str">
        <f>IFERROR(VLOOKUP(E116,'DATABASE-DRIFT_LATENT_HP_ERROR'!$A$81:$B$85,2,FALSE()),"")</f>
        <v>Latent.1</v>
      </c>
      <c r="G116" s="34" t="s">
        <v>841</v>
      </c>
      <c r="H116" s="3" t="str">
        <f>IFERROR(VLOOKUP(G116,'DATABASE-DRIFT_LATENT_HP_ERROR'!$B$88:$D$137,3,FALSE()),"")</f>
        <v>Personel tidak memahami aspek teknikal pekerjaan atau safeguard.</v>
      </c>
      <c r="K116" s="29">
        <f>IF($A116="","",IFERROR(INDEX('INPUT-SIF_Questions'!$B$2:$B$300,MATCH($A116,'INPUT-SIF_Questions'!$A$2:$A$300,0)),""))</f>
        <v>1</v>
      </c>
      <c r="L116" s="29" t="str">
        <f>IF($A116="","",IFERROR(INDEX('INPUT-SIF_Questions'!$F$2:$F$300,MATCH($A116,'INPUT-SIF_Questions'!$A$2:$A$300,0)),""))</f>
        <v>Baseline</v>
      </c>
      <c r="M116" s="29" t="str">
        <f>IF($A116="","",IFERROR(INDEX('INPUT-SIF_Questions'!$G$2:$G$300,MATCH($A116,'INPUT-SIF_Questions'!$A$2:$A$300,0)),""))</f>
        <v>Y</v>
      </c>
      <c r="N116" s="29">
        <f>IF($A116="","",IFERROR(INDEX('INPUT-SIF_Questions'!$E$2:$E$300,MATCH($A116,'INPUT-SIF_Questions'!$A$2:$A$300,0)),""))</f>
        <v>0</v>
      </c>
    </row>
    <row r="117" spans="1:14" ht="14.25" customHeight="1" x14ac:dyDescent="0.45">
      <c r="A117" s="29" t="s">
        <v>366</v>
      </c>
      <c r="B117" s="1" t="s">
        <v>34</v>
      </c>
      <c r="C117" s="1" t="str">
        <f>IFERROR(VLOOKUP(B117,'DATABASE-DRIFT_LATENT_HP_ERROR'!$A$143:$B$160,2,FALSE()),"")</f>
        <v>Work at Height</v>
      </c>
      <c r="D117" s="27" t="s">
        <v>942</v>
      </c>
      <c r="E117" s="33" t="s">
        <v>801</v>
      </c>
      <c r="F117" s="1" t="str">
        <f>IFERROR(VLOOKUP(E117,'DATABASE-DRIFT_LATENT_HP_ERROR'!$A$81:$B$85,2,FALSE()),"")</f>
        <v>Latent.2</v>
      </c>
      <c r="G117" s="34" t="s">
        <v>848</v>
      </c>
      <c r="H117" s="3" t="str">
        <f>IFERROR(VLOOKUP(G117,'DATABASE-DRIFT_LATENT_HP_ERROR'!$B$88:$D$137,3,FALSE()),"")</f>
        <v>Prosedur sulit diterapkan di kondisi lapangan aktual.</v>
      </c>
      <c r="K117" s="29">
        <f>IF($A117="","",IFERROR(INDEX('INPUT-SIF_Questions'!$B$2:$B$300,MATCH($A117,'INPUT-SIF_Questions'!$A$2:$A$300,0)),""))</f>
        <v>1</v>
      </c>
      <c r="L117" s="29" t="str">
        <f>IF($A117="","",IFERROR(INDEX('INPUT-SIF_Questions'!$F$2:$F$300,MATCH($A117,'INPUT-SIF_Questions'!$A$2:$A$300,0)),""))</f>
        <v>Baseline</v>
      </c>
      <c r="M117" s="29" t="str">
        <f>IF($A117="","",IFERROR(INDEX('INPUT-SIF_Questions'!$G$2:$G$300,MATCH($A117,'INPUT-SIF_Questions'!$A$2:$A$300,0)),""))</f>
        <v>Y</v>
      </c>
      <c r="N117" s="29">
        <f>IF($A117="","",IFERROR(INDEX('INPUT-SIF_Questions'!$E$2:$E$300,MATCH($A117,'INPUT-SIF_Questions'!$A$2:$A$300,0)),""))</f>
        <v>0</v>
      </c>
    </row>
    <row r="118" spans="1:14" ht="21" customHeight="1" x14ac:dyDescent="0.45">
      <c r="A118" s="29" t="s">
        <v>366</v>
      </c>
      <c r="B118" s="1" t="s">
        <v>34</v>
      </c>
      <c r="C118" s="1" t="str">
        <f>IFERROR(VLOOKUP(B118,'DATABASE-DRIFT_LATENT_HP_ERROR'!$A$143:$B$160,2,FALSE()),"")</f>
        <v>Work at Height</v>
      </c>
      <c r="D118" s="27" t="s">
        <v>943</v>
      </c>
      <c r="E118" s="33" t="s">
        <v>823</v>
      </c>
      <c r="F118" s="1" t="str">
        <f>IFERROR(VLOOKUP(E118,'DATABASE-DRIFT_LATENT_HP_ERROR'!$A$81:$B$85,2,FALSE()),"")</f>
        <v>Latent.5</v>
      </c>
      <c r="G118" s="34" t="s">
        <v>835</v>
      </c>
      <c r="H118" s="3" t="str">
        <f>IFERROR(VLOOKUP(G118,'DATABASE-DRIFT_LATENT_HP_ERROR'!$B$88:$D$137,3,FALSE()),"")</f>
        <v>Safeguard engineering tidak cukup kuat.</v>
      </c>
      <c r="K118" s="29">
        <f>IF($A118="","",IFERROR(INDEX('INPUT-SIF_Questions'!$B$2:$B$300,MATCH($A118,'INPUT-SIF_Questions'!$A$2:$A$300,0)),""))</f>
        <v>1</v>
      </c>
      <c r="L118" s="29" t="str">
        <f>IF($A118="","",IFERROR(INDEX('INPUT-SIF_Questions'!$F$2:$F$300,MATCH($A118,'INPUT-SIF_Questions'!$A$2:$A$300,0)),""))</f>
        <v>Baseline</v>
      </c>
      <c r="M118" s="29" t="str">
        <f>IF($A118="","",IFERROR(INDEX('INPUT-SIF_Questions'!$G$2:$G$300,MATCH($A118,'INPUT-SIF_Questions'!$A$2:$A$300,0)),""))</f>
        <v>Y</v>
      </c>
      <c r="N118" s="29">
        <f>IF($A118="","",IFERROR(INDEX('INPUT-SIF_Questions'!$E$2:$E$300,MATCH($A118,'INPUT-SIF_Questions'!$A$2:$A$300,0)),""))</f>
        <v>0</v>
      </c>
    </row>
    <row r="119" spans="1:14" ht="21" customHeight="1" x14ac:dyDescent="0.45">
      <c r="A119" s="29" t="s">
        <v>366</v>
      </c>
      <c r="B119" s="1" t="s">
        <v>34</v>
      </c>
      <c r="C119" s="1" t="str">
        <f>IFERROR(VLOOKUP(B119,'DATABASE-DRIFT_LATENT_HP_ERROR'!$A$143:$B$160,2,FALSE()),"")</f>
        <v>Work at Height</v>
      </c>
      <c r="D119" s="27" t="s">
        <v>944</v>
      </c>
      <c r="E119" s="33" t="s">
        <v>823</v>
      </c>
      <c r="F119" s="1" t="str">
        <f>IFERROR(VLOOKUP(E119,'DATABASE-DRIFT_LATENT_HP_ERROR'!$A$81:$B$85,2,FALSE()),"")</f>
        <v>Latent.5</v>
      </c>
      <c r="G119" s="34" t="s">
        <v>824</v>
      </c>
      <c r="H119" s="3" t="str">
        <f>IFERROR(VLOOKUP(G119,'DATABASE-DRIFT_LATENT_HP_ERROR'!$B$88:$D$137,3,FALSE()),"")</f>
        <v>Konfigurasi anchorage menciptakan swing fall/impact hazard.</v>
      </c>
      <c r="K119" s="29">
        <f>IF($A119="","",IFERROR(INDEX('INPUT-SIF_Questions'!$B$2:$B$300,MATCH($A119,'INPUT-SIF_Questions'!$A$2:$A$300,0)),""))</f>
        <v>1</v>
      </c>
      <c r="L119" s="29" t="str">
        <f>IF($A119="","",IFERROR(INDEX('INPUT-SIF_Questions'!$F$2:$F$300,MATCH($A119,'INPUT-SIF_Questions'!$A$2:$A$300,0)),""))</f>
        <v>Baseline</v>
      </c>
      <c r="M119" s="29" t="str">
        <f>IF($A119="","",IFERROR(INDEX('INPUT-SIF_Questions'!$G$2:$G$300,MATCH($A119,'INPUT-SIF_Questions'!$A$2:$A$300,0)),""))</f>
        <v>Y</v>
      </c>
      <c r="N119" s="29">
        <f>IF($A119="","",IFERROR(INDEX('INPUT-SIF_Questions'!$E$2:$E$300,MATCH($A119,'INPUT-SIF_Questions'!$A$2:$A$300,0)),""))</f>
        <v>0</v>
      </c>
    </row>
    <row r="120" spans="1:14" ht="14.25" customHeight="1" x14ac:dyDescent="0.45">
      <c r="A120" s="29" t="s">
        <v>366</v>
      </c>
      <c r="B120" s="1" t="s">
        <v>34</v>
      </c>
      <c r="C120" s="1" t="str">
        <f>IFERROR(VLOOKUP(B120,'DATABASE-DRIFT_LATENT_HP_ERROR'!$A$143:$B$160,2,FALSE()),"")</f>
        <v>Work at Height</v>
      </c>
      <c r="D120" s="27" t="s">
        <v>945</v>
      </c>
      <c r="E120" s="33" t="s">
        <v>810</v>
      </c>
      <c r="F120" s="1" t="str">
        <f>IFERROR(VLOOKUP(E120,'DATABASE-DRIFT_LATENT_HP_ERROR'!$A$81:$B$85,2,FALSE()),"")</f>
        <v>Latent.3</v>
      </c>
      <c r="G120" s="34" t="s">
        <v>814</v>
      </c>
      <c r="H120" s="3" t="str">
        <f>IFERROR(VLOOKUP(G120,'DATABASE-DRIFT_LATENT_HP_ERROR'!$B$88:$D$137,3,FALSE()),"")</f>
        <v>Coaching tidak fokus pada critical safeguards.</v>
      </c>
      <c r="K120" s="29">
        <f>IF($A120="","",IFERROR(INDEX('INPUT-SIF_Questions'!$B$2:$B$300,MATCH($A120,'INPUT-SIF_Questions'!$A$2:$A$300,0)),""))</f>
        <v>1</v>
      </c>
      <c r="L120" s="29" t="str">
        <f>IF($A120="","",IFERROR(INDEX('INPUT-SIF_Questions'!$F$2:$F$300,MATCH($A120,'INPUT-SIF_Questions'!$A$2:$A$300,0)),""))</f>
        <v>Baseline</v>
      </c>
      <c r="M120" s="29" t="str">
        <f>IF($A120="","",IFERROR(INDEX('INPUT-SIF_Questions'!$G$2:$G$300,MATCH($A120,'INPUT-SIF_Questions'!$A$2:$A$300,0)),""))</f>
        <v>Y</v>
      </c>
      <c r="N120" s="29">
        <f>IF($A120="","",IFERROR(INDEX('INPUT-SIF_Questions'!$E$2:$E$300,MATCH($A120,'INPUT-SIF_Questions'!$A$2:$A$300,0)),""))</f>
        <v>0</v>
      </c>
    </row>
    <row r="121" spans="1:14" ht="21" customHeight="1" x14ac:dyDescent="0.45">
      <c r="A121" s="29" t="s">
        <v>366</v>
      </c>
      <c r="B121" s="1" t="s">
        <v>34</v>
      </c>
      <c r="C121" s="1" t="str">
        <f>IFERROR(VLOOKUP(B121,'DATABASE-DRIFT_LATENT_HP_ERROR'!$A$143:$B$160,2,FALSE()),"")</f>
        <v>Work at Height</v>
      </c>
      <c r="D121" s="27" t="s">
        <v>946</v>
      </c>
      <c r="E121" s="33" t="s">
        <v>816</v>
      </c>
      <c r="F121" s="1" t="str">
        <f>IFERROR(VLOOKUP(E121,'DATABASE-DRIFT_LATENT_HP_ERROR'!$A$81:$B$85,2,FALSE()),"")</f>
        <v>Latent.4</v>
      </c>
      <c r="G121" s="34" t="s">
        <v>871</v>
      </c>
      <c r="H121" s="3" t="str">
        <f>IFERROR(VLOOKUP(G121,'DATABASE-DRIFT_LATENT_HP_ERROR'!$B$88:$D$137,3,FALSE()),"")</f>
        <v>Contingency/rescue plan tidak memadai.</v>
      </c>
      <c r="K121" s="29">
        <f>IF($A121="","",IFERROR(INDEX('INPUT-SIF_Questions'!$B$2:$B$300,MATCH($A121,'INPUT-SIF_Questions'!$A$2:$A$300,0)),""))</f>
        <v>1</v>
      </c>
      <c r="L121" s="29" t="str">
        <f>IF($A121="","",IFERROR(INDEX('INPUT-SIF_Questions'!$F$2:$F$300,MATCH($A121,'INPUT-SIF_Questions'!$A$2:$A$300,0)),""))</f>
        <v>Baseline</v>
      </c>
      <c r="M121" s="29" t="str">
        <f>IF($A121="","",IFERROR(INDEX('INPUT-SIF_Questions'!$G$2:$G$300,MATCH($A121,'INPUT-SIF_Questions'!$A$2:$A$300,0)),""))</f>
        <v>Y</v>
      </c>
      <c r="N121" s="29">
        <f>IF($A121="","",IFERROR(INDEX('INPUT-SIF_Questions'!$E$2:$E$300,MATCH($A121,'INPUT-SIF_Questions'!$A$2:$A$300,0)),""))</f>
        <v>0</v>
      </c>
    </row>
    <row r="122" spans="1:14" ht="42.75" customHeight="1" x14ac:dyDescent="0.45">
      <c r="A122" s="29" t="s">
        <v>378</v>
      </c>
      <c r="B122" s="1" t="s">
        <v>207</v>
      </c>
      <c r="C122" s="1" t="str">
        <f>IFERROR(VLOOKUP(B122,'DATABASE-DRIFT_LATENT_HP_ERROR'!$A$143:$B$160,2,FALSE()),"")</f>
        <v>Confined Space Entry</v>
      </c>
      <c r="D122" s="27" t="s">
        <v>947</v>
      </c>
      <c r="E122" s="33" t="s">
        <v>794</v>
      </c>
      <c r="F122" s="1" t="str">
        <f>IFERROR(VLOOKUP(E122,'DATABASE-DRIFT_LATENT_HP_ERROR'!$A$81:$B$85,2,FALSE()),"")</f>
        <v>Latent.1</v>
      </c>
      <c r="G122" s="34" t="s">
        <v>797</v>
      </c>
      <c r="H122" s="3" t="str">
        <f>IFERROR(VLOOKUP(G122,'DATABASE-DRIFT_LATENT_HP_ERROR'!$B$88:$D$137,3,FALSE()),"")</f>
        <v>Pemahaman engineering consequence lemah.</v>
      </c>
      <c r="K122" s="29">
        <f>IF($A122="","",IFERROR(INDEX('INPUT-SIF_Questions'!$B$2:$B$300,MATCH($A122,'INPUT-SIF_Questions'!$A$2:$A$300,0)),""))</f>
        <v>1</v>
      </c>
      <c r="L122" s="29" t="str">
        <f>IF($A122="","",IFERROR(INDEX('INPUT-SIF_Questions'!$F$2:$F$300,MATCH($A122,'INPUT-SIF_Questions'!$A$2:$A$300,0)),""))</f>
        <v>Baseline</v>
      </c>
      <c r="M122" s="29" t="str">
        <f>IF($A122="","",IFERROR(INDEX('INPUT-SIF_Questions'!$G$2:$G$300,MATCH($A122,'INPUT-SIF_Questions'!$A$2:$A$300,0)),""))</f>
        <v>Y</v>
      </c>
      <c r="N122" s="29">
        <f>IF($A122="","",IFERROR(INDEX('INPUT-SIF_Questions'!$E$2:$E$300,MATCH($A122,'INPUT-SIF_Questions'!$A$2:$A$300,0)),""))</f>
        <v>0</v>
      </c>
    </row>
    <row r="123" spans="1:14" ht="49.5" customHeight="1" x14ac:dyDescent="0.45">
      <c r="A123" s="29" t="s">
        <v>378</v>
      </c>
      <c r="B123" s="1" t="s">
        <v>207</v>
      </c>
      <c r="C123" s="1" t="str">
        <f>IFERROR(VLOOKUP(B123,'DATABASE-DRIFT_LATENT_HP_ERROR'!$A$143:$B$160,2,FALSE()),"")</f>
        <v>Confined Space Entry</v>
      </c>
      <c r="D123" s="27" t="s">
        <v>948</v>
      </c>
      <c r="E123" s="33" t="s">
        <v>801</v>
      </c>
      <c r="F123" s="1" t="str">
        <f>IFERROR(VLOOKUP(E123,'DATABASE-DRIFT_LATENT_HP_ERROR'!$A$81:$B$85,2,FALSE()),"")</f>
        <v>Latent.2</v>
      </c>
      <c r="G123" s="34" t="s">
        <v>806</v>
      </c>
      <c r="H123" s="3" t="str">
        <f>IFERROR(VLOOKUP(G123,'DATABASE-DRIFT_LATENT_HP_ERROR'!$B$88:$D$137,3,FALSE()),"")</f>
        <v>Kriteria engineering atau acceptance criteria tidak tersedia.</v>
      </c>
      <c r="K123" s="29">
        <f>IF($A123="","",IFERROR(INDEX('INPUT-SIF_Questions'!$B$2:$B$300,MATCH($A123,'INPUT-SIF_Questions'!$A$2:$A$300,0)),""))</f>
        <v>1</v>
      </c>
      <c r="L123" s="29" t="str">
        <f>IF($A123="","",IFERROR(INDEX('INPUT-SIF_Questions'!$F$2:$F$300,MATCH($A123,'INPUT-SIF_Questions'!$A$2:$A$300,0)),""))</f>
        <v>Baseline</v>
      </c>
      <c r="M123" s="29" t="str">
        <f>IF($A123="","",IFERROR(INDEX('INPUT-SIF_Questions'!$G$2:$G$300,MATCH($A123,'INPUT-SIF_Questions'!$A$2:$A$300,0)),""))</f>
        <v>Y</v>
      </c>
      <c r="N123" s="29">
        <f>IF($A123="","",IFERROR(INDEX('INPUT-SIF_Questions'!$E$2:$E$300,MATCH($A123,'INPUT-SIF_Questions'!$A$2:$A$300,0)),""))</f>
        <v>0</v>
      </c>
    </row>
    <row r="124" spans="1:14" ht="49.5" customHeight="1" x14ac:dyDescent="0.45">
      <c r="A124" s="29" t="s">
        <v>378</v>
      </c>
      <c r="B124" s="1" t="s">
        <v>207</v>
      </c>
      <c r="C124" s="1" t="str">
        <f>IFERROR(VLOOKUP(B124,'DATABASE-DRIFT_LATENT_HP_ERROR'!$A$143:$B$160,2,FALSE()),"")</f>
        <v>Confined Space Entry</v>
      </c>
      <c r="D124" s="27" t="s">
        <v>949</v>
      </c>
      <c r="E124" s="33" t="s">
        <v>816</v>
      </c>
      <c r="F124" s="1" t="str">
        <f>IFERROR(VLOOKUP(E124,'DATABASE-DRIFT_LATENT_HP_ERROR'!$A$81:$B$85,2,FALSE()),"")</f>
        <v>Latent.4</v>
      </c>
      <c r="G124" s="34" t="s">
        <v>932</v>
      </c>
      <c r="H124" s="3" t="str">
        <f>IFERROR(VLOOKUP(G124,'DATABASE-DRIFT_LATENT_HP_ERROR'!$B$88:$D$137,3,FALSE()),"")</f>
        <v>Verifikasi utilitas bawah tanah tidak dilakukan memadai.</v>
      </c>
      <c r="K124" s="29">
        <f>IF($A124="","",IFERROR(INDEX('INPUT-SIF_Questions'!$B$2:$B$300,MATCH($A124,'INPUT-SIF_Questions'!$A$2:$A$300,0)),""))</f>
        <v>1</v>
      </c>
      <c r="L124" s="29" t="str">
        <f>IF($A124="","",IFERROR(INDEX('INPUT-SIF_Questions'!$F$2:$F$300,MATCH($A124,'INPUT-SIF_Questions'!$A$2:$A$300,0)),""))</f>
        <v>Baseline</v>
      </c>
      <c r="M124" s="29" t="str">
        <f>IF($A124="","",IFERROR(INDEX('INPUT-SIF_Questions'!$G$2:$G$300,MATCH($A124,'INPUT-SIF_Questions'!$A$2:$A$300,0)),""))</f>
        <v>Y</v>
      </c>
      <c r="N124" s="29">
        <f>IF($A124="","",IFERROR(INDEX('INPUT-SIF_Questions'!$E$2:$E$300,MATCH($A124,'INPUT-SIF_Questions'!$A$2:$A$300,0)),""))</f>
        <v>0</v>
      </c>
    </row>
    <row r="125" spans="1:14" ht="49.5" customHeight="1" x14ac:dyDescent="0.45">
      <c r="A125" s="29" t="s">
        <v>378</v>
      </c>
      <c r="B125" s="1" t="s">
        <v>207</v>
      </c>
      <c r="C125" s="1" t="str">
        <f>IFERROR(VLOOKUP(B125,'DATABASE-DRIFT_LATENT_HP_ERROR'!$A$143:$B$160,2,FALSE()),"")</f>
        <v>Confined Space Entry</v>
      </c>
      <c r="D125" s="27" t="s">
        <v>950</v>
      </c>
      <c r="E125" s="33" t="s">
        <v>801</v>
      </c>
      <c r="F125" s="1" t="str">
        <f>IFERROR(VLOOKUP(E125,'DATABASE-DRIFT_LATENT_HP_ERROR'!$A$81:$B$85,2,FALSE()),"")</f>
        <v>Latent.2</v>
      </c>
      <c r="G125" s="34" t="s">
        <v>804</v>
      </c>
      <c r="H125" s="3" t="str">
        <f>IFERROR(VLOOKUP(G125,'DATABASE-DRIFT_LATENT_HP_ERROR'!$B$88:$D$137,3,FALSE()),"")</f>
        <v>Safeguard penting tidak tertulis jelas.</v>
      </c>
      <c r="K125" s="29">
        <f>IF($A125="","",IFERROR(INDEX('INPUT-SIF_Questions'!$B$2:$B$300,MATCH($A125,'INPUT-SIF_Questions'!$A$2:$A$300,0)),""))</f>
        <v>1</v>
      </c>
      <c r="L125" s="29" t="str">
        <f>IF($A125="","",IFERROR(INDEX('INPUT-SIF_Questions'!$F$2:$F$300,MATCH($A125,'INPUT-SIF_Questions'!$A$2:$A$300,0)),""))</f>
        <v>Baseline</v>
      </c>
      <c r="M125" s="29" t="str">
        <f>IF($A125="","",IFERROR(INDEX('INPUT-SIF_Questions'!$G$2:$G$300,MATCH($A125,'INPUT-SIF_Questions'!$A$2:$A$300,0)),""))</f>
        <v>Y</v>
      </c>
      <c r="N125" s="29">
        <f>IF($A125="","",IFERROR(INDEX('INPUT-SIF_Questions'!$E$2:$E$300,MATCH($A125,'INPUT-SIF_Questions'!$A$2:$A$300,0)),""))</f>
        <v>0</v>
      </c>
    </row>
    <row r="126" spans="1:14" ht="42.75" customHeight="1" x14ac:dyDescent="0.45">
      <c r="A126" s="29" t="s">
        <v>378</v>
      </c>
      <c r="B126" s="1" t="s">
        <v>207</v>
      </c>
      <c r="C126" s="1" t="str">
        <f>IFERROR(VLOOKUP(B126,'DATABASE-DRIFT_LATENT_HP_ERROR'!$A$143:$B$160,2,FALSE()),"")</f>
        <v>Confined Space Entry</v>
      </c>
      <c r="D126" s="27" t="s">
        <v>951</v>
      </c>
      <c r="E126" s="33" t="s">
        <v>810</v>
      </c>
      <c r="F126" s="1" t="str">
        <f>IFERROR(VLOOKUP(E126,'DATABASE-DRIFT_LATENT_HP_ERROR'!$A$81:$B$85,2,FALSE()),"")</f>
        <v>Latent.3</v>
      </c>
      <c r="G126" s="34" t="s">
        <v>812</v>
      </c>
      <c r="H126" s="3" t="str">
        <f>IFERROR(VLOOKUP(G126,'DATABASE-DRIFT_LATENT_HP_ERROR'!$B$88:$D$137,3,FALSE()),"")</f>
        <v>Validasi lapangan tidak cukup mendalam.</v>
      </c>
      <c r="K126" s="29">
        <f>IF($A126="","",IFERROR(INDEX('INPUT-SIF_Questions'!$B$2:$B$300,MATCH($A126,'INPUT-SIF_Questions'!$A$2:$A$300,0)),""))</f>
        <v>1</v>
      </c>
      <c r="L126" s="29" t="str">
        <f>IF($A126="","",IFERROR(INDEX('INPUT-SIF_Questions'!$F$2:$F$300,MATCH($A126,'INPUT-SIF_Questions'!$A$2:$A$300,0)),""))</f>
        <v>Baseline</v>
      </c>
      <c r="M126" s="29" t="str">
        <f>IF($A126="","",IFERROR(INDEX('INPUT-SIF_Questions'!$G$2:$G$300,MATCH($A126,'INPUT-SIF_Questions'!$A$2:$A$300,0)),""))</f>
        <v>Y</v>
      </c>
      <c r="N126" s="29">
        <f>IF($A126="","",IFERROR(INDEX('INPUT-SIF_Questions'!$E$2:$E$300,MATCH($A126,'INPUT-SIF_Questions'!$A$2:$A$300,0)),""))</f>
        <v>0</v>
      </c>
    </row>
    <row r="127" spans="1:14" ht="49.5" customHeight="1" x14ac:dyDescent="0.45">
      <c r="A127" s="29" t="s">
        <v>378</v>
      </c>
      <c r="B127" s="1" t="s">
        <v>207</v>
      </c>
      <c r="C127" s="1" t="str">
        <f>IFERROR(VLOOKUP(B127,'DATABASE-DRIFT_LATENT_HP_ERROR'!$A$143:$B$160,2,FALSE()),"")</f>
        <v>Confined Space Entry</v>
      </c>
      <c r="D127" s="27" t="s">
        <v>952</v>
      </c>
      <c r="E127" s="33" t="s">
        <v>810</v>
      </c>
      <c r="F127" s="1" t="str">
        <f>IFERROR(VLOOKUP(E127,'DATABASE-DRIFT_LATENT_HP_ERROR'!$A$81:$B$85,2,FALSE()),"")</f>
        <v>Latent.3</v>
      </c>
      <c r="G127" s="34" t="s">
        <v>812</v>
      </c>
      <c r="H127" s="3" t="str">
        <f>IFERROR(VLOOKUP(G127,'DATABASE-DRIFT_LATENT_HP_ERROR'!$B$88:$D$137,3,FALSE()),"")</f>
        <v>Validasi lapangan tidak cukup mendalam.</v>
      </c>
      <c r="K127" s="29">
        <f>IF($A127="","",IFERROR(INDEX('INPUT-SIF_Questions'!$B$2:$B$300,MATCH($A127,'INPUT-SIF_Questions'!$A$2:$A$300,0)),""))</f>
        <v>1</v>
      </c>
      <c r="L127" s="29" t="str">
        <f>IF($A127="","",IFERROR(INDEX('INPUT-SIF_Questions'!$F$2:$F$300,MATCH($A127,'INPUT-SIF_Questions'!$A$2:$A$300,0)),""))</f>
        <v>Baseline</v>
      </c>
      <c r="M127" s="29" t="str">
        <f>IF($A127="","",IFERROR(INDEX('INPUT-SIF_Questions'!$G$2:$G$300,MATCH($A127,'INPUT-SIF_Questions'!$A$2:$A$300,0)),""))</f>
        <v>Y</v>
      </c>
      <c r="N127" s="29">
        <f>IF($A127="","",IFERROR(INDEX('INPUT-SIF_Questions'!$E$2:$E$300,MATCH($A127,'INPUT-SIF_Questions'!$A$2:$A$300,0)),""))</f>
        <v>0</v>
      </c>
    </row>
    <row r="128" spans="1:14" ht="49.5" customHeight="1" x14ac:dyDescent="0.45">
      <c r="A128" s="29" t="s">
        <v>378</v>
      </c>
      <c r="B128" s="1" t="s">
        <v>207</v>
      </c>
      <c r="C128" s="1" t="str">
        <f>IFERROR(VLOOKUP(B128,'DATABASE-DRIFT_LATENT_HP_ERROR'!$A$143:$B$160,2,FALSE()),"")</f>
        <v>Confined Space Entry</v>
      </c>
      <c r="D128" s="27" t="s">
        <v>953</v>
      </c>
      <c r="E128" s="33" t="s">
        <v>801</v>
      </c>
      <c r="F128" s="1" t="str">
        <f>IFERROR(VLOOKUP(E128,'DATABASE-DRIFT_LATENT_HP_ERROR'!$A$81:$B$85,2,FALSE()),"")</f>
        <v>Latent.2</v>
      </c>
      <c r="G128" s="34" t="s">
        <v>804</v>
      </c>
      <c r="H128" s="3" t="str">
        <f>IFERROR(VLOOKUP(G128,'DATABASE-DRIFT_LATENT_HP_ERROR'!$B$88:$D$137,3,FALSE()),"")</f>
        <v>Safeguard penting tidak tertulis jelas.</v>
      </c>
      <c r="K128" s="29">
        <f>IF($A128="","",IFERROR(INDEX('INPUT-SIF_Questions'!$B$2:$B$300,MATCH($A128,'INPUT-SIF_Questions'!$A$2:$A$300,0)),""))</f>
        <v>1</v>
      </c>
      <c r="L128" s="29" t="str">
        <f>IF($A128="","",IFERROR(INDEX('INPUT-SIF_Questions'!$F$2:$F$300,MATCH($A128,'INPUT-SIF_Questions'!$A$2:$A$300,0)),""))</f>
        <v>Baseline</v>
      </c>
      <c r="M128" s="29" t="str">
        <f>IF($A128="","",IFERROR(INDEX('INPUT-SIF_Questions'!$G$2:$G$300,MATCH($A128,'INPUT-SIF_Questions'!$A$2:$A$300,0)),""))</f>
        <v>Y</v>
      </c>
      <c r="N128" s="29">
        <f>IF($A128="","",IFERROR(INDEX('INPUT-SIF_Questions'!$E$2:$E$300,MATCH($A128,'INPUT-SIF_Questions'!$A$2:$A$300,0)),""))</f>
        <v>0</v>
      </c>
    </row>
    <row r="129" spans="1:14" ht="63.75" customHeight="1" x14ac:dyDescent="0.45">
      <c r="A129" s="29" t="s">
        <v>378</v>
      </c>
      <c r="B129" s="1" t="s">
        <v>207</v>
      </c>
      <c r="C129" s="1" t="str">
        <f>IFERROR(VLOOKUP(B129,'DATABASE-DRIFT_LATENT_HP_ERROR'!$A$143:$B$160,2,FALSE()),"")</f>
        <v>Confined Space Entry</v>
      </c>
      <c r="D129" s="27" t="s">
        <v>954</v>
      </c>
      <c r="E129" s="33" t="s">
        <v>816</v>
      </c>
      <c r="F129" s="1" t="str">
        <f>IFERROR(VLOOKUP(E129,'DATABASE-DRIFT_LATENT_HP_ERROR'!$A$81:$B$85,2,FALSE()),"")</f>
        <v>Latent.4</v>
      </c>
      <c r="G129" s="34" t="s">
        <v>821</v>
      </c>
      <c r="H129" s="3" t="str">
        <f>IFERROR(VLOOKUP(G129,'DATABASE-DRIFT_LATENT_HP_ERROR'!$B$88:$D$137,3,FALSE()),"")</f>
        <v>Perhitungan fall distance tidak tersedia.</v>
      </c>
      <c r="K129" s="29">
        <f>IF($A129="","",IFERROR(INDEX('INPUT-SIF_Questions'!$B$2:$B$300,MATCH($A129,'INPUT-SIF_Questions'!$A$2:$A$300,0)),""))</f>
        <v>1</v>
      </c>
      <c r="L129" s="29" t="str">
        <f>IF($A129="","",IFERROR(INDEX('INPUT-SIF_Questions'!$F$2:$F$300,MATCH($A129,'INPUT-SIF_Questions'!$A$2:$A$300,0)),""))</f>
        <v>Baseline</v>
      </c>
      <c r="M129" s="29" t="str">
        <f>IF($A129="","",IFERROR(INDEX('INPUT-SIF_Questions'!$G$2:$G$300,MATCH($A129,'INPUT-SIF_Questions'!$A$2:$A$300,0)),""))</f>
        <v>Y</v>
      </c>
      <c r="N129" s="29">
        <f>IF($A129="","",IFERROR(INDEX('INPUT-SIF_Questions'!$E$2:$E$300,MATCH($A129,'INPUT-SIF_Questions'!$A$2:$A$300,0)),""))</f>
        <v>0</v>
      </c>
    </row>
    <row r="130" spans="1:14" ht="49.5" customHeight="1" x14ac:dyDescent="0.45">
      <c r="A130" s="29" t="s">
        <v>378</v>
      </c>
      <c r="B130" s="1" t="s">
        <v>207</v>
      </c>
      <c r="C130" s="1" t="str">
        <f>IFERROR(VLOOKUP(B130,'DATABASE-DRIFT_LATENT_HP_ERROR'!$A$143:$B$160,2,FALSE()),"")</f>
        <v>Confined Space Entry</v>
      </c>
      <c r="D130" s="27" t="s">
        <v>955</v>
      </c>
      <c r="E130" s="33" t="s">
        <v>801</v>
      </c>
      <c r="F130" s="1" t="str">
        <f>IFERROR(VLOOKUP(E130,'DATABASE-DRIFT_LATENT_HP_ERROR'!$A$81:$B$85,2,FALSE()),"")</f>
        <v>Latent.2</v>
      </c>
      <c r="G130" s="34" t="s">
        <v>956</v>
      </c>
      <c r="H130" s="3" t="str">
        <f>IFERROR(VLOOKUP(G130,'DATABASE-DRIFT_LATENT_HP_ERROR'!$B$88:$D$137,3,FALSE()),"")</f>
        <v>Isi prosedur tidak konsisten antar dokumen.</v>
      </c>
      <c r="K130" s="29">
        <f>IF($A130="","",IFERROR(INDEX('INPUT-SIF_Questions'!$B$2:$B$300,MATCH($A130,'INPUT-SIF_Questions'!$A$2:$A$300,0)),""))</f>
        <v>1</v>
      </c>
      <c r="L130" s="29" t="str">
        <f>IF($A130="","",IFERROR(INDEX('INPUT-SIF_Questions'!$F$2:$F$300,MATCH($A130,'INPUT-SIF_Questions'!$A$2:$A$300,0)),""))</f>
        <v>Baseline</v>
      </c>
      <c r="M130" s="29" t="str">
        <f>IF($A130="","",IFERROR(INDEX('INPUT-SIF_Questions'!$G$2:$G$300,MATCH($A130,'INPUT-SIF_Questions'!$A$2:$A$300,0)),""))</f>
        <v>Y</v>
      </c>
      <c r="N130" s="29">
        <f>IF($A130="","",IFERROR(INDEX('INPUT-SIF_Questions'!$E$2:$E$300,MATCH($A130,'INPUT-SIF_Questions'!$A$2:$A$300,0)),""))</f>
        <v>0</v>
      </c>
    </row>
    <row r="131" spans="1:14" ht="63.75" customHeight="1" x14ac:dyDescent="0.45">
      <c r="A131" s="29" t="s">
        <v>394</v>
      </c>
      <c r="B131" s="1" t="s">
        <v>92</v>
      </c>
      <c r="C131" s="1" t="str">
        <f>IFERROR(VLOOKUP(B131,'DATABASE-DRIFT_LATENT_HP_ERROR'!$A$143:$B$160,2,FALSE()),"")</f>
        <v>Powered System / Isolation of Hazardous Energy</v>
      </c>
      <c r="D131" s="27" t="s">
        <v>957</v>
      </c>
      <c r="E131" s="33" t="s">
        <v>794</v>
      </c>
      <c r="F131" s="1" t="str">
        <f>IFERROR(VLOOKUP(E131,'DATABASE-DRIFT_LATENT_HP_ERROR'!$A$81:$B$85,2,FALSE()),"")</f>
        <v>Latent.1</v>
      </c>
      <c r="G131" s="34" t="s">
        <v>797</v>
      </c>
      <c r="H131" s="3" t="str">
        <f>IFERROR(VLOOKUP(G131,'DATABASE-DRIFT_LATENT_HP_ERROR'!$B$88:$D$137,3,FALSE()),"")</f>
        <v>Pemahaman engineering consequence lemah.</v>
      </c>
      <c r="K131" s="29">
        <f>IF($A131="","",IFERROR(INDEX('INPUT-SIF_Questions'!$B$2:$B$300,MATCH($A131,'INPUT-SIF_Questions'!$A$2:$A$300,0)),""))</f>
        <v>1</v>
      </c>
      <c r="L131" s="29" t="str">
        <f>IF($A131="","",IFERROR(INDEX('INPUT-SIF_Questions'!$F$2:$F$300,MATCH($A131,'INPUT-SIF_Questions'!$A$2:$A$300,0)),""))</f>
        <v>Baseline</v>
      </c>
      <c r="M131" s="29" t="str">
        <f>IF($A131="","",IFERROR(INDEX('INPUT-SIF_Questions'!$G$2:$G$300,MATCH($A131,'INPUT-SIF_Questions'!$A$2:$A$300,0)),""))</f>
        <v>Y</v>
      </c>
      <c r="N131" s="29">
        <f>IF($A131="","",IFERROR(INDEX('INPUT-SIF_Questions'!$E$2:$E$300,MATCH($A131,'INPUT-SIF_Questions'!$A$2:$A$300,0)),""))</f>
        <v>0</v>
      </c>
    </row>
    <row r="132" spans="1:14" ht="49.5" customHeight="1" x14ac:dyDescent="0.45">
      <c r="A132" s="29" t="s">
        <v>394</v>
      </c>
      <c r="B132" s="1" t="s">
        <v>92</v>
      </c>
      <c r="C132" s="1" t="str">
        <f>IFERROR(VLOOKUP(B132,'DATABASE-DRIFT_LATENT_HP_ERROR'!$A$143:$B$160,2,FALSE()),"")</f>
        <v>Powered System / Isolation of Hazardous Energy</v>
      </c>
      <c r="D132" s="27" t="s">
        <v>958</v>
      </c>
      <c r="E132" s="33" t="s">
        <v>810</v>
      </c>
      <c r="F132" s="1" t="str">
        <f>IFERROR(VLOOKUP(E132,'DATABASE-DRIFT_LATENT_HP_ERROR'!$A$81:$B$85,2,FALSE()),"")</f>
        <v>Latent.3</v>
      </c>
      <c r="G132" s="34" t="s">
        <v>865</v>
      </c>
      <c r="H132" s="3" t="str">
        <f>IFERROR(VLOOKUP(G132,'DATABASE-DRIFT_LATENT_HP_ERROR'!$B$88:$D$137,3,FALSE()),"")</f>
        <v>Prioritas produksi mempengaruhi keputusan keselamatan.</v>
      </c>
      <c r="K132" s="29">
        <f>IF($A132="","",IFERROR(INDEX('INPUT-SIF_Questions'!$B$2:$B$300,MATCH($A132,'INPUT-SIF_Questions'!$A$2:$A$300,0)),""))</f>
        <v>1</v>
      </c>
      <c r="L132" s="29" t="str">
        <f>IF($A132="","",IFERROR(INDEX('INPUT-SIF_Questions'!$F$2:$F$300,MATCH($A132,'INPUT-SIF_Questions'!$A$2:$A$300,0)),""))</f>
        <v>Baseline</v>
      </c>
      <c r="M132" s="29" t="str">
        <f>IF($A132="","",IFERROR(INDEX('INPUT-SIF_Questions'!$G$2:$G$300,MATCH($A132,'INPUT-SIF_Questions'!$A$2:$A$300,0)),""))</f>
        <v>Y</v>
      </c>
      <c r="N132" s="29">
        <f>IF($A132="","",IFERROR(INDEX('INPUT-SIF_Questions'!$E$2:$E$300,MATCH($A132,'INPUT-SIF_Questions'!$A$2:$A$300,0)),""))</f>
        <v>0</v>
      </c>
    </row>
    <row r="133" spans="1:14" ht="57" customHeight="1" x14ac:dyDescent="0.45">
      <c r="A133" s="29" t="s">
        <v>394</v>
      </c>
      <c r="B133" s="1" t="s">
        <v>92</v>
      </c>
      <c r="C133" s="1" t="str">
        <f>IFERROR(VLOOKUP(B133,'DATABASE-DRIFT_LATENT_HP_ERROR'!$A$143:$B$160,2,FALSE()),"")</f>
        <v>Powered System / Isolation of Hazardous Energy</v>
      </c>
      <c r="D133" s="27" t="s">
        <v>959</v>
      </c>
      <c r="E133" s="33" t="s">
        <v>794</v>
      </c>
      <c r="F133" s="1" t="str">
        <f>IFERROR(VLOOKUP(E133,'DATABASE-DRIFT_LATENT_HP_ERROR'!$A$81:$B$85,2,FALSE()),"")</f>
        <v>Latent.1</v>
      </c>
      <c r="G133" s="34" t="s">
        <v>797</v>
      </c>
      <c r="H133" s="3" t="str">
        <f>IFERROR(VLOOKUP(G133,'DATABASE-DRIFT_LATENT_HP_ERROR'!$B$88:$D$137,3,FALSE()),"")</f>
        <v>Pemahaman engineering consequence lemah.</v>
      </c>
      <c r="K133" s="29">
        <f>IF($A133="","",IFERROR(INDEX('INPUT-SIF_Questions'!$B$2:$B$300,MATCH($A133,'INPUT-SIF_Questions'!$A$2:$A$300,0)),""))</f>
        <v>1</v>
      </c>
      <c r="L133" s="29" t="str">
        <f>IF($A133="","",IFERROR(INDEX('INPUT-SIF_Questions'!$F$2:$F$300,MATCH($A133,'INPUT-SIF_Questions'!$A$2:$A$300,0)),""))</f>
        <v>Baseline</v>
      </c>
      <c r="M133" s="29" t="str">
        <f>IF($A133="","",IFERROR(INDEX('INPUT-SIF_Questions'!$G$2:$G$300,MATCH($A133,'INPUT-SIF_Questions'!$A$2:$A$300,0)),""))</f>
        <v>Y</v>
      </c>
      <c r="N133" s="29">
        <f>IF($A133="","",IFERROR(INDEX('INPUT-SIF_Questions'!$E$2:$E$300,MATCH($A133,'INPUT-SIF_Questions'!$A$2:$A$300,0)),""))</f>
        <v>0</v>
      </c>
    </row>
    <row r="134" spans="1:14" ht="49.5" customHeight="1" x14ac:dyDescent="0.45">
      <c r="A134" s="29" t="s">
        <v>394</v>
      </c>
      <c r="B134" s="1" t="s">
        <v>92</v>
      </c>
      <c r="C134" s="1" t="str">
        <f>IFERROR(VLOOKUP(B134,'DATABASE-DRIFT_LATENT_HP_ERROR'!$A$143:$B$160,2,FALSE()),"")</f>
        <v>Powered System / Isolation of Hazardous Energy</v>
      </c>
      <c r="D134" s="27" t="s">
        <v>960</v>
      </c>
      <c r="E134" s="33" t="s">
        <v>794</v>
      </c>
      <c r="F134" s="1" t="str">
        <f>IFERROR(VLOOKUP(E134,'DATABASE-DRIFT_LATENT_HP_ERROR'!$A$81:$B$85,2,FALSE()),"")</f>
        <v>Latent.1</v>
      </c>
      <c r="G134" s="34" t="s">
        <v>841</v>
      </c>
      <c r="H134" s="3" t="str">
        <f>IFERROR(VLOOKUP(G134,'DATABASE-DRIFT_LATENT_HP_ERROR'!$B$88:$D$137,3,FALSE()),"")</f>
        <v>Personel tidak memahami aspek teknikal pekerjaan atau safeguard.</v>
      </c>
      <c r="K134" s="29">
        <f>IF($A134="","",IFERROR(INDEX('INPUT-SIF_Questions'!$B$2:$B$300,MATCH($A134,'INPUT-SIF_Questions'!$A$2:$A$300,0)),""))</f>
        <v>1</v>
      </c>
      <c r="L134" s="29" t="str">
        <f>IF($A134="","",IFERROR(INDEX('INPUT-SIF_Questions'!$F$2:$F$300,MATCH($A134,'INPUT-SIF_Questions'!$A$2:$A$300,0)),""))</f>
        <v>Baseline</v>
      </c>
      <c r="M134" s="29" t="str">
        <f>IF($A134="","",IFERROR(INDEX('INPUT-SIF_Questions'!$G$2:$G$300,MATCH($A134,'INPUT-SIF_Questions'!$A$2:$A$300,0)),""))</f>
        <v>Y</v>
      </c>
      <c r="N134" s="29">
        <f>IF($A134="","",IFERROR(INDEX('INPUT-SIF_Questions'!$E$2:$E$300,MATCH($A134,'INPUT-SIF_Questions'!$A$2:$A$300,0)),""))</f>
        <v>0</v>
      </c>
    </row>
    <row r="135" spans="1:14" ht="49.5" customHeight="1" x14ac:dyDescent="0.45">
      <c r="A135" s="29" t="s">
        <v>394</v>
      </c>
      <c r="B135" s="1" t="s">
        <v>92</v>
      </c>
      <c r="C135" s="1" t="str">
        <f>IFERROR(VLOOKUP(B135,'DATABASE-DRIFT_LATENT_HP_ERROR'!$A$143:$B$160,2,FALSE()),"")</f>
        <v>Powered System / Isolation of Hazardous Energy</v>
      </c>
      <c r="D135" s="27" t="s">
        <v>961</v>
      </c>
      <c r="E135" s="33" t="s">
        <v>801</v>
      </c>
      <c r="F135" s="1" t="str">
        <f>IFERROR(VLOOKUP(E135,'DATABASE-DRIFT_LATENT_HP_ERROR'!$A$81:$B$85,2,FALSE()),"")</f>
        <v>Latent.2</v>
      </c>
      <c r="G135" s="34" t="s">
        <v>804</v>
      </c>
      <c r="H135" s="3" t="str">
        <f>IFERROR(VLOOKUP(G135,'DATABASE-DRIFT_LATENT_HP_ERROR'!$B$88:$D$137,3,FALSE()),"")</f>
        <v>Safeguard penting tidak tertulis jelas.</v>
      </c>
      <c r="K135" s="29">
        <f>IF($A135="","",IFERROR(INDEX('INPUT-SIF_Questions'!$B$2:$B$300,MATCH($A135,'INPUT-SIF_Questions'!$A$2:$A$300,0)),""))</f>
        <v>1</v>
      </c>
      <c r="L135" s="29" t="str">
        <f>IF($A135="","",IFERROR(INDEX('INPUT-SIF_Questions'!$F$2:$F$300,MATCH($A135,'INPUT-SIF_Questions'!$A$2:$A$300,0)),""))</f>
        <v>Baseline</v>
      </c>
      <c r="M135" s="29" t="str">
        <f>IF($A135="","",IFERROR(INDEX('INPUT-SIF_Questions'!$G$2:$G$300,MATCH($A135,'INPUT-SIF_Questions'!$A$2:$A$300,0)),""))</f>
        <v>Y</v>
      </c>
      <c r="N135" s="29">
        <f>IF($A135="","",IFERROR(INDEX('INPUT-SIF_Questions'!$E$2:$E$300,MATCH($A135,'INPUT-SIF_Questions'!$A$2:$A$300,0)),""))</f>
        <v>0</v>
      </c>
    </row>
    <row r="136" spans="1:14" ht="57" customHeight="1" x14ac:dyDescent="0.45">
      <c r="A136" s="29" t="s">
        <v>394</v>
      </c>
      <c r="B136" s="1" t="s">
        <v>92</v>
      </c>
      <c r="C136" s="1" t="str">
        <f>IFERROR(VLOOKUP(B136,'DATABASE-DRIFT_LATENT_HP_ERROR'!$A$143:$B$160,2,FALSE()),"")</f>
        <v>Powered System / Isolation of Hazardous Energy</v>
      </c>
      <c r="D136" s="27" t="s">
        <v>962</v>
      </c>
      <c r="E136" s="33" t="s">
        <v>794</v>
      </c>
      <c r="F136" s="1" t="str">
        <f>IFERROR(VLOOKUP(E136,'DATABASE-DRIFT_LATENT_HP_ERROR'!$A$81:$B$85,2,FALSE()),"")</f>
        <v>Latent.1</v>
      </c>
      <c r="G136" s="34" t="s">
        <v>854</v>
      </c>
      <c r="H136" s="3" t="str">
        <f>IFERROR(VLOOKUP(G136,'DATABASE-DRIFT_LATENT_HP_ERROR'!$B$88:$D$137,3,FALSE()),"")</f>
        <v>Critical safeguard dipahami tidak sesuai intent engineering/safety.</v>
      </c>
      <c r="K136" s="29">
        <f>IF($A136="","",IFERROR(INDEX('INPUT-SIF_Questions'!$B$2:$B$300,MATCH($A136,'INPUT-SIF_Questions'!$A$2:$A$300,0)),""))</f>
        <v>1</v>
      </c>
      <c r="L136" s="29" t="str">
        <f>IF($A136="","",IFERROR(INDEX('INPUT-SIF_Questions'!$F$2:$F$300,MATCH($A136,'INPUT-SIF_Questions'!$A$2:$A$300,0)),""))</f>
        <v>Baseline</v>
      </c>
      <c r="M136" s="29" t="str">
        <f>IF($A136="","",IFERROR(INDEX('INPUT-SIF_Questions'!$G$2:$G$300,MATCH($A136,'INPUT-SIF_Questions'!$A$2:$A$300,0)),""))</f>
        <v>Y</v>
      </c>
      <c r="N136" s="29">
        <f>IF($A136="","",IFERROR(INDEX('INPUT-SIF_Questions'!$E$2:$E$300,MATCH($A136,'INPUT-SIF_Questions'!$A$2:$A$300,0)),""))</f>
        <v>0</v>
      </c>
    </row>
    <row r="137" spans="1:14" ht="49.5" customHeight="1" x14ac:dyDescent="0.45">
      <c r="A137" s="29" t="s">
        <v>394</v>
      </c>
      <c r="B137" s="1" t="s">
        <v>92</v>
      </c>
      <c r="C137" s="1" t="str">
        <f>IFERROR(VLOOKUP(B137,'DATABASE-DRIFT_LATENT_HP_ERROR'!$A$143:$B$160,2,FALSE()),"")</f>
        <v>Powered System / Isolation of Hazardous Energy</v>
      </c>
      <c r="D137" s="27" t="s">
        <v>963</v>
      </c>
      <c r="E137" s="33" t="s">
        <v>810</v>
      </c>
      <c r="F137" s="1" t="str">
        <f>IFERROR(VLOOKUP(E137,'DATABASE-DRIFT_LATENT_HP_ERROR'!$A$81:$B$85,2,FALSE()),"")</f>
        <v>Latent.3</v>
      </c>
      <c r="G137" s="34" t="s">
        <v>863</v>
      </c>
      <c r="H137" s="3" t="str">
        <f>IFERROR(VLOOKUP(G137,'DATABASE-DRIFT_LATENT_HP_ERROR'!$B$88:$D$137,3,FALSE()),"")</f>
        <v>Pengawasan teknikal tidak memadai.</v>
      </c>
      <c r="K137" s="29">
        <f>IF($A137="","",IFERROR(INDEX('INPUT-SIF_Questions'!$B$2:$B$300,MATCH($A137,'INPUT-SIF_Questions'!$A$2:$A$300,0)),""))</f>
        <v>1</v>
      </c>
      <c r="L137" s="29" t="str">
        <f>IF($A137="","",IFERROR(INDEX('INPUT-SIF_Questions'!$F$2:$F$300,MATCH($A137,'INPUT-SIF_Questions'!$A$2:$A$300,0)),""))</f>
        <v>Baseline</v>
      </c>
      <c r="M137" s="29" t="str">
        <f>IF($A137="","",IFERROR(INDEX('INPUT-SIF_Questions'!$G$2:$G$300,MATCH($A137,'INPUT-SIF_Questions'!$A$2:$A$300,0)),""))</f>
        <v>Y</v>
      </c>
      <c r="N137" s="29">
        <f>IF($A137="","",IFERROR(INDEX('INPUT-SIF_Questions'!$E$2:$E$300,MATCH($A137,'INPUT-SIF_Questions'!$A$2:$A$300,0)),""))</f>
        <v>0</v>
      </c>
    </row>
    <row r="138" spans="1:14" ht="57" customHeight="1" x14ac:dyDescent="0.45">
      <c r="A138" s="29" t="s">
        <v>402</v>
      </c>
      <c r="B138" s="1" t="s">
        <v>34</v>
      </c>
      <c r="C138" s="1" t="str">
        <f>IFERROR(VLOOKUP(B138,'DATABASE-DRIFT_LATENT_HP_ERROR'!$A$143:$B$160,2,FALSE()),"")</f>
        <v>Work at Height</v>
      </c>
      <c r="D138" s="27" t="s">
        <v>964</v>
      </c>
      <c r="E138" s="33" t="s">
        <v>794</v>
      </c>
      <c r="F138" s="1" t="str">
        <f>IFERROR(VLOOKUP(E138,'DATABASE-DRIFT_LATENT_HP_ERROR'!$A$81:$B$85,2,FALSE()),"")</f>
        <v>Latent.1</v>
      </c>
      <c r="G138" s="34" t="s">
        <v>858</v>
      </c>
      <c r="H138" s="3" t="str">
        <f>IFERROR(VLOOKUP(G138,'DATABASE-DRIFT_LATENT_HP_ERROR'!$B$88:$D$137,3,FALSE()),"")</f>
        <v>Kompetensi emergency response/rescue tidak memadai.</v>
      </c>
      <c r="K138" s="29">
        <f>IF($A138="","",IFERROR(INDEX('INPUT-SIF_Questions'!$B$2:$B$300,MATCH($A138,'INPUT-SIF_Questions'!$A$2:$A$300,0)),""))</f>
        <v>1</v>
      </c>
      <c r="L138" s="29" t="str">
        <f>IF($A138="","",IFERROR(INDEX('INPUT-SIF_Questions'!$F$2:$F$300,MATCH($A138,'INPUT-SIF_Questions'!$A$2:$A$300,0)),""))</f>
        <v>Baseline</v>
      </c>
      <c r="M138" s="29" t="str">
        <f>IF($A138="","",IFERROR(INDEX('INPUT-SIF_Questions'!$G$2:$G$300,MATCH($A138,'INPUT-SIF_Questions'!$A$2:$A$300,0)),""))</f>
        <v>Y</v>
      </c>
      <c r="N138" s="29">
        <f>IF($A138="","",IFERROR(INDEX('INPUT-SIF_Questions'!$E$2:$E$300,MATCH($A138,'INPUT-SIF_Questions'!$A$2:$A$300,0)),""))</f>
        <v>0</v>
      </c>
    </row>
    <row r="139" spans="1:14" ht="49.5" customHeight="1" x14ac:dyDescent="0.45">
      <c r="A139" s="29" t="s">
        <v>402</v>
      </c>
      <c r="B139" s="1" t="s">
        <v>34</v>
      </c>
      <c r="C139" s="1" t="str">
        <f>IFERROR(VLOOKUP(B139,'DATABASE-DRIFT_LATENT_HP_ERROR'!$A$143:$B$160,2,FALSE()),"")</f>
        <v>Work at Height</v>
      </c>
      <c r="D139" s="27" t="s">
        <v>965</v>
      </c>
      <c r="E139" s="33" t="s">
        <v>801</v>
      </c>
      <c r="F139" s="1" t="str">
        <f>IFERROR(VLOOKUP(E139,'DATABASE-DRIFT_LATENT_HP_ERROR'!$A$81:$B$85,2,FALSE()),"")</f>
        <v>Latent.2</v>
      </c>
      <c r="G139" s="34" t="s">
        <v>806</v>
      </c>
      <c r="H139" s="3" t="str">
        <f>IFERROR(VLOOKUP(G139,'DATABASE-DRIFT_LATENT_HP_ERROR'!$B$88:$D$137,3,FALSE()),"")</f>
        <v>Kriteria engineering atau acceptance criteria tidak tersedia.</v>
      </c>
      <c r="K139" s="29">
        <f>IF($A139="","",IFERROR(INDEX('INPUT-SIF_Questions'!$B$2:$B$300,MATCH($A139,'INPUT-SIF_Questions'!$A$2:$A$300,0)),""))</f>
        <v>1</v>
      </c>
      <c r="L139" s="29" t="str">
        <f>IF($A139="","",IFERROR(INDEX('INPUT-SIF_Questions'!$F$2:$F$300,MATCH($A139,'INPUT-SIF_Questions'!$A$2:$A$300,0)),""))</f>
        <v>Baseline</v>
      </c>
      <c r="M139" s="29" t="str">
        <f>IF($A139="","",IFERROR(INDEX('INPUT-SIF_Questions'!$G$2:$G$300,MATCH($A139,'INPUT-SIF_Questions'!$A$2:$A$300,0)),""))</f>
        <v>Y</v>
      </c>
      <c r="N139" s="29">
        <f>IF($A139="","",IFERROR(INDEX('INPUT-SIF_Questions'!$E$2:$E$300,MATCH($A139,'INPUT-SIF_Questions'!$A$2:$A$300,0)),""))</f>
        <v>0</v>
      </c>
    </row>
    <row r="140" spans="1:14" ht="57" customHeight="1" x14ac:dyDescent="0.45">
      <c r="A140" s="29" t="s">
        <v>402</v>
      </c>
      <c r="B140" s="1" t="s">
        <v>34</v>
      </c>
      <c r="C140" s="1" t="str">
        <f>IFERROR(VLOOKUP(B140,'DATABASE-DRIFT_LATENT_HP_ERROR'!$A$143:$B$160,2,FALSE()),"")</f>
        <v>Work at Height</v>
      </c>
      <c r="D140" s="27" t="s">
        <v>966</v>
      </c>
      <c r="E140" s="33" t="s">
        <v>801</v>
      </c>
      <c r="F140" s="1" t="str">
        <f>IFERROR(VLOOKUP(E140,'DATABASE-DRIFT_LATENT_HP_ERROR'!$A$81:$B$85,2,FALSE()),"")</f>
        <v>Latent.2</v>
      </c>
      <c r="G140" s="3" t="s">
        <v>967</v>
      </c>
      <c r="H140" s="3" t="str">
        <f>IFERROR(VLOOKUP(G140,'DATABASE-DRIFT_LATENT_HP_ERROR'!$B$88:$D$137,3,FALSE()),"")</f>
        <v>Requirement permit tidak dijelaskan spesifik.</v>
      </c>
      <c r="K140" s="29">
        <f>IF($A140="","",IFERROR(INDEX('INPUT-SIF_Questions'!$B$2:$B$300,MATCH($A140,'INPUT-SIF_Questions'!$A$2:$A$300,0)),""))</f>
        <v>1</v>
      </c>
      <c r="L140" s="29" t="str">
        <f>IF($A140="","",IFERROR(INDEX('INPUT-SIF_Questions'!$F$2:$F$300,MATCH($A140,'INPUT-SIF_Questions'!$A$2:$A$300,0)),""))</f>
        <v>Baseline</v>
      </c>
      <c r="M140" s="29" t="str">
        <f>IF($A140="","",IFERROR(INDEX('INPUT-SIF_Questions'!$G$2:$G$300,MATCH($A140,'INPUT-SIF_Questions'!$A$2:$A$300,0)),""))</f>
        <v>Y</v>
      </c>
      <c r="N140" s="29">
        <f>IF($A140="","",IFERROR(INDEX('INPUT-SIF_Questions'!$E$2:$E$300,MATCH($A140,'INPUT-SIF_Questions'!$A$2:$A$300,0)),""))</f>
        <v>0</v>
      </c>
    </row>
    <row r="141" spans="1:14" ht="49.5" customHeight="1" x14ac:dyDescent="0.45">
      <c r="A141" s="29" t="s">
        <v>402</v>
      </c>
      <c r="B141" s="1" t="s">
        <v>34</v>
      </c>
      <c r="C141" s="1" t="str">
        <f>IFERROR(VLOOKUP(B141,'DATABASE-DRIFT_LATENT_HP_ERROR'!$A$143:$B$160,2,FALSE()),"")</f>
        <v>Work at Height</v>
      </c>
      <c r="D141" s="27" t="s">
        <v>968</v>
      </c>
      <c r="E141" s="33" t="s">
        <v>810</v>
      </c>
      <c r="F141" s="1" t="str">
        <f>IFERROR(VLOOKUP(E141,'DATABASE-DRIFT_LATENT_HP_ERROR'!$A$81:$B$85,2,FALSE()),"")</f>
        <v>Latent.3</v>
      </c>
      <c r="G141" s="3" t="s">
        <v>865</v>
      </c>
      <c r="H141" s="3" t="str">
        <f>IFERROR(VLOOKUP(G141,'DATABASE-DRIFT_LATENT_HP_ERROR'!$B$88:$D$137,3,FALSE()),"")</f>
        <v>Prioritas produksi mempengaruhi keputusan keselamatan.</v>
      </c>
      <c r="K141" s="29">
        <f>IF($A141="","",IFERROR(INDEX('INPUT-SIF_Questions'!$B$2:$B$300,MATCH($A141,'INPUT-SIF_Questions'!$A$2:$A$300,0)),""))</f>
        <v>1</v>
      </c>
      <c r="L141" s="29" t="str">
        <f>IF($A141="","",IFERROR(INDEX('INPUT-SIF_Questions'!$F$2:$F$300,MATCH($A141,'INPUT-SIF_Questions'!$A$2:$A$300,0)),""))</f>
        <v>Baseline</v>
      </c>
      <c r="M141" s="29" t="str">
        <f>IF($A141="","",IFERROR(INDEX('INPUT-SIF_Questions'!$G$2:$G$300,MATCH($A141,'INPUT-SIF_Questions'!$A$2:$A$300,0)),""))</f>
        <v>Y</v>
      </c>
      <c r="N141" s="29">
        <f>IF($A141="","",IFERROR(INDEX('INPUT-SIF_Questions'!$E$2:$E$300,MATCH($A141,'INPUT-SIF_Questions'!$A$2:$A$300,0)),""))</f>
        <v>0</v>
      </c>
    </row>
    <row r="142" spans="1:14" ht="42.75" customHeight="1" x14ac:dyDescent="0.45">
      <c r="A142" s="29" t="s">
        <v>402</v>
      </c>
      <c r="B142" s="1" t="s">
        <v>34</v>
      </c>
      <c r="C142" s="1" t="str">
        <f>IFERROR(VLOOKUP(B142,'DATABASE-DRIFT_LATENT_HP_ERROR'!$A$143:$B$160,2,FALSE()),"")</f>
        <v>Work at Height</v>
      </c>
      <c r="D142" s="27" t="s">
        <v>969</v>
      </c>
      <c r="E142" s="33" t="s">
        <v>794</v>
      </c>
      <c r="F142" s="1" t="str">
        <f>IFERROR(VLOOKUP(E142,'DATABASE-DRIFT_LATENT_HP_ERROR'!$A$81:$B$85,2,FALSE()),"")</f>
        <v>Latent.1</v>
      </c>
      <c r="G142" s="3" t="s">
        <v>797</v>
      </c>
      <c r="H142" s="3" t="str">
        <f>IFERROR(VLOOKUP(G142,'DATABASE-DRIFT_LATENT_HP_ERROR'!$B$88:$D$137,3,FALSE()),"")</f>
        <v>Pemahaman engineering consequence lemah.</v>
      </c>
      <c r="K142" s="29">
        <f>IF($A142="","",IFERROR(INDEX('INPUT-SIF_Questions'!$B$2:$B$300,MATCH($A142,'INPUT-SIF_Questions'!$A$2:$A$300,0)),""))</f>
        <v>1</v>
      </c>
      <c r="L142" s="29" t="str">
        <f>IF($A142="","",IFERROR(INDEX('INPUT-SIF_Questions'!$F$2:$F$300,MATCH($A142,'INPUT-SIF_Questions'!$A$2:$A$300,0)),""))</f>
        <v>Baseline</v>
      </c>
      <c r="M142" s="29" t="str">
        <f>IF($A142="","",IFERROR(INDEX('INPUT-SIF_Questions'!$G$2:$G$300,MATCH($A142,'INPUT-SIF_Questions'!$A$2:$A$300,0)),""))</f>
        <v>Y</v>
      </c>
      <c r="N142" s="29">
        <f>IF($A142="","",IFERROR(INDEX('INPUT-SIF_Questions'!$E$2:$E$300,MATCH($A142,'INPUT-SIF_Questions'!$A$2:$A$300,0)),""))</f>
        <v>0</v>
      </c>
    </row>
    <row r="143" spans="1:14" ht="57" customHeight="1" x14ac:dyDescent="0.45">
      <c r="A143" s="29" t="s">
        <v>402</v>
      </c>
      <c r="B143" s="1" t="s">
        <v>34</v>
      </c>
      <c r="C143" s="1" t="str">
        <f>IFERROR(VLOOKUP(B143,'DATABASE-DRIFT_LATENT_HP_ERROR'!$A$143:$B$160,2,FALSE()),"")</f>
        <v>Work at Height</v>
      </c>
      <c r="D143" s="27" t="s">
        <v>970</v>
      </c>
      <c r="E143" s="33" t="s">
        <v>794</v>
      </c>
      <c r="F143" s="1" t="str">
        <f>IFERROR(VLOOKUP(E143,'DATABASE-DRIFT_LATENT_HP_ERROR'!$A$81:$B$85,2,FALSE()),"")</f>
        <v>Latent.1</v>
      </c>
      <c r="G143" s="3" t="s">
        <v>797</v>
      </c>
      <c r="H143" s="3" t="str">
        <f>IFERROR(VLOOKUP(G143,'DATABASE-DRIFT_LATENT_HP_ERROR'!$B$88:$D$137,3,FALSE()),"")</f>
        <v>Pemahaman engineering consequence lemah.</v>
      </c>
      <c r="K143" s="29">
        <f>IF($A143="","",IFERROR(INDEX('INPUT-SIF_Questions'!$B$2:$B$300,MATCH($A143,'INPUT-SIF_Questions'!$A$2:$A$300,0)),""))</f>
        <v>1</v>
      </c>
      <c r="L143" s="29" t="str">
        <f>IF($A143="","",IFERROR(INDEX('INPUT-SIF_Questions'!$F$2:$F$300,MATCH($A143,'INPUT-SIF_Questions'!$A$2:$A$300,0)),""))</f>
        <v>Baseline</v>
      </c>
      <c r="M143" s="29" t="str">
        <f>IF($A143="","",IFERROR(INDEX('INPUT-SIF_Questions'!$G$2:$G$300,MATCH($A143,'INPUT-SIF_Questions'!$A$2:$A$300,0)),""))</f>
        <v>Y</v>
      </c>
      <c r="N143" s="29">
        <f>IF($A143="","",IFERROR(INDEX('INPUT-SIF_Questions'!$E$2:$E$300,MATCH($A143,'INPUT-SIF_Questions'!$A$2:$A$300,0)),""))</f>
        <v>0</v>
      </c>
    </row>
    <row r="144" spans="1:14" ht="49.5" customHeight="1" x14ac:dyDescent="0.45">
      <c r="A144" s="29" t="s">
        <v>402</v>
      </c>
      <c r="B144" s="1" t="s">
        <v>34</v>
      </c>
      <c r="C144" s="1" t="str">
        <f>IFERROR(VLOOKUP(B144,'DATABASE-DRIFT_LATENT_HP_ERROR'!$A$143:$B$160,2,FALSE()),"")</f>
        <v>Work at Height</v>
      </c>
      <c r="D144" s="27" t="s">
        <v>971</v>
      </c>
      <c r="E144" s="33" t="s">
        <v>810</v>
      </c>
      <c r="F144" s="1" t="str">
        <f>IFERROR(VLOOKUP(E144,'DATABASE-DRIFT_LATENT_HP_ERROR'!$A$81:$B$85,2,FALSE()),"")</f>
        <v>Latent.3</v>
      </c>
      <c r="G144" s="3" t="s">
        <v>812</v>
      </c>
      <c r="H144" s="3" t="str">
        <f>IFERROR(VLOOKUP(G144,'DATABASE-DRIFT_LATENT_HP_ERROR'!$B$88:$D$137,3,FALSE()),"")</f>
        <v>Validasi lapangan tidak cukup mendalam.</v>
      </c>
      <c r="K144" s="29">
        <f>IF($A144="","",IFERROR(INDEX('INPUT-SIF_Questions'!$B$2:$B$300,MATCH($A144,'INPUT-SIF_Questions'!$A$2:$A$300,0)),""))</f>
        <v>1</v>
      </c>
      <c r="L144" s="29" t="str">
        <f>IF($A144="","",IFERROR(INDEX('INPUT-SIF_Questions'!$F$2:$F$300,MATCH($A144,'INPUT-SIF_Questions'!$A$2:$A$300,0)),""))</f>
        <v>Baseline</v>
      </c>
      <c r="M144" s="29" t="str">
        <f>IF($A144="","",IFERROR(INDEX('INPUT-SIF_Questions'!$G$2:$G$300,MATCH($A144,'INPUT-SIF_Questions'!$A$2:$A$300,0)),""))</f>
        <v>Y</v>
      </c>
      <c r="N144" s="29">
        <f>IF($A144="","",IFERROR(INDEX('INPUT-SIF_Questions'!$E$2:$E$300,MATCH($A144,'INPUT-SIF_Questions'!$A$2:$A$300,0)),""))</f>
        <v>0</v>
      </c>
    </row>
    <row r="145" spans="1:14" ht="49.5" customHeight="1" x14ac:dyDescent="0.45">
      <c r="A145" s="29" t="s">
        <v>402</v>
      </c>
      <c r="B145" s="1" t="s">
        <v>34</v>
      </c>
      <c r="C145" s="1" t="str">
        <f>IFERROR(VLOOKUP(B145,'DATABASE-DRIFT_LATENT_HP_ERROR'!$A$143:$B$160,2,FALSE()),"")</f>
        <v>Work at Height</v>
      </c>
      <c r="D145" s="27" t="s">
        <v>972</v>
      </c>
      <c r="E145" s="33" t="s">
        <v>801</v>
      </c>
      <c r="F145" s="1" t="str">
        <f>IFERROR(VLOOKUP(E145,'DATABASE-DRIFT_LATENT_HP_ERROR'!$A$81:$B$85,2,FALSE()),"")</f>
        <v>Latent.2</v>
      </c>
      <c r="G145" s="3" t="s">
        <v>806</v>
      </c>
      <c r="H145" s="3" t="str">
        <f>IFERROR(VLOOKUP(G145,'DATABASE-DRIFT_LATENT_HP_ERROR'!$B$88:$D$137,3,FALSE()),"")</f>
        <v>Kriteria engineering atau acceptance criteria tidak tersedia.</v>
      </c>
      <c r="K145" s="29">
        <f>IF($A145="","",IFERROR(INDEX('INPUT-SIF_Questions'!$B$2:$B$300,MATCH($A145,'INPUT-SIF_Questions'!$A$2:$A$300,0)),""))</f>
        <v>1</v>
      </c>
      <c r="L145" s="29" t="str">
        <f>IF($A145="","",IFERROR(INDEX('INPUT-SIF_Questions'!$F$2:$F$300,MATCH($A145,'INPUT-SIF_Questions'!$A$2:$A$300,0)),""))</f>
        <v>Baseline</v>
      </c>
      <c r="M145" s="29" t="str">
        <f>IF($A145="","",IFERROR(INDEX('INPUT-SIF_Questions'!$G$2:$G$300,MATCH($A145,'INPUT-SIF_Questions'!$A$2:$A$300,0)),""))</f>
        <v>Y</v>
      </c>
      <c r="N145" s="29">
        <f>IF($A145="","",IFERROR(INDEX('INPUT-SIF_Questions'!$E$2:$E$300,MATCH($A145,'INPUT-SIF_Questions'!$A$2:$A$300,0)),""))</f>
        <v>0</v>
      </c>
    </row>
    <row r="146" spans="1:14" ht="49.5" customHeight="1" x14ac:dyDescent="0.45">
      <c r="A146" s="29" t="s">
        <v>409</v>
      </c>
      <c r="B146" s="1" t="s">
        <v>410</v>
      </c>
      <c r="C146" s="1" t="str">
        <f>IFERROR(VLOOKUP(B146,'DATABASE-DRIFT_LATENT_HP_ERROR'!$A$143:$B$160,2,FALSE()),"")</f>
        <v>Line of Fire</v>
      </c>
      <c r="D146" s="27" t="s">
        <v>973</v>
      </c>
      <c r="E146" s="33" t="s">
        <v>801</v>
      </c>
      <c r="F146" s="1" t="str">
        <f>IFERROR(VLOOKUP(E146,'DATABASE-DRIFT_LATENT_HP_ERROR'!$A$81:$B$85,2,FALSE()),"")</f>
        <v>Latent.2</v>
      </c>
      <c r="G146" s="3" t="s">
        <v>848</v>
      </c>
      <c r="H146" s="3" t="str">
        <f>IFERROR(VLOOKUP(G146,'DATABASE-DRIFT_LATENT_HP_ERROR'!$B$88:$D$137,3,FALSE()),"")</f>
        <v>Prosedur sulit diterapkan di kondisi lapangan aktual.</v>
      </c>
      <c r="K146" s="29">
        <f>IF($A146="","",IFERROR(INDEX('INPUT-SIF_Questions'!$B$2:$B$300,MATCH($A146,'INPUT-SIF_Questions'!$A$2:$A$300,0)),""))</f>
        <v>1</v>
      </c>
      <c r="L146" s="29" t="str">
        <f>IF($A146="","",IFERROR(INDEX('INPUT-SIF_Questions'!$F$2:$F$300,MATCH($A146,'INPUT-SIF_Questions'!$A$2:$A$300,0)),""))</f>
        <v>Baseline</v>
      </c>
      <c r="M146" s="29" t="str">
        <f>IF($A146="","",IFERROR(INDEX('INPUT-SIF_Questions'!$G$2:$G$300,MATCH($A146,'INPUT-SIF_Questions'!$A$2:$A$300,0)),""))</f>
        <v>Y</v>
      </c>
      <c r="N146" s="29">
        <f>IF($A146="","",IFERROR(INDEX('INPUT-SIF_Questions'!$E$2:$E$300,MATCH($A146,'INPUT-SIF_Questions'!$A$2:$A$300,0)),""))</f>
        <v>0</v>
      </c>
    </row>
    <row r="147" spans="1:14" ht="42.75" customHeight="1" x14ac:dyDescent="0.45">
      <c r="A147" s="29" t="s">
        <v>409</v>
      </c>
      <c r="B147" s="1" t="s">
        <v>410</v>
      </c>
      <c r="C147" s="1" t="str">
        <f>IFERROR(VLOOKUP(B147,'DATABASE-DRIFT_LATENT_HP_ERROR'!$A$143:$B$160,2,FALSE()),"")</f>
        <v>Line of Fire</v>
      </c>
      <c r="D147" s="27" t="s">
        <v>974</v>
      </c>
      <c r="E147" s="33" t="s">
        <v>801</v>
      </c>
      <c r="F147" s="1" t="str">
        <f>IFERROR(VLOOKUP(E147,'DATABASE-DRIFT_LATENT_HP_ERROR'!$A$81:$B$85,2,FALSE()),"")</f>
        <v>Latent.2</v>
      </c>
      <c r="G147" s="3" t="s">
        <v>848</v>
      </c>
      <c r="H147" s="3" t="str">
        <f>IFERROR(VLOOKUP(G147,'DATABASE-DRIFT_LATENT_HP_ERROR'!$B$88:$D$137,3,FALSE()),"")</f>
        <v>Prosedur sulit diterapkan di kondisi lapangan aktual.</v>
      </c>
      <c r="K147" s="29">
        <f>IF($A147="","",IFERROR(INDEX('INPUT-SIF_Questions'!$B$2:$B$300,MATCH($A147,'INPUT-SIF_Questions'!$A$2:$A$300,0)),""))</f>
        <v>1</v>
      </c>
      <c r="L147" s="29" t="str">
        <f>IF($A147="","",IFERROR(INDEX('INPUT-SIF_Questions'!$F$2:$F$300,MATCH($A147,'INPUT-SIF_Questions'!$A$2:$A$300,0)),""))</f>
        <v>Baseline</v>
      </c>
      <c r="M147" s="29" t="str">
        <f>IF($A147="","",IFERROR(INDEX('INPUT-SIF_Questions'!$G$2:$G$300,MATCH($A147,'INPUT-SIF_Questions'!$A$2:$A$300,0)),""))</f>
        <v>Y</v>
      </c>
      <c r="N147" s="29">
        <f>IF($A147="","",IFERROR(INDEX('INPUT-SIF_Questions'!$E$2:$E$300,MATCH($A147,'INPUT-SIF_Questions'!$A$2:$A$300,0)),""))</f>
        <v>0</v>
      </c>
    </row>
    <row r="148" spans="1:14" ht="42.75" customHeight="1" x14ac:dyDescent="0.45">
      <c r="A148" s="29" t="s">
        <v>409</v>
      </c>
      <c r="B148" s="1" t="s">
        <v>410</v>
      </c>
      <c r="C148" s="1" t="str">
        <f>IFERROR(VLOOKUP(B148,'DATABASE-DRIFT_LATENT_HP_ERROR'!$A$143:$B$160,2,FALSE()),"")</f>
        <v>Line of Fire</v>
      </c>
      <c r="D148" s="27" t="s">
        <v>975</v>
      </c>
      <c r="E148" s="33" t="s">
        <v>801</v>
      </c>
      <c r="F148" s="1" t="str">
        <f>IFERROR(VLOOKUP(E148,'DATABASE-DRIFT_LATENT_HP_ERROR'!$A$81:$B$85,2,FALSE()),"")</f>
        <v>Latent.2</v>
      </c>
      <c r="G148" s="3" t="s">
        <v>806</v>
      </c>
      <c r="H148" s="3" t="str">
        <f>IFERROR(VLOOKUP(G148,'DATABASE-DRIFT_LATENT_HP_ERROR'!$B$88:$D$137,3,FALSE()),"")</f>
        <v>Kriteria engineering atau acceptance criteria tidak tersedia.</v>
      </c>
      <c r="K148" s="29">
        <f>IF($A148="","",IFERROR(INDEX('INPUT-SIF_Questions'!$B$2:$B$300,MATCH($A148,'INPUT-SIF_Questions'!$A$2:$A$300,0)),""))</f>
        <v>1</v>
      </c>
      <c r="L148" s="29" t="str">
        <f>IF($A148="","",IFERROR(INDEX('INPUT-SIF_Questions'!$F$2:$F$300,MATCH($A148,'INPUT-SIF_Questions'!$A$2:$A$300,0)),""))</f>
        <v>Baseline</v>
      </c>
      <c r="M148" s="29" t="str">
        <f>IF($A148="","",IFERROR(INDEX('INPUT-SIF_Questions'!$G$2:$G$300,MATCH($A148,'INPUT-SIF_Questions'!$A$2:$A$300,0)),""))</f>
        <v>Y</v>
      </c>
      <c r="N148" s="29">
        <f>IF($A148="","",IFERROR(INDEX('INPUT-SIF_Questions'!$E$2:$E$300,MATCH($A148,'INPUT-SIF_Questions'!$A$2:$A$300,0)),""))</f>
        <v>0</v>
      </c>
    </row>
    <row r="149" spans="1:14" ht="49.5" customHeight="1" x14ac:dyDescent="0.45">
      <c r="A149" s="29" t="s">
        <v>409</v>
      </c>
      <c r="B149" s="1" t="s">
        <v>410</v>
      </c>
      <c r="C149" s="1" t="str">
        <f>IFERROR(VLOOKUP(B149,'DATABASE-DRIFT_LATENT_HP_ERROR'!$A$143:$B$160,2,FALSE()),"")</f>
        <v>Line of Fire</v>
      </c>
      <c r="D149" s="27" t="s">
        <v>976</v>
      </c>
      <c r="E149" s="33" t="s">
        <v>810</v>
      </c>
      <c r="F149" s="1" t="str">
        <f>IFERROR(VLOOKUP(E149,'DATABASE-DRIFT_LATENT_HP_ERROR'!$A$81:$B$85,2,FALSE()),"")</f>
        <v>Latent.3</v>
      </c>
      <c r="G149" s="3" t="s">
        <v>863</v>
      </c>
      <c r="H149" s="3" t="str">
        <f>IFERROR(VLOOKUP(G149,'DATABASE-DRIFT_LATENT_HP_ERROR'!$B$88:$D$137,3,FALSE()),"")</f>
        <v>Pengawasan teknikal tidak memadai.</v>
      </c>
      <c r="K149" s="29">
        <f>IF($A149="","",IFERROR(INDEX('INPUT-SIF_Questions'!$B$2:$B$300,MATCH($A149,'INPUT-SIF_Questions'!$A$2:$A$300,0)),""))</f>
        <v>1</v>
      </c>
      <c r="L149" s="29" t="str">
        <f>IF($A149="","",IFERROR(INDEX('INPUT-SIF_Questions'!$F$2:$F$300,MATCH($A149,'INPUT-SIF_Questions'!$A$2:$A$300,0)),""))</f>
        <v>Baseline</v>
      </c>
      <c r="M149" s="29" t="str">
        <f>IF($A149="","",IFERROR(INDEX('INPUT-SIF_Questions'!$G$2:$G$300,MATCH($A149,'INPUT-SIF_Questions'!$A$2:$A$300,0)),""))</f>
        <v>Y</v>
      </c>
      <c r="N149" s="29">
        <f>IF($A149="","",IFERROR(INDEX('INPUT-SIF_Questions'!$E$2:$E$300,MATCH($A149,'INPUT-SIF_Questions'!$A$2:$A$300,0)),""))</f>
        <v>0</v>
      </c>
    </row>
    <row r="150" spans="1:14" ht="21" customHeight="1" x14ac:dyDescent="0.45">
      <c r="A150" s="29" t="s">
        <v>437</v>
      </c>
      <c r="B150" s="1" t="s">
        <v>292</v>
      </c>
      <c r="C150" s="1" t="str">
        <f>IFERROR(VLOOKUP(B150,'DATABASE-DRIFT_LATENT_HP_ERROR'!$A$143:$B$160,2,FALSE()),"")</f>
        <v>Hot Work</v>
      </c>
      <c r="D150" s="27" t="s">
        <v>977</v>
      </c>
      <c r="E150" s="33" t="s">
        <v>801</v>
      </c>
      <c r="F150" s="1" t="str">
        <f>IFERROR(VLOOKUP(E150,'DATABASE-DRIFT_LATENT_HP_ERROR'!$A$81:$B$85,2,FALSE()),"")</f>
        <v>Latent.2</v>
      </c>
      <c r="G150" s="3" t="s">
        <v>848</v>
      </c>
      <c r="H150" s="3" t="str">
        <f>IFERROR(VLOOKUP(G150,'DATABASE-DRIFT_LATENT_HP_ERROR'!$B$88:$D$137,3,FALSE()),"")</f>
        <v>Prosedur sulit diterapkan di kondisi lapangan aktual.</v>
      </c>
      <c r="K150" s="29">
        <f>IF($A150="","",IFERROR(INDEX('INPUT-SIF_Questions'!$B$2:$B$300,MATCH($A150,'INPUT-SIF_Questions'!$A$2:$A$300,0)),""))</f>
        <v>1</v>
      </c>
      <c r="L150" s="29" t="str">
        <f>IF($A150="","",IFERROR(INDEX('INPUT-SIF_Questions'!$F$2:$F$300,MATCH($A150,'INPUT-SIF_Questions'!$A$2:$A$300,0)),""))</f>
        <v>Baseline</v>
      </c>
      <c r="M150" s="29" t="str">
        <f>IF($A150="","",IFERROR(INDEX('INPUT-SIF_Questions'!$G$2:$G$300,MATCH($A150,'INPUT-SIF_Questions'!$A$2:$A$300,0)),""))</f>
        <v>Y</v>
      </c>
      <c r="N150" s="29">
        <f>IF($A150="","",IFERROR(INDEX('INPUT-SIF_Questions'!$E$2:$E$300,MATCH($A150,'INPUT-SIF_Questions'!$A$2:$A$300,0)),""))</f>
        <v>0</v>
      </c>
    </row>
    <row r="151" spans="1:14" ht="21" customHeight="1" x14ac:dyDescent="0.45">
      <c r="A151" s="29" t="s">
        <v>437</v>
      </c>
      <c r="B151" s="1" t="s">
        <v>292</v>
      </c>
      <c r="C151" s="1" t="str">
        <f>IFERROR(VLOOKUP(B151,'DATABASE-DRIFT_LATENT_HP_ERROR'!$A$143:$B$160,2,FALSE()),"")</f>
        <v>Hot Work</v>
      </c>
      <c r="D151" s="27" t="s">
        <v>978</v>
      </c>
      <c r="E151" s="33" t="s">
        <v>816</v>
      </c>
      <c r="F151" s="1" t="str">
        <f>IFERROR(VLOOKUP(E151,'DATABASE-DRIFT_LATENT_HP_ERROR'!$A$81:$B$85,2,FALSE()),"")</f>
        <v>Latent.4</v>
      </c>
      <c r="G151" s="3" t="s">
        <v>837</v>
      </c>
      <c r="H151" s="3" t="str">
        <f>IFERROR(VLOOKUP(G151,'DATABASE-DRIFT_LATENT_HP_ERROR'!$B$88:$D$137,3,FALSE()),"")</f>
        <v>Hazard penting tidak teridentifikasi pada tahap planning.</v>
      </c>
      <c r="K151" s="29">
        <f>IF($A151="","",IFERROR(INDEX('INPUT-SIF_Questions'!$B$2:$B$300,MATCH($A151,'INPUT-SIF_Questions'!$A$2:$A$300,0)),""))</f>
        <v>1</v>
      </c>
      <c r="L151" s="29" t="str">
        <f>IF($A151="","",IFERROR(INDEX('INPUT-SIF_Questions'!$F$2:$F$300,MATCH($A151,'INPUT-SIF_Questions'!$A$2:$A$300,0)),""))</f>
        <v>Baseline</v>
      </c>
      <c r="M151" s="29" t="str">
        <f>IF($A151="","",IFERROR(INDEX('INPUT-SIF_Questions'!$G$2:$G$300,MATCH($A151,'INPUT-SIF_Questions'!$A$2:$A$300,0)),""))</f>
        <v>Y</v>
      </c>
      <c r="N151" s="29">
        <f>IF($A151="","",IFERROR(INDEX('INPUT-SIF_Questions'!$E$2:$E$300,MATCH($A151,'INPUT-SIF_Questions'!$A$2:$A$300,0)),""))</f>
        <v>0</v>
      </c>
    </row>
    <row r="152" spans="1:14" ht="21" customHeight="1" x14ac:dyDescent="0.45">
      <c r="A152" s="29" t="s">
        <v>437</v>
      </c>
      <c r="B152" s="1" t="s">
        <v>292</v>
      </c>
      <c r="C152" s="1" t="str">
        <f>IFERROR(VLOOKUP(B152,'DATABASE-DRIFT_LATENT_HP_ERROR'!$A$143:$B$160,2,FALSE()),"")</f>
        <v>Hot Work</v>
      </c>
      <c r="D152" s="27" t="s">
        <v>979</v>
      </c>
      <c r="E152" s="33" t="s">
        <v>794</v>
      </c>
      <c r="F152" s="1" t="str">
        <f>IFERROR(VLOOKUP(E152,'DATABASE-DRIFT_LATENT_HP_ERROR'!$A$81:$B$85,2,FALSE()),"")</f>
        <v>Latent.1</v>
      </c>
      <c r="G152" s="3" t="s">
        <v>828</v>
      </c>
      <c r="H152" s="3" t="str">
        <f>IFERROR(VLOOKUP(G152,'DATABASE-DRIFT_LATENT_HP_ERROR'!$B$88:$D$137,3,FALSE()),"")</f>
        <v>Filosofi dan implementasi isolasi energi tidak dipahami.</v>
      </c>
      <c r="K152" s="29">
        <f>IF($A152="","",IFERROR(INDEX('INPUT-SIF_Questions'!$B$2:$B$300,MATCH($A152,'INPUT-SIF_Questions'!$A$2:$A$300,0)),""))</f>
        <v>1</v>
      </c>
      <c r="L152" s="29" t="str">
        <f>IF($A152="","",IFERROR(INDEX('INPUT-SIF_Questions'!$F$2:$F$300,MATCH($A152,'INPUT-SIF_Questions'!$A$2:$A$300,0)),""))</f>
        <v>Baseline</v>
      </c>
      <c r="M152" s="29" t="str">
        <f>IF($A152="","",IFERROR(INDEX('INPUT-SIF_Questions'!$G$2:$G$300,MATCH($A152,'INPUT-SIF_Questions'!$A$2:$A$300,0)),""))</f>
        <v>Y</v>
      </c>
      <c r="N152" s="29">
        <f>IF($A152="","",IFERROR(INDEX('INPUT-SIF_Questions'!$E$2:$E$300,MATCH($A152,'INPUT-SIF_Questions'!$A$2:$A$300,0)),""))</f>
        <v>0</v>
      </c>
    </row>
    <row r="153" spans="1:14" ht="21" customHeight="1" x14ac:dyDescent="0.45">
      <c r="A153" s="29" t="s">
        <v>437</v>
      </c>
      <c r="B153" s="1" t="s">
        <v>292</v>
      </c>
      <c r="C153" s="1" t="str">
        <f>IFERROR(VLOOKUP(B153,'DATABASE-DRIFT_LATENT_HP_ERROR'!$A$143:$B$160,2,FALSE()),"")</f>
        <v>Hot Work</v>
      </c>
      <c r="D153" s="27" t="s">
        <v>980</v>
      </c>
      <c r="E153" s="33" t="s">
        <v>816</v>
      </c>
      <c r="F153" s="1" t="str">
        <f>IFERROR(VLOOKUP(E153,'DATABASE-DRIFT_LATENT_HP_ERROR'!$A$81:$B$85,2,FALSE()),"")</f>
        <v>Latent.4</v>
      </c>
      <c r="G153" s="3" t="s">
        <v>821</v>
      </c>
      <c r="H153" s="3" t="str">
        <f>IFERROR(VLOOKUP(G153,'DATABASE-DRIFT_LATENT_HP_ERROR'!$B$88:$D$137,3,FALSE()),"")</f>
        <v>Perhitungan fall distance tidak tersedia.</v>
      </c>
      <c r="K153" s="29">
        <f>IF($A153="","",IFERROR(INDEX('INPUT-SIF_Questions'!$B$2:$B$300,MATCH($A153,'INPUT-SIF_Questions'!$A$2:$A$300,0)),""))</f>
        <v>1</v>
      </c>
      <c r="L153" s="29" t="str">
        <f>IF($A153="","",IFERROR(INDEX('INPUT-SIF_Questions'!$F$2:$F$300,MATCH($A153,'INPUT-SIF_Questions'!$A$2:$A$300,0)),""))</f>
        <v>Baseline</v>
      </c>
      <c r="M153" s="29" t="str">
        <f>IF($A153="","",IFERROR(INDEX('INPUT-SIF_Questions'!$G$2:$G$300,MATCH($A153,'INPUT-SIF_Questions'!$A$2:$A$300,0)),""))</f>
        <v>Y</v>
      </c>
      <c r="N153" s="29">
        <f>IF($A153="","",IFERROR(INDEX('INPUT-SIF_Questions'!$E$2:$E$300,MATCH($A153,'INPUT-SIF_Questions'!$A$2:$A$300,0)),""))</f>
        <v>0</v>
      </c>
    </row>
    <row r="154" spans="1:14" ht="42.75" customHeight="1" x14ac:dyDescent="0.45">
      <c r="A154" s="29" t="s">
        <v>443</v>
      </c>
      <c r="B154" s="1" t="s">
        <v>92</v>
      </c>
      <c r="C154" s="1" t="str">
        <f>IFERROR(VLOOKUP(B154,'DATABASE-DRIFT_LATENT_HP_ERROR'!$A$143:$B$160,2,FALSE()),"")</f>
        <v>Powered System / Isolation of Hazardous Energy</v>
      </c>
      <c r="D154" s="27" t="s">
        <v>981</v>
      </c>
      <c r="E154" s="29" t="s">
        <v>801</v>
      </c>
      <c r="F154" s="1" t="str">
        <f>IFERROR(VLOOKUP(E154,'DATABASE-DRIFT_LATENT_HP_ERROR'!$A$81:$B$85,2,FALSE()),"")</f>
        <v>Latent.2</v>
      </c>
      <c r="G154" s="3" t="s">
        <v>848</v>
      </c>
      <c r="H154" s="3" t="str">
        <f>IFERROR(VLOOKUP(G154,'DATABASE-DRIFT_LATENT_HP_ERROR'!$B$88:$D$137,3,FALSE()),"")</f>
        <v>Prosedur sulit diterapkan di kondisi lapangan aktual.</v>
      </c>
      <c r="K154" s="29">
        <f>IF($A154="","",IFERROR(INDEX('INPUT-SIF_Questions'!$B$2:$B$300,MATCH($A154,'INPUT-SIF_Questions'!$A$2:$A$300,0)),""))</f>
        <v>1</v>
      </c>
      <c r="L154" s="29" t="str">
        <f>IF($A154="","",IFERROR(INDEX('INPUT-SIF_Questions'!$F$2:$F$300,MATCH($A154,'INPUT-SIF_Questions'!$A$2:$A$300,0)),""))</f>
        <v>Baseline</v>
      </c>
      <c r="M154" s="29" t="str">
        <f>IF($A154="","",IFERROR(INDEX('INPUT-SIF_Questions'!$G$2:$G$300,MATCH($A154,'INPUT-SIF_Questions'!$A$2:$A$300,0)),""))</f>
        <v>Y</v>
      </c>
      <c r="N154" s="29">
        <f>IF($A154="","",IFERROR(INDEX('INPUT-SIF_Questions'!$E$2:$E$300,MATCH($A154,'INPUT-SIF_Questions'!$A$2:$A$300,0)),""))</f>
        <v>0</v>
      </c>
    </row>
    <row r="155" spans="1:14" ht="49.5" customHeight="1" x14ac:dyDescent="0.45">
      <c r="A155" s="29" t="s">
        <v>443</v>
      </c>
      <c r="B155" s="1" t="s">
        <v>92</v>
      </c>
      <c r="C155" s="1" t="str">
        <f>IFERROR(VLOOKUP(B155,'DATABASE-DRIFT_LATENT_HP_ERROR'!$A$143:$B$160,2,FALSE()),"")</f>
        <v>Powered System / Isolation of Hazardous Energy</v>
      </c>
      <c r="D155" s="27" t="s">
        <v>982</v>
      </c>
      <c r="E155" s="29" t="s">
        <v>801</v>
      </c>
      <c r="F155" s="1" t="str">
        <f>IFERROR(VLOOKUP(E155,'DATABASE-DRIFT_LATENT_HP_ERROR'!$A$81:$B$85,2,FALSE()),"")</f>
        <v>Latent.2</v>
      </c>
      <c r="G155" s="3" t="s">
        <v>848</v>
      </c>
      <c r="H155" s="3" t="str">
        <f>IFERROR(VLOOKUP(G155,'DATABASE-DRIFT_LATENT_HP_ERROR'!$B$88:$D$137,3,FALSE()),"")</f>
        <v>Prosedur sulit diterapkan di kondisi lapangan aktual.</v>
      </c>
      <c r="K155" s="29">
        <f>IF($A155="","",IFERROR(INDEX('INPUT-SIF_Questions'!$B$2:$B$300,MATCH($A155,'INPUT-SIF_Questions'!$A$2:$A$300,0)),""))</f>
        <v>1</v>
      </c>
      <c r="L155" s="29" t="str">
        <f>IF($A155="","",IFERROR(INDEX('INPUT-SIF_Questions'!$F$2:$F$300,MATCH($A155,'INPUT-SIF_Questions'!$A$2:$A$300,0)),""))</f>
        <v>Baseline</v>
      </c>
      <c r="M155" s="29" t="str">
        <f>IF($A155="","",IFERROR(INDEX('INPUT-SIF_Questions'!$G$2:$G$300,MATCH($A155,'INPUT-SIF_Questions'!$A$2:$A$300,0)),""))</f>
        <v>Y</v>
      </c>
      <c r="N155" s="29">
        <f>IF($A155="","",IFERROR(INDEX('INPUT-SIF_Questions'!$E$2:$E$300,MATCH($A155,'INPUT-SIF_Questions'!$A$2:$A$300,0)),""))</f>
        <v>0</v>
      </c>
    </row>
    <row r="156" spans="1:14" ht="28.5" customHeight="1" x14ac:dyDescent="0.45">
      <c r="A156" s="29" t="s">
        <v>443</v>
      </c>
      <c r="B156" s="1" t="s">
        <v>92</v>
      </c>
      <c r="C156" s="1" t="str">
        <f>IFERROR(VLOOKUP(B156,'DATABASE-DRIFT_LATENT_HP_ERROR'!$A$143:$B$160,2,FALSE()),"")</f>
        <v>Powered System / Isolation of Hazardous Energy</v>
      </c>
      <c r="D156" s="27" t="s">
        <v>983</v>
      </c>
      <c r="E156" s="29" t="s">
        <v>810</v>
      </c>
      <c r="F156" s="1" t="str">
        <f>IFERROR(VLOOKUP(E156,'DATABASE-DRIFT_LATENT_HP_ERROR'!$A$81:$B$85,2,FALSE()),"")</f>
        <v>Latent.3</v>
      </c>
      <c r="G156" s="3" t="s">
        <v>812</v>
      </c>
      <c r="H156" s="3" t="str">
        <f>IFERROR(VLOOKUP(G156,'DATABASE-DRIFT_LATENT_HP_ERROR'!$B$88:$D$137,3,FALSE()),"")</f>
        <v>Validasi lapangan tidak cukup mendalam.</v>
      </c>
      <c r="K156" s="29">
        <f>IF($A156="","",IFERROR(INDEX('INPUT-SIF_Questions'!$B$2:$B$300,MATCH($A156,'INPUT-SIF_Questions'!$A$2:$A$300,0)),""))</f>
        <v>1</v>
      </c>
      <c r="L156" s="29" t="str">
        <f>IF($A156="","",IFERROR(INDEX('INPUT-SIF_Questions'!$F$2:$F$300,MATCH($A156,'INPUT-SIF_Questions'!$A$2:$A$300,0)),""))</f>
        <v>Baseline</v>
      </c>
      <c r="M156" s="29" t="str">
        <f>IF($A156="","",IFERROR(INDEX('INPUT-SIF_Questions'!$G$2:$G$300,MATCH($A156,'INPUT-SIF_Questions'!$A$2:$A$300,0)),""))</f>
        <v>Y</v>
      </c>
      <c r="N156" s="29">
        <f>IF($A156="","",IFERROR(INDEX('INPUT-SIF_Questions'!$E$2:$E$300,MATCH($A156,'INPUT-SIF_Questions'!$A$2:$A$300,0)),""))</f>
        <v>0</v>
      </c>
    </row>
    <row r="157" spans="1:14" ht="49.5" customHeight="1" x14ac:dyDescent="0.45">
      <c r="A157" s="29" t="s">
        <v>443</v>
      </c>
      <c r="B157" s="1" t="s">
        <v>92</v>
      </c>
      <c r="C157" s="1" t="str">
        <f>IFERROR(VLOOKUP(B157,'DATABASE-DRIFT_LATENT_HP_ERROR'!$A$143:$B$160,2,FALSE()),"")</f>
        <v>Powered System / Isolation of Hazardous Energy</v>
      </c>
      <c r="D157" s="27" t="s">
        <v>984</v>
      </c>
      <c r="E157" s="29" t="s">
        <v>801</v>
      </c>
      <c r="F157" s="1" t="str">
        <f>IFERROR(VLOOKUP(E157,'DATABASE-DRIFT_LATENT_HP_ERROR'!$A$81:$B$85,2,FALSE()),"")</f>
        <v>Latent.2</v>
      </c>
      <c r="G157" s="3" t="s">
        <v>848</v>
      </c>
      <c r="H157" s="3" t="str">
        <f>IFERROR(VLOOKUP(G157,'DATABASE-DRIFT_LATENT_HP_ERROR'!$B$88:$D$137,3,FALSE()),"")</f>
        <v>Prosedur sulit diterapkan di kondisi lapangan aktual.</v>
      </c>
      <c r="K157" s="29">
        <f>IF($A157="","",IFERROR(INDEX('INPUT-SIF_Questions'!$B$2:$B$300,MATCH($A157,'INPUT-SIF_Questions'!$A$2:$A$300,0)),""))</f>
        <v>1</v>
      </c>
      <c r="L157" s="29" t="str">
        <f>IF($A157="","",IFERROR(INDEX('INPUT-SIF_Questions'!$F$2:$F$300,MATCH($A157,'INPUT-SIF_Questions'!$A$2:$A$300,0)),""))</f>
        <v>Baseline</v>
      </c>
      <c r="M157" s="29" t="str">
        <f>IF($A157="","",IFERROR(INDEX('INPUT-SIF_Questions'!$G$2:$G$300,MATCH($A157,'INPUT-SIF_Questions'!$A$2:$A$300,0)),""))</f>
        <v>Y</v>
      </c>
      <c r="N157" s="29">
        <f>IF($A157="","",IFERROR(INDEX('INPUT-SIF_Questions'!$E$2:$E$300,MATCH($A157,'INPUT-SIF_Questions'!$A$2:$A$300,0)),""))</f>
        <v>0</v>
      </c>
    </row>
    <row r="158" spans="1:14" ht="14.25" customHeight="1" x14ac:dyDescent="0.45">
      <c r="K158" s="29" t="str">
        <f>IF($A158="","",IFERROR(INDEX('INPUT-SIF_Questions'!$B$2:$B$300,MATCH($A158,'INPUT-SIF_Questions'!$A$2:$A$300,0)),""))</f>
        <v/>
      </c>
      <c r="L158" s="29" t="str">
        <f>IF($A158="","",IFERROR(INDEX('INPUT-SIF_Questions'!$F$2:$F$300,MATCH($A158,'INPUT-SIF_Questions'!$A$2:$A$300,0)),""))</f>
        <v/>
      </c>
      <c r="M158" s="29" t="str">
        <f>IF($A158="","",IFERROR(INDEX('INPUT-SIF_Questions'!$G$2:$G$300,MATCH($A158,'INPUT-SIF_Questions'!$A$2:$A$300,0)),""))</f>
        <v/>
      </c>
      <c r="N158" s="29" t="str">
        <f>IF($A158="","",IFERROR(INDEX('INPUT-SIF_Questions'!$E$2:$E$300,MATCH($A158,'INPUT-SIF_Questions'!$A$2:$A$300,0)),""))</f>
        <v/>
      </c>
    </row>
    <row r="159" spans="1:14" ht="14.25" customHeight="1" x14ac:dyDescent="0.45">
      <c r="K159" s="29" t="str">
        <f>IF($A159="","",IFERROR(INDEX('INPUT-SIF_Questions'!$B$2:$B$300,MATCH($A159,'INPUT-SIF_Questions'!$A$2:$A$300,0)),""))</f>
        <v/>
      </c>
      <c r="L159" s="29" t="str">
        <f>IF($A159="","",IFERROR(INDEX('INPUT-SIF_Questions'!$F$2:$F$300,MATCH($A159,'INPUT-SIF_Questions'!$A$2:$A$300,0)),""))</f>
        <v/>
      </c>
      <c r="M159" s="29" t="str">
        <f>IF($A159="","",IFERROR(INDEX('INPUT-SIF_Questions'!$G$2:$G$300,MATCH($A159,'INPUT-SIF_Questions'!$A$2:$A$300,0)),""))</f>
        <v/>
      </c>
      <c r="N159" s="29" t="str">
        <f>IF($A159="","",IFERROR(INDEX('INPUT-SIF_Questions'!$E$2:$E$300,MATCH($A159,'INPUT-SIF_Questions'!$A$2:$A$300,0)),""))</f>
        <v/>
      </c>
    </row>
    <row r="160" spans="1:14" ht="14.25" customHeight="1" x14ac:dyDescent="0.45">
      <c r="K160" s="29" t="str">
        <f>IF($A160="","",IFERROR(INDEX('INPUT-SIF_Questions'!$B$2:$B$300,MATCH($A160,'INPUT-SIF_Questions'!$A$2:$A$300,0)),""))</f>
        <v/>
      </c>
      <c r="L160" s="29" t="str">
        <f>IF($A160="","",IFERROR(INDEX('INPUT-SIF_Questions'!$F$2:$F$300,MATCH($A160,'INPUT-SIF_Questions'!$A$2:$A$300,0)),""))</f>
        <v/>
      </c>
      <c r="M160" s="29" t="str">
        <f>IF($A160="","",IFERROR(INDEX('INPUT-SIF_Questions'!$G$2:$G$300,MATCH($A160,'INPUT-SIF_Questions'!$A$2:$A$300,0)),""))</f>
        <v/>
      </c>
      <c r="N160" s="29" t="str">
        <f>IF($A160="","",IFERROR(INDEX('INPUT-SIF_Questions'!$E$2:$E$300,MATCH($A160,'INPUT-SIF_Questions'!$A$2:$A$300,0)),""))</f>
        <v/>
      </c>
    </row>
    <row r="161" spans="11:14" ht="14.25" customHeight="1" x14ac:dyDescent="0.45">
      <c r="K161" s="29" t="str">
        <f>IF($A161="","",IFERROR(INDEX('INPUT-SIF_Questions'!$B$2:$B$300,MATCH($A161,'INPUT-SIF_Questions'!$A$2:$A$300,0)),""))</f>
        <v/>
      </c>
      <c r="L161" s="29" t="str">
        <f>IF($A161="","",IFERROR(INDEX('INPUT-SIF_Questions'!$F$2:$F$300,MATCH($A161,'INPUT-SIF_Questions'!$A$2:$A$300,0)),""))</f>
        <v/>
      </c>
      <c r="M161" s="29" t="str">
        <f>IF($A161="","",IFERROR(INDEX('INPUT-SIF_Questions'!$G$2:$G$300,MATCH($A161,'INPUT-SIF_Questions'!$A$2:$A$300,0)),""))</f>
        <v/>
      </c>
      <c r="N161" s="29" t="str">
        <f>IF($A161="","",IFERROR(INDEX('INPUT-SIF_Questions'!$E$2:$E$300,MATCH($A161,'INPUT-SIF_Questions'!$A$2:$A$300,0)),""))</f>
        <v/>
      </c>
    </row>
    <row r="162" spans="11:14" ht="14.25" customHeight="1" x14ac:dyDescent="0.45">
      <c r="K162" s="29" t="str">
        <f>IF($A162="","",IFERROR(INDEX('INPUT-SIF_Questions'!$B$2:$B$300,MATCH($A162,'INPUT-SIF_Questions'!$A$2:$A$300,0)),""))</f>
        <v/>
      </c>
      <c r="L162" s="29" t="str">
        <f>IF($A162="","",IFERROR(INDEX('INPUT-SIF_Questions'!$F$2:$F$300,MATCH($A162,'INPUT-SIF_Questions'!$A$2:$A$300,0)),""))</f>
        <v/>
      </c>
      <c r="M162" s="29" t="str">
        <f>IF($A162="","",IFERROR(INDEX('INPUT-SIF_Questions'!$G$2:$G$300,MATCH($A162,'INPUT-SIF_Questions'!$A$2:$A$300,0)),""))</f>
        <v/>
      </c>
      <c r="N162" s="29" t="str">
        <f>IF($A162="","",IFERROR(INDEX('INPUT-SIF_Questions'!$E$2:$E$300,MATCH($A162,'INPUT-SIF_Questions'!$A$2:$A$300,0)),""))</f>
        <v/>
      </c>
    </row>
    <row r="163" spans="11:14" ht="14.25" customHeight="1" x14ac:dyDescent="0.45">
      <c r="K163" s="29" t="str">
        <f>IF($A163="","",IFERROR(INDEX('INPUT-SIF_Questions'!$B$2:$B$300,MATCH($A163,'INPUT-SIF_Questions'!$A$2:$A$300,0)),""))</f>
        <v/>
      </c>
      <c r="L163" s="29" t="str">
        <f>IF($A163="","",IFERROR(INDEX('INPUT-SIF_Questions'!$F$2:$F$300,MATCH($A163,'INPUT-SIF_Questions'!$A$2:$A$300,0)),""))</f>
        <v/>
      </c>
      <c r="M163" s="29" t="str">
        <f>IF($A163="","",IFERROR(INDEX('INPUT-SIF_Questions'!$G$2:$G$300,MATCH($A163,'INPUT-SIF_Questions'!$A$2:$A$300,0)),""))</f>
        <v/>
      </c>
      <c r="N163" s="29" t="str">
        <f>IF($A163="","",IFERROR(INDEX('INPUT-SIF_Questions'!$E$2:$E$300,MATCH($A163,'INPUT-SIF_Questions'!$A$2:$A$300,0)),""))</f>
        <v/>
      </c>
    </row>
    <row r="164" spans="11:14" ht="14.25" customHeight="1" x14ac:dyDescent="0.45">
      <c r="K164" s="29" t="str">
        <f>IF($A164="","",IFERROR(INDEX('INPUT-SIF_Questions'!$B$2:$B$300,MATCH($A164,'INPUT-SIF_Questions'!$A$2:$A$300,0)),""))</f>
        <v/>
      </c>
      <c r="L164" s="29" t="str">
        <f>IF($A164="","",IFERROR(INDEX('INPUT-SIF_Questions'!$F$2:$F$300,MATCH($A164,'INPUT-SIF_Questions'!$A$2:$A$300,0)),""))</f>
        <v/>
      </c>
      <c r="M164" s="29" t="str">
        <f>IF($A164="","",IFERROR(INDEX('INPUT-SIF_Questions'!$G$2:$G$300,MATCH($A164,'INPUT-SIF_Questions'!$A$2:$A$300,0)),""))</f>
        <v/>
      </c>
      <c r="N164" s="29" t="str">
        <f>IF($A164="","",IFERROR(INDEX('INPUT-SIF_Questions'!$E$2:$E$300,MATCH($A164,'INPUT-SIF_Questions'!$A$2:$A$300,0)),""))</f>
        <v/>
      </c>
    </row>
    <row r="165" spans="11:14" ht="14.25" customHeight="1" x14ac:dyDescent="0.45">
      <c r="K165" s="29" t="str">
        <f>IF($A165="","",IFERROR(INDEX('INPUT-SIF_Questions'!$B$2:$B$300,MATCH($A165,'INPUT-SIF_Questions'!$A$2:$A$300,0)),""))</f>
        <v/>
      </c>
      <c r="L165" s="29" t="str">
        <f>IF($A165="","",IFERROR(INDEX('INPUT-SIF_Questions'!$F$2:$F$300,MATCH($A165,'INPUT-SIF_Questions'!$A$2:$A$300,0)),""))</f>
        <v/>
      </c>
      <c r="M165" s="29" t="str">
        <f>IF($A165="","",IFERROR(INDEX('INPUT-SIF_Questions'!$G$2:$G$300,MATCH($A165,'INPUT-SIF_Questions'!$A$2:$A$300,0)),""))</f>
        <v/>
      </c>
      <c r="N165" s="29" t="str">
        <f>IF($A165="","",IFERROR(INDEX('INPUT-SIF_Questions'!$E$2:$E$300,MATCH($A165,'INPUT-SIF_Questions'!$A$2:$A$300,0)),""))</f>
        <v/>
      </c>
    </row>
    <row r="166" spans="11:14" ht="14.25" customHeight="1" x14ac:dyDescent="0.45">
      <c r="K166" s="29" t="str">
        <f>IF($A166="","",IFERROR(INDEX('INPUT-SIF_Questions'!$B$2:$B$300,MATCH($A166,'INPUT-SIF_Questions'!$A$2:$A$300,0)),""))</f>
        <v/>
      </c>
      <c r="L166" s="29" t="str">
        <f>IF($A166="","",IFERROR(INDEX('INPUT-SIF_Questions'!$F$2:$F$300,MATCH($A166,'INPUT-SIF_Questions'!$A$2:$A$300,0)),""))</f>
        <v/>
      </c>
      <c r="M166" s="29" t="str">
        <f>IF($A166="","",IFERROR(INDEX('INPUT-SIF_Questions'!$G$2:$G$300,MATCH($A166,'INPUT-SIF_Questions'!$A$2:$A$300,0)),""))</f>
        <v/>
      </c>
      <c r="N166" s="29" t="str">
        <f>IF($A166="","",IFERROR(INDEX('INPUT-SIF_Questions'!$E$2:$E$300,MATCH($A166,'INPUT-SIF_Questions'!$A$2:$A$300,0)),""))</f>
        <v/>
      </c>
    </row>
    <row r="167" spans="11:14" ht="14.25" customHeight="1" x14ac:dyDescent="0.45">
      <c r="K167" s="29" t="str">
        <f>IF($A167="","",IFERROR(INDEX('INPUT-SIF_Questions'!$B$2:$B$300,MATCH($A167,'INPUT-SIF_Questions'!$A$2:$A$300,0)),""))</f>
        <v/>
      </c>
      <c r="L167" s="29" t="str">
        <f>IF($A167="","",IFERROR(INDEX('INPUT-SIF_Questions'!$F$2:$F$300,MATCH($A167,'INPUT-SIF_Questions'!$A$2:$A$300,0)),""))</f>
        <v/>
      </c>
      <c r="M167" s="29" t="str">
        <f>IF($A167="","",IFERROR(INDEX('INPUT-SIF_Questions'!$G$2:$G$300,MATCH($A167,'INPUT-SIF_Questions'!$A$2:$A$300,0)),""))</f>
        <v/>
      </c>
      <c r="N167" s="29" t="str">
        <f>IF($A167="","",IFERROR(INDEX('INPUT-SIF_Questions'!$E$2:$E$300,MATCH($A167,'INPUT-SIF_Questions'!$A$2:$A$300,0)),""))</f>
        <v/>
      </c>
    </row>
    <row r="168" spans="11:14" ht="14.25" customHeight="1" x14ac:dyDescent="0.45">
      <c r="K168" s="29" t="str">
        <f>IF($A168="","",IFERROR(INDEX('INPUT-SIF_Questions'!$B$2:$B$300,MATCH($A168,'INPUT-SIF_Questions'!$A$2:$A$300,0)),""))</f>
        <v/>
      </c>
      <c r="L168" s="29" t="str">
        <f>IF($A168="","",IFERROR(INDEX('INPUT-SIF_Questions'!$F$2:$F$300,MATCH($A168,'INPUT-SIF_Questions'!$A$2:$A$300,0)),""))</f>
        <v/>
      </c>
      <c r="M168" s="29" t="str">
        <f>IF($A168="","",IFERROR(INDEX('INPUT-SIF_Questions'!$G$2:$G$300,MATCH($A168,'INPUT-SIF_Questions'!$A$2:$A$300,0)),""))</f>
        <v/>
      </c>
      <c r="N168" s="29" t="str">
        <f>IF($A168="","",IFERROR(INDEX('INPUT-SIF_Questions'!$E$2:$E$300,MATCH($A168,'INPUT-SIF_Questions'!$A$2:$A$300,0)),""))</f>
        <v/>
      </c>
    </row>
    <row r="169" spans="11:14" ht="14.25" customHeight="1" x14ac:dyDescent="0.45">
      <c r="K169" s="29" t="str">
        <f>IF($A169="","",IFERROR(INDEX('INPUT-SIF_Questions'!$B$2:$B$300,MATCH($A169,'INPUT-SIF_Questions'!$A$2:$A$300,0)),""))</f>
        <v/>
      </c>
      <c r="L169" s="29" t="str">
        <f>IF($A169="","",IFERROR(INDEX('INPUT-SIF_Questions'!$F$2:$F$300,MATCH($A169,'INPUT-SIF_Questions'!$A$2:$A$300,0)),""))</f>
        <v/>
      </c>
      <c r="M169" s="29" t="str">
        <f>IF($A169="","",IFERROR(INDEX('INPUT-SIF_Questions'!$G$2:$G$300,MATCH($A169,'INPUT-SIF_Questions'!$A$2:$A$300,0)),""))</f>
        <v/>
      </c>
      <c r="N169" s="29" t="str">
        <f>IF($A169="","",IFERROR(INDEX('INPUT-SIF_Questions'!$E$2:$E$300,MATCH($A169,'INPUT-SIF_Questions'!$A$2:$A$300,0)),""))</f>
        <v/>
      </c>
    </row>
    <row r="170" spans="11:14" ht="14.25" customHeight="1" x14ac:dyDescent="0.45">
      <c r="K170" s="29" t="str">
        <f>IF($A170="","",IFERROR(INDEX('INPUT-SIF_Questions'!$B$2:$B$300,MATCH($A170,'INPUT-SIF_Questions'!$A$2:$A$300,0)),""))</f>
        <v/>
      </c>
      <c r="L170" s="29" t="str">
        <f>IF($A170="","",IFERROR(INDEX('INPUT-SIF_Questions'!$F$2:$F$300,MATCH($A170,'INPUT-SIF_Questions'!$A$2:$A$300,0)),""))</f>
        <v/>
      </c>
      <c r="M170" s="29" t="str">
        <f>IF($A170="","",IFERROR(INDEX('INPUT-SIF_Questions'!$G$2:$G$300,MATCH($A170,'INPUT-SIF_Questions'!$A$2:$A$300,0)),""))</f>
        <v/>
      </c>
      <c r="N170" s="29" t="str">
        <f>IF($A170="","",IFERROR(INDEX('INPUT-SIF_Questions'!$E$2:$E$300,MATCH($A170,'INPUT-SIF_Questions'!$A$2:$A$300,0)),""))</f>
        <v/>
      </c>
    </row>
    <row r="171" spans="11:14" ht="14.25" customHeight="1" x14ac:dyDescent="0.45">
      <c r="K171" s="29" t="str">
        <f>IF($A171="","",IFERROR(INDEX('INPUT-SIF_Questions'!$B$2:$B$300,MATCH($A171,'INPUT-SIF_Questions'!$A$2:$A$300,0)),""))</f>
        <v/>
      </c>
      <c r="L171" s="29" t="str">
        <f>IF($A171="","",IFERROR(INDEX('INPUT-SIF_Questions'!$F$2:$F$300,MATCH($A171,'INPUT-SIF_Questions'!$A$2:$A$300,0)),""))</f>
        <v/>
      </c>
      <c r="M171" s="29" t="str">
        <f>IF($A171="","",IFERROR(INDEX('INPUT-SIF_Questions'!$G$2:$G$300,MATCH($A171,'INPUT-SIF_Questions'!$A$2:$A$300,0)),""))</f>
        <v/>
      </c>
      <c r="N171" s="29" t="str">
        <f>IF($A171="","",IFERROR(INDEX('INPUT-SIF_Questions'!$E$2:$E$300,MATCH($A171,'INPUT-SIF_Questions'!$A$2:$A$300,0)),""))</f>
        <v/>
      </c>
    </row>
    <row r="172" spans="11:14" ht="14.25" customHeight="1" x14ac:dyDescent="0.45">
      <c r="K172" s="29" t="str">
        <f>IF($A172="","",IFERROR(INDEX('INPUT-SIF_Questions'!$B$2:$B$300,MATCH($A172,'INPUT-SIF_Questions'!$A$2:$A$300,0)),""))</f>
        <v/>
      </c>
      <c r="L172" s="29" t="str">
        <f>IF($A172="","",IFERROR(INDEX('INPUT-SIF_Questions'!$F$2:$F$300,MATCH($A172,'INPUT-SIF_Questions'!$A$2:$A$300,0)),""))</f>
        <v/>
      </c>
      <c r="M172" s="29" t="str">
        <f>IF($A172="","",IFERROR(INDEX('INPUT-SIF_Questions'!$G$2:$G$300,MATCH($A172,'INPUT-SIF_Questions'!$A$2:$A$300,0)),""))</f>
        <v/>
      </c>
      <c r="N172" s="29" t="str">
        <f>IF($A172="","",IFERROR(INDEX('INPUT-SIF_Questions'!$E$2:$E$300,MATCH($A172,'INPUT-SIF_Questions'!$A$2:$A$300,0)),""))</f>
        <v/>
      </c>
    </row>
    <row r="173" spans="11:14" ht="14.25" customHeight="1" x14ac:dyDescent="0.45">
      <c r="K173" s="29" t="str">
        <f>IF($A173="","",IFERROR(INDEX('INPUT-SIF_Questions'!$B$2:$B$300,MATCH($A173,'INPUT-SIF_Questions'!$A$2:$A$300,0)),""))</f>
        <v/>
      </c>
      <c r="L173" s="29" t="str">
        <f>IF($A173="","",IFERROR(INDEX('INPUT-SIF_Questions'!$F$2:$F$300,MATCH($A173,'INPUT-SIF_Questions'!$A$2:$A$300,0)),""))</f>
        <v/>
      </c>
      <c r="M173" s="29" t="str">
        <f>IF($A173="","",IFERROR(INDEX('INPUT-SIF_Questions'!$G$2:$G$300,MATCH($A173,'INPUT-SIF_Questions'!$A$2:$A$300,0)),""))</f>
        <v/>
      </c>
      <c r="N173" s="29" t="str">
        <f>IF($A173="","",IFERROR(INDEX('INPUT-SIF_Questions'!$E$2:$E$300,MATCH($A173,'INPUT-SIF_Questions'!$A$2:$A$300,0)),""))</f>
        <v/>
      </c>
    </row>
    <row r="174" spans="11:14" ht="14.25" customHeight="1" x14ac:dyDescent="0.45">
      <c r="K174" s="29" t="str">
        <f>IF($A174="","",IFERROR(INDEX('INPUT-SIF_Questions'!$B$2:$B$300,MATCH($A174,'INPUT-SIF_Questions'!$A$2:$A$300,0)),""))</f>
        <v/>
      </c>
      <c r="L174" s="29" t="str">
        <f>IF($A174="","",IFERROR(INDEX('INPUT-SIF_Questions'!$F$2:$F$300,MATCH($A174,'INPUT-SIF_Questions'!$A$2:$A$300,0)),""))</f>
        <v/>
      </c>
      <c r="M174" s="29" t="str">
        <f>IF($A174="","",IFERROR(INDEX('INPUT-SIF_Questions'!$G$2:$G$300,MATCH($A174,'INPUT-SIF_Questions'!$A$2:$A$300,0)),""))</f>
        <v/>
      </c>
      <c r="N174" s="29" t="str">
        <f>IF($A174="","",IFERROR(INDEX('INPUT-SIF_Questions'!$E$2:$E$300,MATCH($A174,'INPUT-SIF_Questions'!$A$2:$A$300,0)),""))</f>
        <v/>
      </c>
    </row>
    <row r="175" spans="11:14" ht="14.25" customHeight="1" x14ac:dyDescent="0.45">
      <c r="K175" s="29" t="str">
        <f>IF($A175="","",IFERROR(INDEX('INPUT-SIF_Questions'!$B$2:$B$300,MATCH($A175,'INPUT-SIF_Questions'!$A$2:$A$300,0)),""))</f>
        <v/>
      </c>
      <c r="L175" s="29" t="str">
        <f>IF($A175="","",IFERROR(INDEX('INPUT-SIF_Questions'!$F$2:$F$300,MATCH($A175,'INPUT-SIF_Questions'!$A$2:$A$300,0)),""))</f>
        <v/>
      </c>
      <c r="M175" s="29" t="str">
        <f>IF($A175="","",IFERROR(INDEX('INPUT-SIF_Questions'!$G$2:$G$300,MATCH($A175,'INPUT-SIF_Questions'!$A$2:$A$300,0)),""))</f>
        <v/>
      </c>
      <c r="N175" s="29" t="str">
        <f>IF($A175="","",IFERROR(INDEX('INPUT-SIF_Questions'!$E$2:$E$300,MATCH($A175,'INPUT-SIF_Questions'!$A$2:$A$300,0)),""))</f>
        <v/>
      </c>
    </row>
    <row r="176" spans="11:14" ht="14.25" customHeight="1" x14ac:dyDescent="0.45">
      <c r="K176" s="29" t="str">
        <f>IF($A176="","",IFERROR(INDEX('INPUT-SIF_Questions'!$B$2:$B$300,MATCH($A176,'INPUT-SIF_Questions'!$A$2:$A$300,0)),""))</f>
        <v/>
      </c>
      <c r="L176" s="29" t="str">
        <f>IF($A176="","",IFERROR(INDEX('INPUT-SIF_Questions'!$F$2:$F$300,MATCH($A176,'INPUT-SIF_Questions'!$A$2:$A$300,0)),""))</f>
        <v/>
      </c>
      <c r="M176" s="29" t="str">
        <f>IF($A176="","",IFERROR(INDEX('INPUT-SIF_Questions'!$G$2:$G$300,MATCH($A176,'INPUT-SIF_Questions'!$A$2:$A$300,0)),""))</f>
        <v/>
      </c>
      <c r="N176" s="29" t="str">
        <f>IF($A176="","",IFERROR(INDEX('INPUT-SIF_Questions'!$E$2:$E$300,MATCH($A176,'INPUT-SIF_Questions'!$A$2:$A$300,0)),""))</f>
        <v/>
      </c>
    </row>
    <row r="177" spans="11:14" ht="14.25" customHeight="1" x14ac:dyDescent="0.45">
      <c r="K177" s="29" t="str">
        <f>IF($A177="","",IFERROR(INDEX('INPUT-SIF_Questions'!$B$2:$B$300,MATCH($A177,'INPUT-SIF_Questions'!$A$2:$A$300,0)),""))</f>
        <v/>
      </c>
      <c r="L177" s="29" t="str">
        <f>IF($A177="","",IFERROR(INDEX('INPUT-SIF_Questions'!$F$2:$F$300,MATCH($A177,'INPUT-SIF_Questions'!$A$2:$A$300,0)),""))</f>
        <v/>
      </c>
      <c r="M177" s="29" t="str">
        <f>IF($A177="","",IFERROR(INDEX('INPUT-SIF_Questions'!$G$2:$G$300,MATCH($A177,'INPUT-SIF_Questions'!$A$2:$A$300,0)),""))</f>
        <v/>
      </c>
      <c r="N177" s="29" t="str">
        <f>IF($A177="","",IFERROR(INDEX('INPUT-SIF_Questions'!$E$2:$E$300,MATCH($A177,'INPUT-SIF_Questions'!$A$2:$A$300,0)),""))</f>
        <v/>
      </c>
    </row>
    <row r="178" spans="11:14" ht="14.25" customHeight="1" x14ac:dyDescent="0.45">
      <c r="K178" s="29" t="str">
        <f>IF($A178="","",IFERROR(INDEX('INPUT-SIF_Questions'!$B$2:$B$300,MATCH($A178,'INPUT-SIF_Questions'!$A$2:$A$300,0)),""))</f>
        <v/>
      </c>
      <c r="L178" s="29" t="str">
        <f>IF($A178="","",IFERROR(INDEX('INPUT-SIF_Questions'!$F$2:$F$300,MATCH($A178,'INPUT-SIF_Questions'!$A$2:$A$300,0)),""))</f>
        <v/>
      </c>
      <c r="M178" s="29" t="str">
        <f>IF($A178="","",IFERROR(INDEX('INPUT-SIF_Questions'!$G$2:$G$300,MATCH($A178,'INPUT-SIF_Questions'!$A$2:$A$300,0)),""))</f>
        <v/>
      </c>
      <c r="N178" s="29" t="str">
        <f>IF($A178="","",IFERROR(INDEX('INPUT-SIF_Questions'!$E$2:$E$300,MATCH($A178,'INPUT-SIF_Questions'!$A$2:$A$300,0)),""))</f>
        <v/>
      </c>
    </row>
    <row r="179" spans="11:14" ht="14.25" customHeight="1" x14ac:dyDescent="0.45">
      <c r="K179" s="29" t="str">
        <f>IF($A179="","",IFERROR(INDEX('INPUT-SIF_Questions'!$B$2:$B$300,MATCH($A179,'INPUT-SIF_Questions'!$A$2:$A$300,0)),""))</f>
        <v/>
      </c>
      <c r="L179" s="29" t="str">
        <f>IF($A179="","",IFERROR(INDEX('INPUT-SIF_Questions'!$F$2:$F$300,MATCH($A179,'INPUT-SIF_Questions'!$A$2:$A$300,0)),""))</f>
        <v/>
      </c>
      <c r="M179" s="29" t="str">
        <f>IF($A179="","",IFERROR(INDEX('INPUT-SIF_Questions'!$G$2:$G$300,MATCH($A179,'INPUT-SIF_Questions'!$A$2:$A$300,0)),""))</f>
        <v/>
      </c>
      <c r="N179" s="29" t="str">
        <f>IF($A179="","",IFERROR(INDEX('INPUT-SIF_Questions'!$E$2:$E$300,MATCH($A179,'INPUT-SIF_Questions'!$A$2:$A$300,0)),""))</f>
        <v/>
      </c>
    </row>
    <row r="180" spans="11:14" ht="14.25" customHeight="1" x14ac:dyDescent="0.45">
      <c r="K180" s="29" t="str">
        <f>IF($A180="","",IFERROR(INDEX('INPUT-SIF_Questions'!$B$2:$B$300,MATCH($A180,'INPUT-SIF_Questions'!$A$2:$A$300,0)),""))</f>
        <v/>
      </c>
      <c r="L180" s="29" t="str">
        <f>IF($A180="","",IFERROR(INDEX('INPUT-SIF_Questions'!$F$2:$F$300,MATCH($A180,'INPUT-SIF_Questions'!$A$2:$A$300,0)),""))</f>
        <v/>
      </c>
      <c r="M180" s="29" t="str">
        <f>IF($A180="","",IFERROR(INDEX('INPUT-SIF_Questions'!$G$2:$G$300,MATCH($A180,'INPUT-SIF_Questions'!$A$2:$A$300,0)),""))</f>
        <v/>
      </c>
      <c r="N180" s="29" t="str">
        <f>IF($A180="","",IFERROR(INDEX('INPUT-SIF_Questions'!$E$2:$E$300,MATCH($A180,'INPUT-SIF_Questions'!$A$2:$A$300,0)),""))</f>
        <v/>
      </c>
    </row>
    <row r="181" spans="11:14" ht="14.25" customHeight="1" x14ac:dyDescent="0.45">
      <c r="K181" s="29" t="str">
        <f>IF($A181="","",IFERROR(INDEX('INPUT-SIF_Questions'!$B$2:$B$300,MATCH($A181,'INPUT-SIF_Questions'!$A$2:$A$300,0)),""))</f>
        <v/>
      </c>
      <c r="L181" s="29" t="str">
        <f>IF($A181="","",IFERROR(INDEX('INPUT-SIF_Questions'!$F$2:$F$300,MATCH($A181,'INPUT-SIF_Questions'!$A$2:$A$300,0)),""))</f>
        <v/>
      </c>
      <c r="M181" s="29" t="str">
        <f>IF($A181="","",IFERROR(INDEX('INPUT-SIF_Questions'!$G$2:$G$300,MATCH($A181,'INPUT-SIF_Questions'!$A$2:$A$300,0)),""))</f>
        <v/>
      </c>
      <c r="N181" s="29" t="str">
        <f>IF($A181="","",IFERROR(INDEX('INPUT-SIF_Questions'!$E$2:$E$300,MATCH($A181,'INPUT-SIF_Questions'!$A$2:$A$300,0)),""))</f>
        <v/>
      </c>
    </row>
    <row r="182" spans="11:14" ht="14.25" customHeight="1" x14ac:dyDescent="0.45">
      <c r="K182" s="29" t="str">
        <f>IF($A182="","",IFERROR(INDEX('INPUT-SIF_Questions'!$B$2:$B$300,MATCH($A182,'INPUT-SIF_Questions'!$A$2:$A$300,0)),""))</f>
        <v/>
      </c>
      <c r="L182" s="29" t="str">
        <f>IF($A182="","",IFERROR(INDEX('INPUT-SIF_Questions'!$F$2:$F$300,MATCH($A182,'INPUT-SIF_Questions'!$A$2:$A$300,0)),""))</f>
        <v/>
      </c>
      <c r="M182" s="29" t="str">
        <f>IF($A182="","",IFERROR(INDEX('INPUT-SIF_Questions'!$G$2:$G$300,MATCH($A182,'INPUT-SIF_Questions'!$A$2:$A$300,0)),""))</f>
        <v/>
      </c>
      <c r="N182" s="29" t="str">
        <f>IF($A182="","",IFERROR(INDEX('INPUT-SIF_Questions'!$E$2:$E$300,MATCH($A182,'INPUT-SIF_Questions'!$A$2:$A$300,0)),""))</f>
        <v/>
      </c>
    </row>
    <row r="183" spans="11:14" ht="14.25" customHeight="1" x14ac:dyDescent="0.45">
      <c r="K183" s="29" t="str">
        <f>IF($A183="","",IFERROR(INDEX('INPUT-SIF_Questions'!$B$2:$B$300,MATCH($A183,'INPUT-SIF_Questions'!$A$2:$A$300,0)),""))</f>
        <v/>
      </c>
      <c r="L183" s="29" t="str">
        <f>IF($A183="","",IFERROR(INDEX('INPUT-SIF_Questions'!$F$2:$F$300,MATCH($A183,'INPUT-SIF_Questions'!$A$2:$A$300,0)),""))</f>
        <v/>
      </c>
      <c r="M183" s="29" t="str">
        <f>IF($A183="","",IFERROR(INDEX('INPUT-SIF_Questions'!$G$2:$G$300,MATCH($A183,'INPUT-SIF_Questions'!$A$2:$A$300,0)),""))</f>
        <v/>
      </c>
      <c r="N183" s="29" t="str">
        <f>IF($A183="","",IFERROR(INDEX('INPUT-SIF_Questions'!$E$2:$E$300,MATCH($A183,'INPUT-SIF_Questions'!$A$2:$A$300,0)),""))</f>
        <v/>
      </c>
    </row>
    <row r="184" spans="11:14" ht="14.25" customHeight="1" x14ac:dyDescent="0.45">
      <c r="K184" s="29" t="str">
        <f>IF($A184="","",IFERROR(INDEX('INPUT-SIF_Questions'!$B$2:$B$300,MATCH($A184,'INPUT-SIF_Questions'!$A$2:$A$300,0)),""))</f>
        <v/>
      </c>
      <c r="L184" s="29" t="str">
        <f>IF($A184="","",IFERROR(INDEX('INPUT-SIF_Questions'!$F$2:$F$300,MATCH($A184,'INPUT-SIF_Questions'!$A$2:$A$300,0)),""))</f>
        <v/>
      </c>
      <c r="M184" s="29" t="str">
        <f>IF($A184="","",IFERROR(INDEX('INPUT-SIF_Questions'!$G$2:$G$300,MATCH($A184,'INPUT-SIF_Questions'!$A$2:$A$300,0)),""))</f>
        <v/>
      </c>
      <c r="N184" s="29" t="str">
        <f>IF($A184="","",IFERROR(INDEX('INPUT-SIF_Questions'!$E$2:$E$300,MATCH($A184,'INPUT-SIF_Questions'!$A$2:$A$300,0)),""))</f>
        <v/>
      </c>
    </row>
    <row r="185" spans="11:14" ht="14.25" customHeight="1" x14ac:dyDescent="0.45">
      <c r="K185" s="29" t="str">
        <f>IF($A185="","",IFERROR(INDEX('INPUT-SIF_Questions'!$B$2:$B$300,MATCH($A185,'INPUT-SIF_Questions'!$A$2:$A$300,0)),""))</f>
        <v/>
      </c>
      <c r="L185" s="29" t="str">
        <f>IF($A185="","",IFERROR(INDEX('INPUT-SIF_Questions'!$F$2:$F$300,MATCH($A185,'INPUT-SIF_Questions'!$A$2:$A$300,0)),""))</f>
        <v/>
      </c>
      <c r="M185" s="29" t="str">
        <f>IF($A185="","",IFERROR(INDEX('INPUT-SIF_Questions'!$G$2:$G$300,MATCH($A185,'INPUT-SIF_Questions'!$A$2:$A$300,0)),""))</f>
        <v/>
      </c>
      <c r="N185" s="29" t="str">
        <f>IF($A185="","",IFERROR(INDEX('INPUT-SIF_Questions'!$E$2:$E$300,MATCH($A185,'INPUT-SIF_Questions'!$A$2:$A$300,0)),""))</f>
        <v/>
      </c>
    </row>
    <row r="186" spans="11:14" ht="14.25" customHeight="1" x14ac:dyDescent="0.45">
      <c r="K186" s="29" t="str">
        <f>IF($A186="","",IFERROR(INDEX('INPUT-SIF_Questions'!$B$2:$B$300,MATCH($A186,'INPUT-SIF_Questions'!$A$2:$A$300,0)),""))</f>
        <v/>
      </c>
      <c r="L186" s="29" t="str">
        <f>IF($A186="","",IFERROR(INDEX('INPUT-SIF_Questions'!$F$2:$F$300,MATCH($A186,'INPUT-SIF_Questions'!$A$2:$A$300,0)),""))</f>
        <v/>
      </c>
      <c r="M186" s="29" t="str">
        <f>IF($A186="","",IFERROR(INDEX('INPUT-SIF_Questions'!$G$2:$G$300,MATCH($A186,'INPUT-SIF_Questions'!$A$2:$A$300,0)),""))</f>
        <v/>
      </c>
      <c r="N186" s="29" t="str">
        <f>IF($A186="","",IFERROR(INDEX('INPUT-SIF_Questions'!$E$2:$E$300,MATCH($A186,'INPUT-SIF_Questions'!$A$2:$A$300,0)),""))</f>
        <v/>
      </c>
    </row>
    <row r="187" spans="11:14" ht="14.25" customHeight="1" x14ac:dyDescent="0.45">
      <c r="K187" s="29" t="str">
        <f>IF($A187="","",IFERROR(INDEX('INPUT-SIF_Questions'!$B$2:$B$300,MATCH($A187,'INPUT-SIF_Questions'!$A$2:$A$300,0)),""))</f>
        <v/>
      </c>
      <c r="L187" s="29" t="str">
        <f>IF($A187="","",IFERROR(INDEX('INPUT-SIF_Questions'!$F$2:$F$300,MATCH($A187,'INPUT-SIF_Questions'!$A$2:$A$300,0)),""))</f>
        <v/>
      </c>
      <c r="M187" s="29" t="str">
        <f>IF($A187="","",IFERROR(INDEX('INPUT-SIF_Questions'!$G$2:$G$300,MATCH($A187,'INPUT-SIF_Questions'!$A$2:$A$300,0)),""))</f>
        <v/>
      </c>
      <c r="N187" s="29" t="str">
        <f>IF($A187="","",IFERROR(INDEX('INPUT-SIF_Questions'!$E$2:$E$300,MATCH($A187,'INPUT-SIF_Questions'!$A$2:$A$300,0)),""))</f>
        <v/>
      </c>
    </row>
    <row r="188" spans="11:14" ht="14.25" customHeight="1" x14ac:dyDescent="0.45">
      <c r="K188" s="29" t="str">
        <f>IF($A188="","",IFERROR(INDEX('INPUT-SIF_Questions'!$B$2:$B$300,MATCH($A188,'INPUT-SIF_Questions'!$A$2:$A$300,0)),""))</f>
        <v/>
      </c>
      <c r="L188" s="29" t="str">
        <f>IF($A188="","",IFERROR(INDEX('INPUT-SIF_Questions'!$F$2:$F$300,MATCH($A188,'INPUT-SIF_Questions'!$A$2:$A$300,0)),""))</f>
        <v/>
      </c>
      <c r="M188" s="29" t="str">
        <f>IF($A188="","",IFERROR(INDEX('INPUT-SIF_Questions'!$G$2:$G$300,MATCH($A188,'INPUT-SIF_Questions'!$A$2:$A$300,0)),""))</f>
        <v/>
      </c>
      <c r="N188" s="29" t="str">
        <f>IF($A188="","",IFERROR(INDEX('INPUT-SIF_Questions'!$E$2:$E$300,MATCH($A188,'INPUT-SIF_Questions'!$A$2:$A$300,0)),""))</f>
        <v/>
      </c>
    </row>
    <row r="189" spans="11:14" ht="14.25" customHeight="1" x14ac:dyDescent="0.45">
      <c r="K189" s="29" t="str">
        <f>IF($A189="","",IFERROR(INDEX('INPUT-SIF_Questions'!$B$2:$B$300,MATCH($A189,'INPUT-SIF_Questions'!$A$2:$A$300,0)),""))</f>
        <v/>
      </c>
      <c r="L189" s="29" t="str">
        <f>IF($A189="","",IFERROR(INDEX('INPUT-SIF_Questions'!$F$2:$F$300,MATCH($A189,'INPUT-SIF_Questions'!$A$2:$A$300,0)),""))</f>
        <v/>
      </c>
      <c r="M189" s="29" t="str">
        <f>IF($A189="","",IFERROR(INDEX('INPUT-SIF_Questions'!$G$2:$G$300,MATCH($A189,'INPUT-SIF_Questions'!$A$2:$A$300,0)),""))</f>
        <v/>
      </c>
      <c r="N189" s="29" t="str">
        <f>IF($A189="","",IFERROR(INDEX('INPUT-SIF_Questions'!$E$2:$E$300,MATCH($A189,'INPUT-SIF_Questions'!$A$2:$A$300,0)),""))</f>
        <v/>
      </c>
    </row>
    <row r="190" spans="11:14" ht="14.25" customHeight="1" x14ac:dyDescent="0.45">
      <c r="K190" s="29" t="str">
        <f>IF($A190="","",IFERROR(INDEX('INPUT-SIF_Questions'!$B$2:$B$300,MATCH($A190,'INPUT-SIF_Questions'!$A$2:$A$300,0)),""))</f>
        <v/>
      </c>
      <c r="L190" s="29" t="str">
        <f>IF($A190="","",IFERROR(INDEX('INPUT-SIF_Questions'!$F$2:$F$300,MATCH($A190,'INPUT-SIF_Questions'!$A$2:$A$300,0)),""))</f>
        <v/>
      </c>
      <c r="M190" s="29" t="str">
        <f>IF($A190="","",IFERROR(INDEX('INPUT-SIF_Questions'!$G$2:$G$300,MATCH($A190,'INPUT-SIF_Questions'!$A$2:$A$300,0)),""))</f>
        <v/>
      </c>
      <c r="N190" s="29" t="str">
        <f>IF($A190="","",IFERROR(INDEX('INPUT-SIF_Questions'!$E$2:$E$300,MATCH($A190,'INPUT-SIF_Questions'!$A$2:$A$300,0)),""))</f>
        <v/>
      </c>
    </row>
    <row r="191" spans="11:14" ht="14.25" customHeight="1" x14ac:dyDescent="0.45">
      <c r="K191" s="29" t="str">
        <f>IF($A191="","",IFERROR(INDEX('INPUT-SIF_Questions'!$B$2:$B$300,MATCH($A191,'INPUT-SIF_Questions'!$A$2:$A$300,0)),""))</f>
        <v/>
      </c>
      <c r="L191" s="29" t="str">
        <f>IF($A191="","",IFERROR(INDEX('INPUT-SIF_Questions'!$F$2:$F$300,MATCH($A191,'INPUT-SIF_Questions'!$A$2:$A$300,0)),""))</f>
        <v/>
      </c>
      <c r="M191" s="29" t="str">
        <f>IF($A191="","",IFERROR(INDEX('INPUT-SIF_Questions'!$G$2:$G$300,MATCH($A191,'INPUT-SIF_Questions'!$A$2:$A$300,0)),""))</f>
        <v/>
      </c>
      <c r="N191" s="29" t="str">
        <f>IF($A191="","",IFERROR(INDEX('INPUT-SIF_Questions'!$E$2:$E$300,MATCH($A191,'INPUT-SIF_Questions'!$A$2:$A$300,0)),""))</f>
        <v/>
      </c>
    </row>
    <row r="192" spans="11:14" ht="14.25" customHeight="1" x14ac:dyDescent="0.45">
      <c r="K192" s="29" t="str">
        <f>IF($A192="","",IFERROR(INDEX('INPUT-SIF_Questions'!$B$2:$B$300,MATCH($A192,'INPUT-SIF_Questions'!$A$2:$A$300,0)),""))</f>
        <v/>
      </c>
      <c r="L192" s="29" t="str">
        <f>IF($A192="","",IFERROR(INDEX('INPUT-SIF_Questions'!$F$2:$F$300,MATCH($A192,'INPUT-SIF_Questions'!$A$2:$A$300,0)),""))</f>
        <v/>
      </c>
      <c r="M192" s="29" t="str">
        <f>IF($A192="","",IFERROR(INDEX('INPUT-SIF_Questions'!$G$2:$G$300,MATCH($A192,'INPUT-SIF_Questions'!$A$2:$A$300,0)),""))</f>
        <v/>
      </c>
      <c r="N192" s="29" t="str">
        <f>IF($A192="","",IFERROR(INDEX('INPUT-SIF_Questions'!$E$2:$E$300,MATCH($A192,'INPUT-SIF_Questions'!$A$2:$A$300,0)),""))</f>
        <v/>
      </c>
    </row>
    <row r="193" spans="11:14" ht="14.25" customHeight="1" x14ac:dyDescent="0.45">
      <c r="K193" s="29" t="str">
        <f>IF($A193="","",IFERROR(INDEX('INPUT-SIF_Questions'!$B$2:$B$300,MATCH($A193,'INPUT-SIF_Questions'!$A$2:$A$300,0)),""))</f>
        <v/>
      </c>
      <c r="L193" s="29" t="str">
        <f>IF($A193="","",IFERROR(INDEX('INPUT-SIF_Questions'!$F$2:$F$300,MATCH($A193,'INPUT-SIF_Questions'!$A$2:$A$300,0)),""))</f>
        <v/>
      </c>
      <c r="M193" s="29" t="str">
        <f>IF($A193="","",IFERROR(INDEX('INPUT-SIF_Questions'!$G$2:$G$300,MATCH($A193,'INPUT-SIF_Questions'!$A$2:$A$300,0)),""))</f>
        <v/>
      </c>
      <c r="N193" s="29" t="str">
        <f>IF($A193="","",IFERROR(INDEX('INPUT-SIF_Questions'!$E$2:$E$300,MATCH($A193,'INPUT-SIF_Questions'!$A$2:$A$300,0)),""))</f>
        <v/>
      </c>
    </row>
    <row r="194" spans="11:14" ht="14.25" customHeight="1" x14ac:dyDescent="0.45">
      <c r="K194" s="29" t="str">
        <f>IF($A194="","",IFERROR(INDEX('INPUT-SIF_Questions'!$B$2:$B$300,MATCH($A194,'INPUT-SIF_Questions'!$A$2:$A$300,0)),""))</f>
        <v/>
      </c>
      <c r="L194" s="29" t="str">
        <f>IF($A194="","",IFERROR(INDEX('INPUT-SIF_Questions'!$F$2:$F$300,MATCH($A194,'INPUT-SIF_Questions'!$A$2:$A$300,0)),""))</f>
        <v/>
      </c>
      <c r="M194" s="29" t="str">
        <f>IF($A194="","",IFERROR(INDEX('INPUT-SIF_Questions'!$G$2:$G$300,MATCH($A194,'INPUT-SIF_Questions'!$A$2:$A$300,0)),""))</f>
        <v/>
      </c>
      <c r="N194" s="29" t="str">
        <f>IF($A194="","",IFERROR(INDEX('INPUT-SIF_Questions'!$E$2:$E$300,MATCH($A194,'INPUT-SIF_Questions'!$A$2:$A$300,0)),""))</f>
        <v/>
      </c>
    </row>
    <row r="195" spans="11:14" ht="14.25" customHeight="1" x14ac:dyDescent="0.45">
      <c r="K195" s="29" t="str">
        <f>IF($A195="","",IFERROR(INDEX('INPUT-SIF_Questions'!$B$2:$B$300,MATCH($A195,'INPUT-SIF_Questions'!$A$2:$A$300,0)),""))</f>
        <v/>
      </c>
      <c r="L195" s="29" t="str">
        <f>IF($A195="","",IFERROR(INDEX('INPUT-SIF_Questions'!$F$2:$F$300,MATCH($A195,'INPUT-SIF_Questions'!$A$2:$A$300,0)),""))</f>
        <v/>
      </c>
      <c r="M195" s="29" t="str">
        <f>IF($A195="","",IFERROR(INDEX('INPUT-SIF_Questions'!$G$2:$G$300,MATCH($A195,'INPUT-SIF_Questions'!$A$2:$A$300,0)),""))</f>
        <v/>
      </c>
      <c r="N195" s="29" t="str">
        <f>IF($A195="","",IFERROR(INDEX('INPUT-SIF_Questions'!$E$2:$E$300,MATCH($A195,'INPUT-SIF_Questions'!$A$2:$A$300,0)),""))</f>
        <v/>
      </c>
    </row>
    <row r="196" spans="11:14" ht="14.25" customHeight="1" x14ac:dyDescent="0.45">
      <c r="K196" s="29" t="str">
        <f>IF($A196="","",IFERROR(INDEX('INPUT-SIF_Questions'!$B$2:$B$300,MATCH($A196,'INPUT-SIF_Questions'!$A$2:$A$300,0)),""))</f>
        <v/>
      </c>
      <c r="L196" s="29" t="str">
        <f>IF($A196="","",IFERROR(INDEX('INPUT-SIF_Questions'!$F$2:$F$300,MATCH($A196,'INPUT-SIF_Questions'!$A$2:$A$300,0)),""))</f>
        <v/>
      </c>
      <c r="M196" s="29" t="str">
        <f>IF($A196="","",IFERROR(INDEX('INPUT-SIF_Questions'!$G$2:$G$300,MATCH($A196,'INPUT-SIF_Questions'!$A$2:$A$300,0)),""))</f>
        <v/>
      </c>
      <c r="N196" s="29" t="str">
        <f>IF($A196="","",IFERROR(INDEX('INPUT-SIF_Questions'!$E$2:$E$300,MATCH($A196,'INPUT-SIF_Questions'!$A$2:$A$300,0)),""))</f>
        <v/>
      </c>
    </row>
    <row r="197" spans="11:14" ht="14.25" customHeight="1" x14ac:dyDescent="0.45">
      <c r="K197" s="29" t="str">
        <f>IF($A197="","",IFERROR(INDEX('INPUT-SIF_Questions'!$B$2:$B$300,MATCH($A197,'INPUT-SIF_Questions'!$A$2:$A$300,0)),""))</f>
        <v/>
      </c>
      <c r="L197" s="29" t="str">
        <f>IF($A197="","",IFERROR(INDEX('INPUT-SIF_Questions'!$F$2:$F$300,MATCH($A197,'INPUT-SIF_Questions'!$A$2:$A$300,0)),""))</f>
        <v/>
      </c>
      <c r="M197" s="29" t="str">
        <f>IF($A197="","",IFERROR(INDEX('INPUT-SIF_Questions'!$G$2:$G$300,MATCH($A197,'INPUT-SIF_Questions'!$A$2:$A$300,0)),""))</f>
        <v/>
      </c>
      <c r="N197" s="29" t="str">
        <f>IF($A197="","",IFERROR(INDEX('INPUT-SIF_Questions'!$E$2:$E$300,MATCH($A197,'INPUT-SIF_Questions'!$A$2:$A$300,0)),""))</f>
        <v/>
      </c>
    </row>
    <row r="198" spans="11:14" ht="14.25" customHeight="1" x14ac:dyDescent="0.45">
      <c r="K198" s="29" t="str">
        <f>IF($A198="","",IFERROR(INDEX('INPUT-SIF_Questions'!$B$2:$B$300,MATCH($A198,'INPUT-SIF_Questions'!$A$2:$A$300,0)),""))</f>
        <v/>
      </c>
      <c r="L198" s="29" t="str">
        <f>IF($A198="","",IFERROR(INDEX('INPUT-SIF_Questions'!$F$2:$F$300,MATCH($A198,'INPUT-SIF_Questions'!$A$2:$A$300,0)),""))</f>
        <v/>
      </c>
      <c r="M198" s="29" t="str">
        <f>IF($A198="","",IFERROR(INDEX('INPUT-SIF_Questions'!$G$2:$G$300,MATCH($A198,'INPUT-SIF_Questions'!$A$2:$A$300,0)),""))</f>
        <v/>
      </c>
      <c r="N198" s="29" t="str">
        <f>IF($A198="","",IFERROR(INDEX('INPUT-SIF_Questions'!$E$2:$E$300,MATCH($A198,'INPUT-SIF_Questions'!$A$2:$A$300,0)),""))</f>
        <v/>
      </c>
    </row>
    <row r="199" spans="11:14" ht="14.25" customHeight="1" x14ac:dyDescent="0.45">
      <c r="K199" s="29" t="str">
        <f>IF($A199="","",IFERROR(INDEX('INPUT-SIF_Questions'!$B$2:$B$300,MATCH($A199,'INPUT-SIF_Questions'!$A$2:$A$300,0)),""))</f>
        <v/>
      </c>
      <c r="L199" s="29" t="str">
        <f>IF($A199="","",IFERROR(INDEX('INPUT-SIF_Questions'!$F$2:$F$300,MATCH($A199,'INPUT-SIF_Questions'!$A$2:$A$300,0)),""))</f>
        <v/>
      </c>
      <c r="M199" s="29" t="str">
        <f>IF($A199="","",IFERROR(INDEX('INPUT-SIF_Questions'!$G$2:$G$300,MATCH($A199,'INPUT-SIF_Questions'!$A$2:$A$300,0)),""))</f>
        <v/>
      </c>
      <c r="N199" s="29" t="str">
        <f>IF($A199="","",IFERROR(INDEX('INPUT-SIF_Questions'!$E$2:$E$300,MATCH($A199,'INPUT-SIF_Questions'!$A$2:$A$300,0)),""))</f>
        <v/>
      </c>
    </row>
    <row r="200" spans="11:14" ht="14.25" customHeight="1" x14ac:dyDescent="0.45">
      <c r="K200" s="29" t="str">
        <f>IF($A200="","",IFERROR(INDEX('INPUT-SIF_Questions'!$B$2:$B$300,MATCH($A200,'INPUT-SIF_Questions'!$A$2:$A$300,0)),""))</f>
        <v/>
      </c>
      <c r="L200" s="29" t="str">
        <f>IF($A200="","",IFERROR(INDEX('INPUT-SIF_Questions'!$F$2:$F$300,MATCH($A200,'INPUT-SIF_Questions'!$A$2:$A$300,0)),""))</f>
        <v/>
      </c>
      <c r="M200" s="29" t="str">
        <f>IF($A200="","",IFERROR(INDEX('INPUT-SIF_Questions'!$G$2:$G$300,MATCH($A200,'INPUT-SIF_Questions'!$A$2:$A$300,0)),""))</f>
        <v/>
      </c>
      <c r="N200" s="29" t="str">
        <f>IF($A200="","",IFERROR(INDEX('INPUT-SIF_Questions'!$E$2:$E$300,MATCH($A200,'INPUT-SIF_Questions'!$A$2:$A$300,0)),""))</f>
        <v/>
      </c>
    </row>
    <row r="201" spans="11:14" ht="14.25" customHeight="1" x14ac:dyDescent="0.45">
      <c r="K201" s="29" t="str">
        <f>IF($A201="","",IFERROR(INDEX('INPUT-SIF_Questions'!$B$2:$B$300,MATCH($A201,'INPUT-SIF_Questions'!$A$2:$A$300,0)),""))</f>
        <v/>
      </c>
      <c r="L201" s="29" t="str">
        <f>IF($A201="","",IFERROR(INDEX('INPUT-SIF_Questions'!$F$2:$F$300,MATCH($A201,'INPUT-SIF_Questions'!$A$2:$A$300,0)),""))</f>
        <v/>
      </c>
      <c r="M201" s="29" t="str">
        <f>IF($A201="","",IFERROR(INDEX('INPUT-SIF_Questions'!$G$2:$G$300,MATCH($A201,'INPUT-SIF_Questions'!$A$2:$A$300,0)),""))</f>
        <v/>
      </c>
      <c r="N201" s="29" t="str">
        <f>IF($A201="","",IFERROR(INDEX('INPUT-SIF_Questions'!$E$2:$E$300,MATCH($A201,'INPUT-SIF_Questions'!$A$2:$A$300,0)),""))</f>
        <v/>
      </c>
    </row>
    <row r="202" spans="11:14" ht="14.25" customHeight="1" x14ac:dyDescent="0.45">
      <c r="K202" s="29" t="str">
        <f>IF($A202="","",IFERROR(INDEX('INPUT-SIF_Questions'!$B$2:$B$300,MATCH($A202,'INPUT-SIF_Questions'!$A$2:$A$300,0)),""))</f>
        <v/>
      </c>
      <c r="L202" s="29" t="str">
        <f>IF($A202="","",IFERROR(INDEX('INPUT-SIF_Questions'!$F$2:$F$300,MATCH($A202,'INPUT-SIF_Questions'!$A$2:$A$300,0)),""))</f>
        <v/>
      </c>
      <c r="M202" s="29" t="str">
        <f>IF($A202="","",IFERROR(INDEX('INPUT-SIF_Questions'!$G$2:$G$300,MATCH($A202,'INPUT-SIF_Questions'!$A$2:$A$300,0)),""))</f>
        <v/>
      </c>
      <c r="N202" s="29" t="str">
        <f>IF($A202="","",IFERROR(INDEX('INPUT-SIF_Questions'!$E$2:$E$300,MATCH($A202,'INPUT-SIF_Questions'!$A$2:$A$300,0)),""))</f>
        <v/>
      </c>
    </row>
    <row r="203" spans="11:14" ht="14.25" customHeight="1" x14ac:dyDescent="0.45">
      <c r="K203" s="29" t="str">
        <f>IF($A203="","",IFERROR(INDEX('INPUT-SIF_Questions'!$B$2:$B$300,MATCH($A203,'INPUT-SIF_Questions'!$A$2:$A$300,0)),""))</f>
        <v/>
      </c>
      <c r="L203" s="29" t="str">
        <f>IF($A203="","",IFERROR(INDEX('INPUT-SIF_Questions'!$F$2:$F$300,MATCH($A203,'INPUT-SIF_Questions'!$A$2:$A$300,0)),""))</f>
        <v/>
      </c>
      <c r="M203" s="29" t="str">
        <f>IF($A203="","",IFERROR(INDEX('INPUT-SIF_Questions'!$G$2:$G$300,MATCH($A203,'INPUT-SIF_Questions'!$A$2:$A$300,0)),""))</f>
        <v/>
      </c>
      <c r="N203" s="29" t="str">
        <f>IF($A203="","",IFERROR(INDEX('INPUT-SIF_Questions'!$E$2:$E$300,MATCH($A203,'INPUT-SIF_Questions'!$A$2:$A$300,0)),""))</f>
        <v/>
      </c>
    </row>
    <row r="204" spans="11:14" ht="14.25" customHeight="1" x14ac:dyDescent="0.45">
      <c r="K204" s="29" t="str">
        <f>IF($A204="","",IFERROR(INDEX('INPUT-SIF_Questions'!$B$2:$B$300,MATCH($A204,'INPUT-SIF_Questions'!$A$2:$A$300,0)),""))</f>
        <v/>
      </c>
      <c r="L204" s="29" t="str">
        <f>IF($A204="","",IFERROR(INDEX('INPUT-SIF_Questions'!$F$2:$F$300,MATCH($A204,'INPUT-SIF_Questions'!$A$2:$A$300,0)),""))</f>
        <v/>
      </c>
      <c r="M204" s="29" t="str">
        <f>IF($A204="","",IFERROR(INDEX('INPUT-SIF_Questions'!$G$2:$G$300,MATCH($A204,'INPUT-SIF_Questions'!$A$2:$A$300,0)),""))</f>
        <v/>
      </c>
      <c r="N204" s="29" t="str">
        <f>IF($A204="","",IFERROR(INDEX('INPUT-SIF_Questions'!$E$2:$E$300,MATCH($A204,'INPUT-SIF_Questions'!$A$2:$A$300,0)),""))</f>
        <v/>
      </c>
    </row>
    <row r="205" spans="11:14" ht="14.25" customHeight="1" x14ac:dyDescent="0.45">
      <c r="K205" s="29" t="str">
        <f>IF($A205="","",IFERROR(INDEX('INPUT-SIF_Questions'!$B$2:$B$300,MATCH($A205,'INPUT-SIF_Questions'!$A$2:$A$300,0)),""))</f>
        <v/>
      </c>
      <c r="L205" s="29" t="str">
        <f>IF($A205="","",IFERROR(INDEX('INPUT-SIF_Questions'!$F$2:$F$300,MATCH($A205,'INPUT-SIF_Questions'!$A$2:$A$300,0)),""))</f>
        <v/>
      </c>
      <c r="M205" s="29" t="str">
        <f>IF($A205="","",IFERROR(INDEX('INPUT-SIF_Questions'!$G$2:$G$300,MATCH($A205,'INPUT-SIF_Questions'!$A$2:$A$300,0)),""))</f>
        <v/>
      </c>
      <c r="N205" s="29" t="str">
        <f>IF($A205="","",IFERROR(INDEX('INPUT-SIF_Questions'!$E$2:$E$300,MATCH($A205,'INPUT-SIF_Questions'!$A$2:$A$300,0)),""))</f>
        <v/>
      </c>
    </row>
    <row r="206" spans="11:14" ht="14.25" customHeight="1" x14ac:dyDescent="0.45">
      <c r="K206" s="29" t="str">
        <f>IF($A206="","",IFERROR(INDEX('INPUT-SIF_Questions'!$B$2:$B$300,MATCH($A206,'INPUT-SIF_Questions'!$A$2:$A$300,0)),""))</f>
        <v/>
      </c>
      <c r="L206" s="29" t="str">
        <f>IF($A206="","",IFERROR(INDEX('INPUT-SIF_Questions'!$F$2:$F$300,MATCH($A206,'INPUT-SIF_Questions'!$A$2:$A$300,0)),""))</f>
        <v/>
      </c>
      <c r="M206" s="29" t="str">
        <f>IF($A206="","",IFERROR(INDEX('INPUT-SIF_Questions'!$G$2:$G$300,MATCH($A206,'INPUT-SIF_Questions'!$A$2:$A$300,0)),""))</f>
        <v/>
      </c>
      <c r="N206" s="29" t="str">
        <f>IF($A206="","",IFERROR(INDEX('INPUT-SIF_Questions'!$E$2:$E$300,MATCH($A206,'INPUT-SIF_Questions'!$A$2:$A$300,0)),""))</f>
        <v/>
      </c>
    </row>
    <row r="207" spans="11:14" ht="14.25" customHeight="1" x14ac:dyDescent="0.45">
      <c r="K207" s="29" t="str">
        <f>IF($A207="","",IFERROR(INDEX('INPUT-SIF_Questions'!$B$2:$B$300,MATCH($A207,'INPUT-SIF_Questions'!$A$2:$A$300,0)),""))</f>
        <v/>
      </c>
      <c r="L207" s="29" t="str">
        <f>IF($A207="","",IFERROR(INDEX('INPUT-SIF_Questions'!$F$2:$F$300,MATCH($A207,'INPUT-SIF_Questions'!$A$2:$A$300,0)),""))</f>
        <v/>
      </c>
      <c r="M207" s="29" t="str">
        <f>IF($A207="","",IFERROR(INDEX('INPUT-SIF_Questions'!$G$2:$G$300,MATCH($A207,'INPUT-SIF_Questions'!$A$2:$A$300,0)),""))</f>
        <v/>
      </c>
      <c r="N207" s="29" t="str">
        <f>IF($A207="","",IFERROR(INDEX('INPUT-SIF_Questions'!$E$2:$E$300,MATCH($A207,'INPUT-SIF_Questions'!$A$2:$A$300,0)),""))</f>
        <v/>
      </c>
    </row>
    <row r="208" spans="11:14" ht="14.25" customHeight="1" x14ac:dyDescent="0.45">
      <c r="K208" s="29" t="str">
        <f>IF($A208="","",IFERROR(INDEX('INPUT-SIF_Questions'!$B$2:$B$300,MATCH($A208,'INPUT-SIF_Questions'!$A$2:$A$300,0)),""))</f>
        <v/>
      </c>
      <c r="L208" s="29" t="str">
        <f>IF($A208="","",IFERROR(INDEX('INPUT-SIF_Questions'!$F$2:$F$300,MATCH($A208,'INPUT-SIF_Questions'!$A$2:$A$300,0)),""))</f>
        <v/>
      </c>
      <c r="M208" s="29" t="str">
        <f>IF($A208="","",IFERROR(INDEX('INPUT-SIF_Questions'!$G$2:$G$300,MATCH($A208,'INPUT-SIF_Questions'!$A$2:$A$300,0)),""))</f>
        <v/>
      </c>
      <c r="N208" s="29" t="str">
        <f>IF($A208="","",IFERROR(INDEX('INPUT-SIF_Questions'!$E$2:$E$300,MATCH($A208,'INPUT-SIF_Questions'!$A$2:$A$300,0)),""))</f>
        <v/>
      </c>
    </row>
    <row r="209" spans="11:14" ht="14.25" customHeight="1" x14ac:dyDescent="0.45">
      <c r="K209" s="29" t="str">
        <f>IF($A209="","",IFERROR(INDEX('INPUT-SIF_Questions'!$B$2:$B$300,MATCH($A209,'INPUT-SIF_Questions'!$A$2:$A$300,0)),""))</f>
        <v/>
      </c>
      <c r="L209" s="29" t="str">
        <f>IF($A209="","",IFERROR(INDEX('INPUT-SIF_Questions'!$F$2:$F$300,MATCH($A209,'INPUT-SIF_Questions'!$A$2:$A$300,0)),""))</f>
        <v/>
      </c>
      <c r="M209" s="29" t="str">
        <f>IF($A209="","",IFERROR(INDEX('INPUT-SIF_Questions'!$G$2:$G$300,MATCH($A209,'INPUT-SIF_Questions'!$A$2:$A$300,0)),""))</f>
        <v/>
      </c>
      <c r="N209" s="29" t="str">
        <f>IF($A209="","",IFERROR(INDEX('INPUT-SIF_Questions'!$E$2:$E$300,MATCH($A209,'INPUT-SIF_Questions'!$A$2:$A$300,0)),""))</f>
        <v/>
      </c>
    </row>
    <row r="210" spans="11:14" ht="14.25" customHeight="1" x14ac:dyDescent="0.45">
      <c r="K210" s="29" t="str">
        <f>IF($A210="","",IFERROR(INDEX('INPUT-SIF_Questions'!$B$2:$B$300,MATCH($A210,'INPUT-SIF_Questions'!$A$2:$A$300,0)),""))</f>
        <v/>
      </c>
      <c r="L210" s="29" t="str">
        <f>IF($A210="","",IFERROR(INDEX('INPUT-SIF_Questions'!$F$2:$F$300,MATCH($A210,'INPUT-SIF_Questions'!$A$2:$A$300,0)),""))</f>
        <v/>
      </c>
      <c r="M210" s="29" t="str">
        <f>IF($A210="","",IFERROR(INDEX('INPUT-SIF_Questions'!$G$2:$G$300,MATCH($A210,'INPUT-SIF_Questions'!$A$2:$A$300,0)),""))</f>
        <v/>
      </c>
      <c r="N210" s="29" t="str">
        <f>IF($A210="","",IFERROR(INDEX('INPUT-SIF_Questions'!$E$2:$E$300,MATCH($A210,'INPUT-SIF_Questions'!$A$2:$A$300,0)),""))</f>
        <v/>
      </c>
    </row>
    <row r="211" spans="11:14" ht="14.25" customHeight="1" x14ac:dyDescent="0.45">
      <c r="K211" s="29" t="str">
        <f>IF($A211="","",IFERROR(INDEX('INPUT-SIF_Questions'!$B$2:$B$300,MATCH($A211,'INPUT-SIF_Questions'!$A$2:$A$300,0)),""))</f>
        <v/>
      </c>
      <c r="L211" s="29" t="str">
        <f>IF($A211="","",IFERROR(INDEX('INPUT-SIF_Questions'!$F$2:$F$300,MATCH($A211,'INPUT-SIF_Questions'!$A$2:$A$300,0)),""))</f>
        <v/>
      </c>
      <c r="M211" s="29" t="str">
        <f>IF($A211="","",IFERROR(INDEX('INPUT-SIF_Questions'!$G$2:$G$300,MATCH($A211,'INPUT-SIF_Questions'!$A$2:$A$300,0)),""))</f>
        <v/>
      </c>
      <c r="N211" s="29" t="str">
        <f>IF($A211="","",IFERROR(INDEX('INPUT-SIF_Questions'!$E$2:$E$300,MATCH($A211,'INPUT-SIF_Questions'!$A$2:$A$300,0)),""))</f>
        <v/>
      </c>
    </row>
    <row r="212" spans="11:14" ht="14.25" customHeight="1" x14ac:dyDescent="0.45">
      <c r="K212" s="29" t="str">
        <f>IF($A212="","",IFERROR(INDEX('INPUT-SIF_Questions'!$B$2:$B$300,MATCH($A212,'INPUT-SIF_Questions'!$A$2:$A$300,0)),""))</f>
        <v/>
      </c>
      <c r="L212" s="29" t="str">
        <f>IF($A212="","",IFERROR(INDEX('INPUT-SIF_Questions'!$F$2:$F$300,MATCH($A212,'INPUT-SIF_Questions'!$A$2:$A$300,0)),""))</f>
        <v/>
      </c>
      <c r="M212" s="29" t="str">
        <f>IF($A212="","",IFERROR(INDEX('INPUT-SIF_Questions'!$G$2:$G$300,MATCH($A212,'INPUT-SIF_Questions'!$A$2:$A$300,0)),""))</f>
        <v/>
      </c>
      <c r="N212" s="29" t="str">
        <f>IF($A212="","",IFERROR(INDEX('INPUT-SIF_Questions'!$E$2:$E$300,MATCH($A212,'INPUT-SIF_Questions'!$A$2:$A$300,0)),""))</f>
        <v/>
      </c>
    </row>
    <row r="213" spans="11:14" ht="14.25" customHeight="1" x14ac:dyDescent="0.45">
      <c r="K213" s="29" t="str">
        <f>IF($A213="","",IFERROR(INDEX('INPUT-SIF_Questions'!$B$2:$B$300,MATCH($A213,'INPUT-SIF_Questions'!$A$2:$A$300,0)),""))</f>
        <v/>
      </c>
      <c r="L213" s="29" t="str">
        <f>IF($A213="","",IFERROR(INDEX('INPUT-SIF_Questions'!$F$2:$F$300,MATCH($A213,'INPUT-SIF_Questions'!$A$2:$A$300,0)),""))</f>
        <v/>
      </c>
      <c r="M213" s="29" t="str">
        <f>IF($A213="","",IFERROR(INDEX('INPUT-SIF_Questions'!$G$2:$G$300,MATCH($A213,'INPUT-SIF_Questions'!$A$2:$A$300,0)),""))</f>
        <v/>
      </c>
      <c r="N213" s="29" t="str">
        <f>IF($A213="","",IFERROR(INDEX('INPUT-SIF_Questions'!$E$2:$E$300,MATCH($A213,'INPUT-SIF_Questions'!$A$2:$A$300,0)),""))</f>
        <v/>
      </c>
    </row>
    <row r="214" spans="11:14" ht="14.25" customHeight="1" x14ac:dyDescent="0.45">
      <c r="K214" s="29" t="str">
        <f>IF($A214="","",IFERROR(INDEX('INPUT-SIF_Questions'!$B$2:$B$300,MATCH($A214,'INPUT-SIF_Questions'!$A$2:$A$300,0)),""))</f>
        <v/>
      </c>
      <c r="L214" s="29" t="str">
        <f>IF($A214="","",IFERROR(INDEX('INPUT-SIF_Questions'!$F$2:$F$300,MATCH($A214,'INPUT-SIF_Questions'!$A$2:$A$300,0)),""))</f>
        <v/>
      </c>
      <c r="M214" s="29" t="str">
        <f>IF($A214="","",IFERROR(INDEX('INPUT-SIF_Questions'!$G$2:$G$300,MATCH($A214,'INPUT-SIF_Questions'!$A$2:$A$300,0)),""))</f>
        <v/>
      </c>
      <c r="N214" s="29" t="str">
        <f>IF($A214="","",IFERROR(INDEX('INPUT-SIF_Questions'!$E$2:$E$300,MATCH($A214,'INPUT-SIF_Questions'!$A$2:$A$300,0)),""))</f>
        <v/>
      </c>
    </row>
    <row r="215" spans="11:14" ht="14.25" customHeight="1" x14ac:dyDescent="0.45">
      <c r="K215" s="29" t="str">
        <f>IF($A215="","",IFERROR(INDEX('INPUT-SIF_Questions'!$B$2:$B$300,MATCH($A215,'INPUT-SIF_Questions'!$A$2:$A$300,0)),""))</f>
        <v/>
      </c>
      <c r="L215" s="29" t="str">
        <f>IF($A215="","",IFERROR(INDEX('INPUT-SIF_Questions'!$F$2:$F$300,MATCH($A215,'INPUT-SIF_Questions'!$A$2:$A$300,0)),""))</f>
        <v/>
      </c>
      <c r="M215" s="29" t="str">
        <f>IF($A215="","",IFERROR(INDEX('INPUT-SIF_Questions'!$G$2:$G$300,MATCH($A215,'INPUT-SIF_Questions'!$A$2:$A$300,0)),""))</f>
        <v/>
      </c>
      <c r="N215" s="29" t="str">
        <f>IF($A215="","",IFERROR(INDEX('INPUT-SIF_Questions'!$E$2:$E$300,MATCH($A215,'INPUT-SIF_Questions'!$A$2:$A$300,0)),""))</f>
        <v/>
      </c>
    </row>
    <row r="216" spans="11:14" ht="14.25" customHeight="1" x14ac:dyDescent="0.45">
      <c r="K216" s="29" t="str">
        <f>IF($A216="","",IFERROR(INDEX('INPUT-SIF_Questions'!$B$2:$B$300,MATCH($A216,'INPUT-SIF_Questions'!$A$2:$A$300,0)),""))</f>
        <v/>
      </c>
      <c r="L216" s="29" t="str">
        <f>IF($A216="","",IFERROR(INDEX('INPUT-SIF_Questions'!$F$2:$F$300,MATCH($A216,'INPUT-SIF_Questions'!$A$2:$A$300,0)),""))</f>
        <v/>
      </c>
      <c r="M216" s="29" t="str">
        <f>IF($A216="","",IFERROR(INDEX('INPUT-SIF_Questions'!$G$2:$G$300,MATCH($A216,'INPUT-SIF_Questions'!$A$2:$A$300,0)),""))</f>
        <v/>
      </c>
      <c r="N216" s="29" t="str">
        <f>IF($A216="","",IFERROR(INDEX('INPUT-SIF_Questions'!$E$2:$E$300,MATCH($A216,'INPUT-SIF_Questions'!$A$2:$A$300,0)),""))</f>
        <v/>
      </c>
    </row>
    <row r="217" spans="11:14" ht="14.25" customHeight="1" x14ac:dyDescent="0.45">
      <c r="K217" s="29" t="str">
        <f>IF($A217="","",IFERROR(INDEX('INPUT-SIF_Questions'!$B$2:$B$300,MATCH($A217,'INPUT-SIF_Questions'!$A$2:$A$300,0)),""))</f>
        <v/>
      </c>
      <c r="L217" s="29" t="str">
        <f>IF($A217="","",IFERROR(INDEX('INPUT-SIF_Questions'!$F$2:$F$300,MATCH($A217,'INPUT-SIF_Questions'!$A$2:$A$300,0)),""))</f>
        <v/>
      </c>
      <c r="M217" s="29" t="str">
        <f>IF($A217="","",IFERROR(INDEX('INPUT-SIF_Questions'!$G$2:$G$300,MATCH($A217,'INPUT-SIF_Questions'!$A$2:$A$300,0)),""))</f>
        <v/>
      </c>
      <c r="N217" s="29" t="str">
        <f>IF($A217="","",IFERROR(INDEX('INPUT-SIF_Questions'!$E$2:$E$300,MATCH($A217,'INPUT-SIF_Questions'!$A$2:$A$300,0)),""))</f>
        <v/>
      </c>
    </row>
    <row r="218" spans="11:14" ht="14.25" customHeight="1" x14ac:dyDescent="0.45">
      <c r="K218" s="29" t="str">
        <f>IF($A218="","",IFERROR(INDEX('INPUT-SIF_Questions'!$B$2:$B$300,MATCH($A218,'INPUT-SIF_Questions'!$A$2:$A$300,0)),""))</f>
        <v/>
      </c>
      <c r="L218" s="29" t="str">
        <f>IF($A218="","",IFERROR(INDEX('INPUT-SIF_Questions'!$F$2:$F$300,MATCH($A218,'INPUT-SIF_Questions'!$A$2:$A$300,0)),""))</f>
        <v/>
      </c>
      <c r="M218" s="29" t="str">
        <f>IF($A218="","",IFERROR(INDEX('INPUT-SIF_Questions'!$G$2:$G$300,MATCH($A218,'INPUT-SIF_Questions'!$A$2:$A$300,0)),""))</f>
        <v/>
      </c>
      <c r="N218" s="29" t="str">
        <f>IF($A218="","",IFERROR(INDEX('INPUT-SIF_Questions'!$E$2:$E$300,MATCH($A218,'INPUT-SIF_Questions'!$A$2:$A$300,0)),""))</f>
        <v/>
      </c>
    </row>
    <row r="219" spans="11:14" ht="14.25" customHeight="1" x14ac:dyDescent="0.45">
      <c r="K219" s="29" t="str">
        <f>IF($A219="","",IFERROR(INDEX('INPUT-SIF_Questions'!$B$2:$B$300,MATCH($A219,'INPUT-SIF_Questions'!$A$2:$A$300,0)),""))</f>
        <v/>
      </c>
      <c r="L219" s="29" t="str">
        <f>IF($A219="","",IFERROR(INDEX('INPUT-SIF_Questions'!$F$2:$F$300,MATCH($A219,'INPUT-SIF_Questions'!$A$2:$A$300,0)),""))</f>
        <v/>
      </c>
      <c r="M219" s="29" t="str">
        <f>IF($A219="","",IFERROR(INDEX('INPUT-SIF_Questions'!$G$2:$G$300,MATCH($A219,'INPUT-SIF_Questions'!$A$2:$A$300,0)),""))</f>
        <v/>
      </c>
      <c r="N219" s="29" t="str">
        <f>IF($A219="","",IFERROR(INDEX('INPUT-SIF_Questions'!$E$2:$E$300,MATCH($A219,'INPUT-SIF_Questions'!$A$2:$A$300,0)),""))</f>
        <v/>
      </c>
    </row>
    <row r="220" spans="11:14" ht="14.25" customHeight="1" x14ac:dyDescent="0.45">
      <c r="K220" s="29" t="str">
        <f>IF($A220="","",IFERROR(INDEX('INPUT-SIF_Questions'!$B$2:$B$300,MATCH($A220,'INPUT-SIF_Questions'!$A$2:$A$300,0)),""))</f>
        <v/>
      </c>
      <c r="L220" s="29" t="str">
        <f>IF($A220="","",IFERROR(INDEX('INPUT-SIF_Questions'!$F$2:$F$300,MATCH($A220,'INPUT-SIF_Questions'!$A$2:$A$300,0)),""))</f>
        <v/>
      </c>
      <c r="M220" s="29" t="str">
        <f>IF($A220="","",IFERROR(INDEX('INPUT-SIF_Questions'!$G$2:$G$300,MATCH($A220,'INPUT-SIF_Questions'!$A$2:$A$300,0)),""))</f>
        <v/>
      </c>
      <c r="N220" s="29" t="str">
        <f>IF($A220="","",IFERROR(INDEX('INPUT-SIF_Questions'!$E$2:$E$300,MATCH($A220,'INPUT-SIF_Questions'!$A$2:$A$300,0)),""))</f>
        <v/>
      </c>
    </row>
    <row r="221" spans="11:14" ht="14.25" customHeight="1" x14ac:dyDescent="0.45">
      <c r="K221" s="29" t="str">
        <f>IF($A221="","",IFERROR(INDEX('INPUT-SIF_Questions'!$B$2:$B$300,MATCH($A221,'INPUT-SIF_Questions'!$A$2:$A$300,0)),""))</f>
        <v/>
      </c>
      <c r="L221" s="29" t="str">
        <f>IF($A221="","",IFERROR(INDEX('INPUT-SIF_Questions'!$F$2:$F$300,MATCH($A221,'INPUT-SIF_Questions'!$A$2:$A$300,0)),""))</f>
        <v/>
      </c>
      <c r="M221" s="29" t="str">
        <f>IF($A221="","",IFERROR(INDEX('INPUT-SIF_Questions'!$G$2:$G$300,MATCH($A221,'INPUT-SIF_Questions'!$A$2:$A$300,0)),""))</f>
        <v/>
      </c>
      <c r="N221" s="29" t="str">
        <f>IF($A221="","",IFERROR(INDEX('INPUT-SIF_Questions'!$E$2:$E$300,MATCH($A221,'INPUT-SIF_Questions'!$A$2:$A$300,0)),""))</f>
        <v/>
      </c>
    </row>
    <row r="222" spans="11:14" ht="14.25" customHeight="1" x14ac:dyDescent="0.45">
      <c r="K222" s="29" t="str">
        <f>IF($A222="","",IFERROR(INDEX('INPUT-SIF_Questions'!$B$2:$B$300,MATCH($A222,'INPUT-SIF_Questions'!$A$2:$A$300,0)),""))</f>
        <v/>
      </c>
      <c r="L222" s="29" t="str">
        <f>IF($A222="","",IFERROR(INDEX('INPUT-SIF_Questions'!$F$2:$F$300,MATCH($A222,'INPUT-SIF_Questions'!$A$2:$A$300,0)),""))</f>
        <v/>
      </c>
      <c r="M222" s="29" t="str">
        <f>IF($A222="","",IFERROR(INDEX('INPUT-SIF_Questions'!$G$2:$G$300,MATCH($A222,'INPUT-SIF_Questions'!$A$2:$A$300,0)),""))</f>
        <v/>
      </c>
      <c r="N222" s="29" t="str">
        <f>IF($A222="","",IFERROR(INDEX('INPUT-SIF_Questions'!$E$2:$E$300,MATCH($A222,'INPUT-SIF_Questions'!$A$2:$A$300,0)),""))</f>
        <v/>
      </c>
    </row>
    <row r="223" spans="11:14" ht="14.25" customHeight="1" x14ac:dyDescent="0.45">
      <c r="K223" s="29" t="str">
        <f>IF($A223="","",IFERROR(INDEX('INPUT-SIF_Questions'!$B$2:$B$300,MATCH($A223,'INPUT-SIF_Questions'!$A$2:$A$300,0)),""))</f>
        <v/>
      </c>
      <c r="L223" s="29" t="str">
        <f>IF($A223="","",IFERROR(INDEX('INPUT-SIF_Questions'!$F$2:$F$300,MATCH($A223,'INPUT-SIF_Questions'!$A$2:$A$300,0)),""))</f>
        <v/>
      </c>
      <c r="M223" s="29" t="str">
        <f>IF($A223="","",IFERROR(INDEX('INPUT-SIF_Questions'!$G$2:$G$300,MATCH($A223,'INPUT-SIF_Questions'!$A$2:$A$300,0)),""))</f>
        <v/>
      </c>
      <c r="N223" s="29" t="str">
        <f>IF($A223="","",IFERROR(INDEX('INPUT-SIF_Questions'!$E$2:$E$300,MATCH($A223,'INPUT-SIF_Questions'!$A$2:$A$300,0)),""))</f>
        <v/>
      </c>
    </row>
    <row r="224" spans="11:14" ht="14.25" customHeight="1" x14ac:dyDescent="0.45">
      <c r="K224" s="29" t="str">
        <f>IF($A224="","",IFERROR(INDEX('INPUT-SIF_Questions'!$B$2:$B$300,MATCH($A224,'INPUT-SIF_Questions'!$A$2:$A$300,0)),""))</f>
        <v/>
      </c>
      <c r="L224" s="29" t="str">
        <f>IF($A224="","",IFERROR(INDEX('INPUT-SIF_Questions'!$F$2:$F$300,MATCH($A224,'INPUT-SIF_Questions'!$A$2:$A$300,0)),""))</f>
        <v/>
      </c>
      <c r="M224" s="29" t="str">
        <f>IF($A224="","",IFERROR(INDEX('INPUT-SIF_Questions'!$G$2:$G$300,MATCH($A224,'INPUT-SIF_Questions'!$A$2:$A$300,0)),""))</f>
        <v/>
      </c>
      <c r="N224" s="29" t="str">
        <f>IF($A224="","",IFERROR(INDEX('INPUT-SIF_Questions'!$E$2:$E$300,MATCH($A224,'INPUT-SIF_Questions'!$A$2:$A$300,0)),""))</f>
        <v/>
      </c>
    </row>
    <row r="225" spans="11:14" ht="14.25" customHeight="1" x14ac:dyDescent="0.45">
      <c r="K225" s="29" t="str">
        <f>IF($A225="","",IFERROR(INDEX('INPUT-SIF_Questions'!$B$2:$B$300,MATCH($A225,'INPUT-SIF_Questions'!$A$2:$A$300,0)),""))</f>
        <v/>
      </c>
      <c r="L225" s="29" t="str">
        <f>IF($A225="","",IFERROR(INDEX('INPUT-SIF_Questions'!$F$2:$F$300,MATCH($A225,'INPUT-SIF_Questions'!$A$2:$A$300,0)),""))</f>
        <v/>
      </c>
      <c r="M225" s="29" t="str">
        <f>IF($A225="","",IFERROR(INDEX('INPUT-SIF_Questions'!$G$2:$G$300,MATCH($A225,'INPUT-SIF_Questions'!$A$2:$A$300,0)),""))</f>
        <v/>
      </c>
      <c r="N225" s="29" t="str">
        <f>IF($A225="","",IFERROR(INDEX('INPUT-SIF_Questions'!$E$2:$E$300,MATCH($A225,'INPUT-SIF_Questions'!$A$2:$A$300,0)),""))</f>
        <v/>
      </c>
    </row>
    <row r="226" spans="11:14" ht="14.25" customHeight="1" x14ac:dyDescent="0.45">
      <c r="K226" s="29" t="str">
        <f>IF($A226="","",IFERROR(INDEX('INPUT-SIF_Questions'!$B$2:$B$300,MATCH($A226,'INPUT-SIF_Questions'!$A$2:$A$300,0)),""))</f>
        <v/>
      </c>
      <c r="L226" s="29" t="str">
        <f>IF($A226="","",IFERROR(INDEX('INPUT-SIF_Questions'!$F$2:$F$300,MATCH($A226,'INPUT-SIF_Questions'!$A$2:$A$300,0)),""))</f>
        <v/>
      </c>
      <c r="M226" s="29" t="str">
        <f>IF($A226="","",IFERROR(INDEX('INPUT-SIF_Questions'!$G$2:$G$300,MATCH($A226,'INPUT-SIF_Questions'!$A$2:$A$300,0)),""))</f>
        <v/>
      </c>
      <c r="N226" s="29" t="str">
        <f>IF($A226="","",IFERROR(INDEX('INPUT-SIF_Questions'!$E$2:$E$300,MATCH($A226,'INPUT-SIF_Questions'!$A$2:$A$300,0)),""))</f>
        <v/>
      </c>
    </row>
    <row r="227" spans="11:14" ht="14.25" customHeight="1" x14ac:dyDescent="0.45">
      <c r="K227" s="29" t="str">
        <f>IF($A227="","",IFERROR(INDEX('INPUT-SIF_Questions'!$B$2:$B$300,MATCH($A227,'INPUT-SIF_Questions'!$A$2:$A$300,0)),""))</f>
        <v/>
      </c>
      <c r="L227" s="29" t="str">
        <f>IF($A227="","",IFERROR(INDEX('INPUT-SIF_Questions'!$F$2:$F$300,MATCH($A227,'INPUT-SIF_Questions'!$A$2:$A$300,0)),""))</f>
        <v/>
      </c>
      <c r="M227" s="29" t="str">
        <f>IF($A227="","",IFERROR(INDEX('INPUT-SIF_Questions'!$G$2:$G$300,MATCH($A227,'INPUT-SIF_Questions'!$A$2:$A$300,0)),""))</f>
        <v/>
      </c>
      <c r="N227" s="29" t="str">
        <f>IF($A227="","",IFERROR(INDEX('INPUT-SIF_Questions'!$E$2:$E$300,MATCH($A227,'INPUT-SIF_Questions'!$A$2:$A$300,0)),""))</f>
        <v/>
      </c>
    </row>
    <row r="228" spans="11:14" ht="14.25" customHeight="1" x14ac:dyDescent="0.45">
      <c r="K228" s="29" t="str">
        <f>IF($A228="","",IFERROR(INDEX('INPUT-SIF_Questions'!$B$2:$B$300,MATCH($A228,'INPUT-SIF_Questions'!$A$2:$A$300,0)),""))</f>
        <v/>
      </c>
      <c r="L228" s="29" t="str">
        <f>IF($A228="","",IFERROR(INDEX('INPUT-SIF_Questions'!$F$2:$F$300,MATCH($A228,'INPUT-SIF_Questions'!$A$2:$A$300,0)),""))</f>
        <v/>
      </c>
      <c r="M228" s="29" t="str">
        <f>IF($A228="","",IFERROR(INDEX('INPUT-SIF_Questions'!$G$2:$G$300,MATCH($A228,'INPUT-SIF_Questions'!$A$2:$A$300,0)),""))</f>
        <v/>
      </c>
      <c r="N228" s="29" t="str">
        <f>IF($A228="","",IFERROR(INDEX('INPUT-SIF_Questions'!$E$2:$E$300,MATCH($A228,'INPUT-SIF_Questions'!$A$2:$A$300,0)),""))</f>
        <v/>
      </c>
    </row>
    <row r="229" spans="11:14" ht="14.25" customHeight="1" x14ac:dyDescent="0.45">
      <c r="K229" s="29" t="str">
        <f>IF($A229="","",IFERROR(INDEX('INPUT-SIF_Questions'!$B$2:$B$300,MATCH($A229,'INPUT-SIF_Questions'!$A$2:$A$300,0)),""))</f>
        <v/>
      </c>
      <c r="L229" s="29" t="str">
        <f>IF($A229="","",IFERROR(INDEX('INPUT-SIF_Questions'!$F$2:$F$300,MATCH($A229,'INPUT-SIF_Questions'!$A$2:$A$300,0)),""))</f>
        <v/>
      </c>
      <c r="M229" s="29" t="str">
        <f>IF($A229="","",IFERROR(INDEX('INPUT-SIF_Questions'!$G$2:$G$300,MATCH($A229,'INPUT-SIF_Questions'!$A$2:$A$300,0)),""))</f>
        <v/>
      </c>
      <c r="N229" s="29" t="str">
        <f>IF($A229="","",IFERROR(INDEX('INPUT-SIF_Questions'!$E$2:$E$300,MATCH($A229,'INPUT-SIF_Questions'!$A$2:$A$300,0)),""))</f>
        <v/>
      </c>
    </row>
    <row r="230" spans="11:14" ht="14.25" customHeight="1" x14ac:dyDescent="0.45">
      <c r="K230" s="29" t="str">
        <f>IF($A230="","",IFERROR(INDEX('INPUT-SIF_Questions'!$B$2:$B$300,MATCH($A230,'INPUT-SIF_Questions'!$A$2:$A$300,0)),""))</f>
        <v/>
      </c>
      <c r="L230" s="29" t="str">
        <f>IF($A230="","",IFERROR(INDEX('INPUT-SIF_Questions'!$F$2:$F$300,MATCH($A230,'INPUT-SIF_Questions'!$A$2:$A$300,0)),""))</f>
        <v/>
      </c>
      <c r="M230" s="29" t="str">
        <f>IF($A230="","",IFERROR(INDEX('INPUT-SIF_Questions'!$G$2:$G$300,MATCH($A230,'INPUT-SIF_Questions'!$A$2:$A$300,0)),""))</f>
        <v/>
      </c>
      <c r="N230" s="29" t="str">
        <f>IF($A230="","",IFERROR(INDEX('INPUT-SIF_Questions'!$E$2:$E$300,MATCH($A230,'INPUT-SIF_Questions'!$A$2:$A$300,0)),""))</f>
        <v/>
      </c>
    </row>
    <row r="231" spans="11:14" ht="14.25" customHeight="1" x14ac:dyDescent="0.45">
      <c r="K231" s="29" t="str">
        <f>IF($A231="","",IFERROR(INDEX('INPUT-SIF_Questions'!$B$2:$B$300,MATCH($A231,'INPUT-SIF_Questions'!$A$2:$A$300,0)),""))</f>
        <v/>
      </c>
      <c r="L231" s="29" t="str">
        <f>IF($A231="","",IFERROR(INDEX('INPUT-SIF_Questions'!$F$2:$F$300,MATCH($A231,'INPUT-SIF_Questions'!$A$2:$A$300,0)),""))</f>
        <v/>
      </c>
      <c r="M231" s="29" t="str">
        <f>IF($A231="","",IFERROR(INDEX('INPUT-SIF_Questions'!$G$2:$G$300,MATCH($A231,'INPUT-SIF_Questions'!$A$2:$A$300,0)),""))</f>
        <v/>
      </c>
      <c r="N231" s="29" t="str">
        <f>IF($A231="","",IFERROR(INDEX('INPUT-SIF_Questions'!$E$2:$E$300,MATCH($A231,'INPUT-SIF_Questions'!$A$2:$A$300,0)),""))</f>
        <v/>
      </c>
    </row>
    <row r="232" spans="11:14" ht="14.25" customHeight="1" x14ac:dyDescent="0.45">
      <c r="K232" s="29" t="str">
        <f>IF($A232="","",IFERROR(INDEX('INPUT-SIF_Questions'!$B$2:$B$300,MATCH($A232,'INPUT-SIF_Questions'!$A$2:$A$300,0)),""))</f>
        <v/>
      </c>
      <c r="L232" s="29" t="str">
        <f>IF($A232="","",IFERROR(INDEX('INPUT-SIF_Questions'!$F$2:$F$300,MATCH($A232,'INPUT-SIF_Questions'!$A$2:$A$300,0)),""))</f>
        <v/>
      </c>
      <c r="M232" s="29" t="str">
        <f>IF($A232="","",IFERROR(INDEX('INPUT-SIF_Questions'!$G$2:$G$300,MATCH($A232,'INPUT-SIF_Questions'!$A$2:$A$300,0)),""))</f>
        <v/>
      </c>
      <c r="N232" s="29" t="str">
        <f>IF($A232="","",IFERROR(INDEX('INPUT-SIF_Questions'!$E$2:$E$300,MATCH($A232,'INPUT-SIF_Questions'!$A$2:$A$300,0)),""))</f>
        <v/>
      </c>
    </row>
    <row r="233" spans="11:14" ht="14.25" customHeight="1" x14ac:dyDescent="0.45">
      <c r="K233" s="29" t="str">
        <f>IF($A233="","",IFERROR(INDEX('INPUT-SIF_Questions'!$B$2:$B$300,MATCH($A233,'INPUT-SIF_Questions'!$A$2:$A$300,0)),""))</f>
        <v/>
      </c>
      <c r="L233" s="29" t="str">
        <f>IF($A233="","",IFERROR(INDEX('INPUT-SIF_Questions'!$F$2:$F$300,MATCH($A233,'INPUT-SIF_Questions'!$A$2:$A$300,0)),""))</f>
        <v/>
      </c>
      <c r="M233" s="29" t="str">
        <f>IF($A233="","",IFERROR(INDEX('INPUT-SIF_Questions'!$G$2:$G$300,MATCH($A233,'INPUT-SIF_Questions'!$A$2:$A$300,0)),""))</f>
        <v/>
      </c>
      <c r="N233" s="29" t="str">
        <f>IF($A233="","",IFERROR(INDEX('INPUT-SIF_Questions'!$E$2:$E$300,MATCH($A233,'INPUT-SIF_Questions'!$A$2:$A$300,0)),""))</f>
        <v/>
      </c>
    </row>
    <row r="234" spans="11:14" ht="14.25" customHeight="1" x14ac:dyDescent="0.45">
      <c r="K234" s="29" t="str">
        <f>IF($A234="","",IFERROR(INDEX('INPUT-SIF_Questions'!$B$2:$B$300,MATCH($A234,'INPUT-SIF_Questions'!$A$2:$A$300,0)),""))</f>
        <v/>
      </c>
      <c r="L234" s="29" t="str">
        <f>IF($A234="","",IFERROR(INDEX('INPUT-SIF_Questions'!$F$2:$F$300,MATCH($A234,'INPUT-SIF_Questions'!$A$2:$A$300,0)),""))</f>
        <v/>
      </c>
      <c r="M234" s="29" t="str">
        <f>IF($A234="","",IFERROR(INDEX('INPUT-SIF_Questions'!$G$2:$G$300,MATCH($A234,'INPUT-SIF_Questions'!$A$2:$A$300,0)),""))</f>
        <v/>
      </c>
      <c r="N234" s="29" t="str">
        <f>IF($A234="","",IFERROR(INDEX('INPUT-SIF_Questions'!$E$2:$E$300,MATCH($A234,'INPUT-SIF_Questions'!$A$2:$A$300,0)),""))</f>
        <v/>
      </c>
    </row>
    <row r="235" spans="11:14" ht="14.25" customHeight="1" x14ac:dyDescent="0.45">
      <c r="K235" s="29" t="str">
        <f>IF($A235="","",IFERROR(INDEX('INPUT-SIF_Questions'!$B$2:$B$300,MATCH($A235,'INPUT-SIF_Questions'!$A$2:$A$300,0)),""))</f>
        <v/>
      </c>
      <c r="L235" s="29" t="str">
        <f>IF($A235="","",IFERROR(INDEX('INPUT-SIF_Questions'!$F$2:$F$300,MATCH($A235,'INPUT-SIF_Questions'!$A$2:$A$300,0)),""))</f>
        <v/>
      </c>
      <c r="M235" s="29" t="str">
        <f>IF($A235="","",IFERROR(INDEX('INPUT-SIF_Questions'!$G$2:$G$300,MATCH($A235,'INPUT-SIF_Questions'!$A$2:$A$300,0)),""))</f>
        <v/>
      </c>
      <c r="N235" s="29" t="str">
        <f>IF($A235="","",IFERROR(INDEX('INPUT-SIF_Questions'!$E$2:$E$300,MATCH($A235,'INPUT-SIF_Questions'!$A$2:$A$300,0)),""))</f>
        <v/>
      </c>
    </row>
    <row r="236" spans="11:14" ht="14.25" customHeight="1" x14ac:dyDescent="0.45">
      <c r="K236" s="29" t="str">
        <f>IF($A236="","",IFERROR(INDEX('INPUT-SIF_Questions'!$B$2:$B$300,MATCH($A236,'INPUT-SIF_Questions'!$A$2:$A$300,0)),""))</f>
        <v/>
      </c>
      <c r="L236" s="29" t="str">
        <f>IF($A236="","",IFERROR(INDEX('INPUT-SIF_Questions'!$F$2:$F$300,MATCH($A236,'INPUT-SIF_Questions'!$A$2:$A$300,0)),""))</f>
        <v/>
      </c>
      <c r="M236" s="29" t="str">
        <f>IF($A236="","",IFERROR(INDEX('INPUT-SIF_Questions'!$G$2:$G$300,MATCH($A236,'INPUT-SIF_Questions'!$A$2:$A$300,0)),""))</f>
        <v/>
      </c>
      <c r="N236" s="29" t="str">
        <f>IF($A236="","",IFERROR(INDEX('INPUT-SIF_Questions'!$E$2:$E$300,MATCH($A236,'INPUT-SIF_Questions'!$A$2:$A$300,0)),""))</f>
        <v/>
      </c>
    </row>
    <row r="237" spans="11:14" ht="14.25" customHeight="1" x14ac:dyDescent="0.45">
      <c r="K237" s="29" t="str">
        <f>IF($A237="","",IFERROR(INDEX('INPUT-SIF_Questions'!$B$2:$B$300,MATCH($A237,'INPUT-SIF_Questions'!$A$2:$A$300,0)),""))</f>
        <v/>
      </c>
      <c r="L237" s="29" t="str">
        <f>IF($A237="","",IFERROR(INDEX('INPUT-SIF_Questions'!$F$2:$F$300,MATCH($A237,'INPUT-SIF_Questions'!$A$2:$A$300,0)),""))</f>
        <v/>
      </c>
      <c r="M237" s="29" t="str">
        <f>IF($A237="","",IFERROR(INDEX('INPUT-SIF_Questions'!$G$2:$G$300,MATCH($A237,'INPUT-SIF_Questions'!$A$2:$A$300,0)),""))</f>
        <v/>
      </c>
      <c r="N237" s="29" t="str">
        <f>IF($A237="","",IFERROR(INDEX('INPUT-SIF_Questions'!$E$2:$E$300,MATCH($A237,'INPUT-SIF_Questions'!$A$2:$A$300,0)),""))</f>
        <v/>
      </c>
    </row>
    <row r="238" spans="11:14" ht="14.25" customHeight="1" x14ac:dyDescent="0.45">
      <c r="K238" s="29" t="str">
        <f>IF($A238="","",IFERROR(INDEX('INPUT-SIF_Questions'!$B$2:$B$300,MATCH($A238,'INPUT-SIF_Questions'!$A$2:$A$300,0)),""))</f>
        <v/>
      </c>
      <c r="L238" s="29" t="str">
        <f>IF($A238="","",IFERROR(INDEX('INPUT-SIF_Questions'!$F$2:$F$300,MATCH($A238,'INPUT-SIF_Questions'!$A$2:$A$300,0)),""))</f>
        <v/>
      </c>
      <c r="M238" s="29" t="str">
        <f>IF($A238="","",IFERROR(INDEX('INPUT-SIF_Questions'!$G$2:$G$300,MATCH($A238,'INPUT-SIF_Questions'!$A$2:$A$300,0)),""))</f>
        <v/>
      </c>
      <c r="N238" s="29" t="str">
        <f>IF($A238="","",IFERROR(INDEX('INPUT-SIF_Questions'!$E$2:$E$300,MATCH($A238,'INPUT-SIF_Questions'!$A$2:$A$300,0)),""))</f>
        <v/>
      </c>
    </row>
    <row r="239" spans="11:14" ht="14.25" customHeight="1" x14ac:dyDescent="0.45">
      <c r="K239" s="29" t="str">
        <f>IF($A239="","",IFERROR(INDEX('INPUT-SIF_Questions'!$B$2:$B$300,MATCH($A239,'INPUT-SIF_Questions'!$A$2:$A$300,0)),""))</f>
        <v/>
      </c>
      <c r="L239" s="29" t="str">
        <f>IF($A239="","",IFERROR(INDEX('INPUT-SIF_Questions'!$F$2:$F$300,MATCH($A239,'INPUT-SIF_Questions'!$A$2:$A$300,0)),""))</f>
        <v/>
      </c>
      <c r="M239" s="29" t="str">
        <f>IF($A239="","",IFERROR(INDEX('INPUT-SIF_Questions'!$G$2:$G$300,MATCH($A239,'INPUT-SIF_Questions'!$A$2:$A$300,0)),""))</f>
        <v/>
      </c>
      <c r="N239" s="29" t="str">
        <f>IF($A239="","",IFERROR(INDEX('INPUT-SIF_Questions'!$E$2:$E$300,MATCH($A239,'INPUT-SIF_Questions'!$A$2:$A$300,0)),""))</f>
        <v/>
      </c>
    </row>
    <row r="240" spans="11:14" ht="14.25" customHeight="1" x14ac:dyDescent="0.45">
      <c r="K240" s="29" t="str">
        <f>IF($A240="","",IFERROR(INDEX('INPUT-SIF_Questions'!$B$2:$B$300,MATCH($A240,'INPUT-SIF_Questions'!$A$2:$A$300,0)),""))</f>
        <v/>
      </c>
      <c r="L240" s="29" t="str">
        <f>IF($A240="","",IFERROR(INDEX('INPUT-SIF_Questions'!$F$2:$F$300,MATCH($A240,'INPUT-SIF_Questions'!$A$2:$A$300,0)),""))</f>
        <v/>
      </c>
      <c r="M240" s="29" t="str">
        <f>IF($A240="","",IFERROR(INDEX('INPUT-SIF_Questions'!$G$2:$G$300,MATCH($A240,'INPUT-SIF_Questions'!$A$2:$A$300,0)),""))</f>
        <v/>
      </c>
      <c r="N240" s="29" t="str">
        <f>IF($A240="","",IFERROR(INDEX('INPUT-SIF_Questions'!$E$2:$E$300,MATCH($A240,'INPUT-SIF_Questions'!$A$2:$A$300,0)),""))</f>
        <v/>
      </c>
    </row>
    <row r="241" spans="11:14" ht="14.25" customHeight="1" x14ac:dyDescent="0.45">
      <c r="K241" s="29" t="str">
        <f>IF($A241="","",IFERROR(INDEX('INPUT-SIF_Questions'!$B$2:$B$300,MATCH($A241,'INPUT-SIF_Questions'!$A$2:$A$300,0)),""))</f>
        <v/>
      </c>
      <c r="L241" s="29" t="str">
        <f>IF($A241="","",IFERROR(INDEX('INPUT-SIF_Questions'!$F$2:$F$300,MATCH($A241,'INPUT-SIF_Questions'!$A$2:$A$300,0)),""))</f>
        <v/>
      </c>
      <c r="M241" s="29" t="str">
        <f>IF($A241="","",IFERROR(INDEX('INPUT-SIF_Questions'!$G$2:$G$300,MATCH($A241,'INPUT-SIF_Questions'!$A$2:$A$300,0)),""))</f>
        <v/>
      </c>
      <c r="N241" s="29" t="str">
        <f>IF($A241="","",IFERROR(INDEX('INPUT-SIF_Questions'!$E$2:$E$300,MATCH($A241,'INPUT-SIF_Questions'!$A$2:$A$300,0)),""))</f>
        <v/>
      </c>
    </row>
    <row r="242" spans="11:14" ht="14.25" customHeight="1" x14ac:dyDescent="0.45">
      <c r="K242" s="29" t="str">
        <f>IF($A242="","",IFERROR(INDEX('INPUT-SIF_Questions'!$B$2:$B$300,MATCH($A242,'INPUT-SIF_Questions'!$A$2:$A$300,0)),""))</f>
        <v/>
      </c>
      <c r="L242" s="29" t="str">
        <f>IF($A242="","",IFERROR(INDEX('INPUT-SIF_Questions'!$F$2:$F$300,MATCH($A242,'INPUT-SIF_Questions'!$A$2:$A$300,0)),""))</f>
        <v/>
      </c>
      <c r="M242" s="29" t="str">
        <f>IF($A242="","",IFERROR(INDEX('INPUT-SIF_Questions'!$G$2:$G$300,MATCH($A242,'INPUT-SIF_Questions'!$A$2:$A$300,0)),""))</f>
        <v/>
      </c>
      <c r="N242" s="29" t="str">
        <f>IF($A242="","",IFERROR(INDEX('INPUT-SIF_Questions'!$E$2:$E$300,MATCH($A242,'INPUT-SIF_Questions'!$A$2:$A$300,0)),""))</f>
        <v/>
      </c>
    </row>
    <row r="243" spans="11:14" ht="14.25" customHeight="1" x14ac:dyDescent="0.45">
      <c r="K243" s="29" t="str">
        <f>IF($A243="","",IFERROR(INDEX('INPUT-SIF_Questions'!$B$2:$B$300,MATCH($A243,'INPUT-SIF_Questions'!$A$2:$A$300,0)),""))</f>
        <v/>
      </c>
      <c r="L243" s="29" t="str">
        <f>IF($A243="","",IFERROR(INDEX('INPUT-SIF_Questions'!$F$2:$F$300,MATCH($A243,'INPUT-SIF_Questions'!$A$2:$A$300,0)),""))</f>
        <v/>
      </c>
      <c r="M243" s="29" t="str">
        <f>IF($A243="","",IFERROR(INDEX('INPUT-SIF_Questions'!$G$2:$G$300,MATCH($A243,'INPUT-SIF_Questions'!$A$2:$A$300,0)),""))</f>
        <v/>
      </c>
      <c r="N243" s="29" t="str">
        <f>IF($A243="","",IFERROR(INDEX('INPUT-SIF_Questions'!$E$2:$E$300,MATCH($A243,'INPUT-SIF_Questions'!$A$2:$A$300,0)),""))</f>
        <v/>
      </c>
    </row>
    <row r="244" spans="11:14" ht="14.25" customHeight="1" x14ac:dyDescent="0.45">
      <c r="K244" s="29" t="str">
        <f>IF($A244="","",IFERROR(INDEX('INPUT-SIF_Questions'!$B$2:$B$300,MATCH($A244,'INPUT-SIF_Questions'!$A$2:$A$300,0)),""))</f>
        <v/>
      </c>
      <c r="L244" s="29" t="str">
        <f>IF($A244="","",IFERROR(INDEX('INPUT-SIF_Questions'!$F$2:$F$300,MATCH($A244,'INPUT-SIF_Questions'!$A$2:$A$300,0)),""))</f>
        <v/>
      </c>
      <c r="M244" s="29" t="str">
        <f>IF($A244="","",IFERROR(INDEX('INPUT-SIF_Questions'!$G$2:$G$300,MATCH($A244,'INPUT-SIF_Questions'!$A$2:$A$300,0)),""))</f>
        <v/>
      </c>
      <c r="N244" s="29" t="str">
        <f>IF($A244="","",IFERROR(INDEX('INPUT-SIF_Questions'!$E$2:$E$300,MATCH($A244,'INPUT-SIF_Questions'!$A$2:$A$300,0)),""))</f>
        <v/>
      </c>
    </row>
    <row r="245" spans="11:14" ht="14.25" customHeight="1" x14ac:dyDescent="0.45">
      <c r="K245" s="29" t="str">
        <f>IF($A245="","",IFERROR(INDEX('INPUT-SIF_Questions'!$B$2:$B$300,MATCH($A245,'INPUT-SIF_Questions'!$A$2:$A$300,0)),""))</f>
        <v/>
      </c>
      <c r="L245" s="29" t="str">
        <f>IF($A245="","",IFERROR(INDEX('INPUT-SIF_Questions'!$F$2:$F$300,MATCH($A245,'INPUT-SIF_Questions'!$A$2:$A$300,0)),""))</f>
        <v/>
      </c>
      <c r="M245" s="29" t="str">
        <f>IF($A245="","",IFERROR(INDEX('INPUT-SIF_Questions'!$G$2:$G$300,MATCH($A245,'INPUT-SIF_Questions'!$A$2:$A$300,0)),""))</f>
        <v/>
      </c>
      <c r="N245" s="29" t="str">
        <f>IF($A245="","",IFERROR(INDEX('INPUT-SIF_Questions'!$E$2:$E$300,MATCH($A245,'INPUT-SIF_Questions'!$A$2:$A$300,0)),""))</f>
        <v/>
      </c>
    </row>
    <row r="246" spans="11:14" ht="14.25" customHeight="1" x14ac:dyDescent="0.45">
      <c r="K246" s="29" t="str">
        <f>IF($A246="","",IFERROR(INDEX('INPUT-SIF_Questions'!$B$2:$B$300,MATCH($A246,'INPUT-SIF_Questions'!$A$2:$A$300,0)),""))</f>
        <v/>
      </c>
      <c r="L246" s="29" t="str">
        <f>IF($A246="","",IFERROR(INDEX('INPUT-SIF_Questions'!$F$2:$F$300,MATCH($A246,'INPUT-SIF_Questions'!$A$2:$A$300,0)),""))</f>
        <v/>
      </c>
      <c r="M246" s="29" t="str">
        <f>IF($A246="","",IFERROR(INDEX('INPUT-SIF_Questions'!$G$2:$G$300,MATCH($A246,'INPUT-SIF_Questions'!$A$2:$A$300,0)),""))</f>
        <v/>
      </c>
      <c r="N246" s="29" t="str">
        <f>IF($A246="","",IFERROR(INDEX('INPUT-SIF_Questions'!$E$2:$E$300,MATCH($A246,'INPUT-SIF_Questions'!$A$2:$A$300,0)),""))</f>
        <v/>
      </c>
    </row>
    <row r="247" spans="11:14" ht="14.25" customHeight="1" x14ac:dyDescent="0.45">
      <c r="K247" s="29" t="str">
        <f>IF($A247="","",IFERROR(INDEX('INPUT-SIF_Questions'!$B$2:$B$300,MATCH($A247,'INPUT-SIF_Questions'!$A$2:$A$300,0)),""))</f>
        <v/>
      </c>
      <c r="L247" s="29" t="str">
        <f>IF($A247="","",IFERROR(INDEX('INPUT-SIF_Questions'!$F$2:$F$300,MATCH($A247,'INPUT-SIF_Questions'!$A$2:$A$300,0)),""))</f>
        <v/>
      </c>
      <c r="M247" s="29" t="str">
        <f>IF($A247="","",IFERROR(INDEX('INPUT-SIF_Questions'!$G$2:$G$300,MATCH($A247,'INPUT-SIF_Questions'!$A$2:$A$300,0)),""))</f>
        <v/>
      </c>
      <c r="N247" s="29" t="str">
        <f>IF($A247="","",IFERROR(INDEX('INPUT-SIF_Questions'!$E$2:$E$300,MATCH($A247,'INPUT-SIF_Questions'!$A$2:$A$300,0)),""))</f>
        <v/>
      </c>
    </row>
    <row r="248" spans="11:14" ht="14.25" customHeight="1" x14ac:dyDescent="0.45">
      <c r="K248" s="29" t="str">
        <f>IF($A248="","",IFERROR(INDEX('INPUT-SIF_Questions'!$B$2:$B$300,MATCH($A248,'INPUT-SIF_Questions'!$A$2:$A$300,0)),""))</f>
        <v/>
      </c>
      <c r="L248" s="29" t="str">
        <f>IF($A248="","",IFERROR(INDEX('INPUT-SIF_Questions'!$F$2:$F$300,MATCH($A248,'INPUT-SIF_Questions'!$A$2:$A$300,0)),""))</f>
        <v/>
      </c>
      <c r="M248" s="29" t="str">
        <f>IF($A248="","",IFERROR(INDEX('INPUT-SIF_Questions'!$G$2:$G$300,MATCH($A248,'INPUT-SIF_Questions'!$A$2:$A$300,0)),""))</f>
        <v/>
      </c>
      <c r="N248" s="29" t="str">
        <f>IF($A248="","",IFERROR(INDEX('INPUT-SIF_Questions'!$E$2:$E$300,MATCH($A248,'INPUT-SIF_Questions'!$A$2:$A$300,0)),""))</f>
        <v/>
      </c>
    </row>
    <row r="249" spans="11:14" ht="14.25" customHeight="1" x14ac:dyDescent="0.45">
      <c r="K249" s="29" t="str">
        <f>IF($A249="","",IFERROR(INDEX('INPUT-SIF_Questions'!$B$2:$B$300,MATCH($A249,'INPUT-SIF_Questions'!$A$2:$A$300,0)),""))</f>
        <v/>
      </c>
      <c r="L249" s="29" t="str">
        <f>IF($A249="","",IFERROR(INDEX('INPUT-SIF_Questions'!$F$2:$F$300,MATCH($A249,'INPUT-SIF_Questions'!$A$2:$A$300,0)),""))</f>
        <v/>
      </c>
      <c r="M249" s="29" t="str">
        <f>IF($A249="","",IFERROR(INDEX('INPUT-SIF_Questions'!$G$2:$G$300,MATCH($A249,'INPUT-SIF_Questions'!$A$2:$A$300,0)),""))</f>
        <v/>
      </c>
      <c r="N249" s="29" t="str">
        <f>IF($A249="","",IFERROR(INDEX('INPUT-SIF_Questions'!$E$2:$E$300,MATCH($A249,'INPUT-SIF_Questions'!$A$2:$A$300,0)),""))</f>
        <v/>
      </c>
    </row>
    <row r="250" spans="11:14" ht="14.25" customHeight="1" x14ac:dyDescent="0.45">
      <c r="K250" s="29" t="str">
        <f>IF($A250="","",IFERROR(INDEX('INPUT-SIF_Questions'!$B$2:$B$300,MATCH($A250,'INPUT-SIF_Questions'!$A$2:$A$300,0)),""))</f>
        <v/>
      </c>
      <c r="L250" s="29" t="str">
        <f>IF($A250="","",IFERROR(INDEX('INPUT-SIF_Questions'!$F$2:$F$300,MATCH($A250,'INPUT-SIF_Questions'!$A$2:$A$300,0)),""))</f>
        <v/>
      </c>
      <c r="M250" s="29" t="str">
        <f>IF($A250="","",IFERROR(INDEX('INPUT-SIF_Questions'!$G$2:$G$300,MATCH($A250,'INPUT-SIF_Questions'!$A$2:$A$300,0)),""))</f>
        <v/>
      </c>
      <c r="N250" s="29" t="str">
        <f>IF($A250="","",IFERROR(INDEX('INPUT-SIF_Questions'!$E$2:$E$300,MATCH($A250,'INPUT-SIF_Questions'!$A$2:$A$300,0)),""))</f>
        <v/>
      </c>
    </row>
    <row r="251" spans="11:14" ht="14.25" customHeight="1" x14ac:dyDescent="0.45">
      <c r="K251" s="29" t="str">
        <f>IF($A251="","",IFERROR(INDEX('INPUT-SIF_Questions'!$B$2:$B$300,MATCH($A251,'INPUT-SIF_Questions'!$A$2:$A$300,0)),""))</f>
        <v/>
      </c>
      <c r="L251" s="29" t="str">
        <f>IF($A251="","",IFERROR(INDEX('INPUT-SIF_Questions'!$F$2:$F$300,MATCH($A251,'INPUT-SIF_Questions'!$A$2:$A$300,0)),""))</f>
        <v/>
      </c>
      <c r="M251" s="29" t="str">
        <f>IF($A251="","",IFERROR(INDEX('INPUT-SIF_Questions'!$G$2:$G$300,MATCH($A251,'INPUT-SIF_Questions'!$A$2:$A$300,0)),""))</f>
        <v/>
      </c>
      <c r="N251" s="29" t="str">
        <f>IF($A251="","",IFERROR(INDEX('INPUT-SIF_Questions'!$E$2:$E$300,MATCH($A251,'INPUT-SIF_Questions'!$A$2:$A$300,0)),""))</f>
        <v/>
      </c>
    </row>
    <row r="252" spans="11:14" ht="14.25" customHeight="1" x14ac:dyDescent="0.45">
      <c r="K252" s="29" t="str">
        <f>IF($A252="","",IFERROR(INDEX('INPUT-SIF_Questions'!$B$2:$B$300,MATCH($A252,'INPUT-SIF_Questions'!$A$2:$A$300,0)),""))</f>
        <v/>
      </c>
      <c r="L252" s="29" t="str">
        <f>IF($A252="","",IFERROR(INDEX('INPUT-SIF_Questions'!$F$2:$F$300,MATCH($A252,'INPUT-SIF_Questions'!$A$2:$A$300,0)),""))</f>
        <v/>
      </c>
      <c r="M252" s="29" t="str">
        <f>IF($A252="","",IFERROR(INDEX('INPUT-SIF_Questions'!$G$2:$G$300,MATCH($A252,'INPUT-SIF_Questions'!$A$2:$A$300,0)),""))</f>
        <v/>
      </c>
      <c r="N252" s="29" t="str">
        <f>IF($A252="","",IFERROR(INDEX('INPUT-SIF_Questions'!$E$2:$E$300,MATCH($A252,'INPUT-SIF_Questions'!$A$2:$A$300,0)),""))</f>
        <v/>
      </c>
    </row>
    <row r="253" spans="11:14" ht="14.25" customHeight="1" x14ac:dyDescent="0.45">
      <c r="K253" s="29" t="str">
        <f>IF($A253="","",IFERROR(INDEX('INPUT-SIF_Questions'!$B$2:$B$300,MATCH($A253,'INPUT-SIF_Questions'!$A$2:$A$300,0)),""))</f>
        <v/>
      </c>
      <c r="L253" s="29" t="str">
        <f>IF($A253="","",IFERROR(INDEX('INPUT-SIF_Questions'!$F$2:$F$300,MATCH($A253,'INPUT-SIF_Questions'!$A$2:$A$300,0)),""))</f>
        <v/>
      </c>
      <c r="M253" s="29" t="str">
        <f>IF($A253="","",IFERROR(INDEX('INPUT-SIF_Questions'!$G$2:$G$300,MATCH($A253,'INPUT-SIF_Questions'!$A$2:$A$300,0)),""))</f>
        <v/>
      </c>
      <c r="N253" s="29" t="str">
        <f>IF($A253="","",IFERROR(INDEX('INPUT-SIF_Questions'!$E$2:$E$300,MATCH($A253,'INPUT-SIF_Questions'!$A$2:$A$300,0)),""))</f>
        <v/>
      </c>
    </row>
    <row r="254" spans="11:14" ht="14.25" customHeight="1" x14ac:dyDescent="0.45">
      <c r="K254" s="29" t="str">
        <f>IF($A254="","",IFERROR(INDEX('INPUT-SIF_Questions'!$B$2:$B$300,MATCH($A254,'INPUT-SIF_Questions'!$A$2:$A$300,0)),""))</f>
        <v/>
      </c>
      <c r="L254" s="29" t="str">
        <f>IF($A254="","",IFERROR(INDEX('INPUT-SIF_Questions'!$F$2:$F$300,MATCH($A254,'INPUT-SIF_Questions'!$A$2:$A$300,0)),""))</f>
        <v/>
      </c>
      <c r="M254" s="29" t="str">
        <f>IF($A254="","",IFERROR(INDEX('INPUT-SIF_Questions'!$G$2:$G$300,MATCH($A254,'INPUT-SIF_Questions'!$A$2:$A$300,0)),""))</f>
        <v/>
      </c>
      <c r="N254" s="29" t="str">
        <f>IF($A254="","",IFERROR(INDEX('INPUT-SIF_Questions'!$E$2:$E$300,MATCH($A254,'INPUT-SIF_Questions'!$A$2:$A$300,0)),""))</f>
        <v/>
      </c>
    </row>
    <row r="255" spans="11:14" ht="14.25" customHeight="1" x14ac:dyDescent="0.45">
      <c r="K255" s="29" t="str">
        <f>IF($A255="","",IFERROR(INDEX('INPUT-SIF_Questions'!$B$2:$B$300,MATCH($A255,'INPUT-SIF_Questions'!$A$2:$A$300,0)),""))</f>
        <v/>
      </c>
      <c r="L255" s="29" t="str">
        <f>IF($A255="","",IFERROR(INDEX('INPUT-SIF_Questions'!$F$2:$F$300,MATCH($A255,'INPUT-SIF_Questions'!$A$2:$A$300,0)),""))</f>
        <v/>
      </c>
      <c r="M255" s="29" t="str">
        <f>IF($A255="","",IFERROR(INDEX('INPUT-SIF_Questions'!$G$2:$G$300,MATCH($A255,'INPUT-SIF_Questions'!$A$2:$A$300,0)),""))</f>
        <v/>
      </c>
      <c r="N255" s="29" t="str">
        <f>IF($A255="","",IFERROR(INDEX('INPUT-SIF_Questions'!$E$2:$E$300,MATCH($A255,'INPUT-SIF_Questions'!$A$2:$A$300,0)),""))</f>
        <v/>
      </c>
    </row>
    <row r="256" spans="11:14" ht="14.25" customHeight="1" x14ac:dyDescent="0.45">
      <c r="K256" s="29" t="str">
        <f>IF($A256="","",IFERROR(INDEX('INPUT-SIF_Questions'!$B$2:$B$300,MATCH($A256,'INPUT-SIF_Questions'!$A$2:$A$300,0)),""))</f>
        <v/>
      </c>
      <c r="L256" s="29" t="str">
        <f>IF($A256="","",IFERROR(INDEX('INPUT-SIF_Questions'!$F$2:$F$300,MATCH($A256,'INPUT-SIF_Questions'!$A$2:$A$300,0)),""))</f>
        <v/>
      </c>
      <c r="M256" s="29" t="str">
        <f>IF($A256="","",IFERROR(INDEX('INPUT-SIF_Questions'!$G$2:$G$300,MATCH($A256,'INPUT-SIF_Questions'!$A$2:$A$300,0)),""))</f>
        <v/>
      </c>
      <c r="N256" s="29" t="str">
        <f>IF($A256="","",IFERROR(INDEX('INPUT-SIF_Questions'!$E$2:$E$300,MATCH($A256,'INPUT-SIF_Questions'!$A$2:$A$300,0)),""))</f>
        <v/>
      </c>
    </row>
    <row r="257" spans="11:14" ht="14.25" customHeight="1" x14ac:dyDescent="0.45">
      <c r="K257" s="29" t="str">
        <f>IF($A257="","",IFERROR(INDEX('INPUT-SIF_Questions'!$B$2:$B$300,MATCH($A257,'INPUT-SIF_Questions'!$A$2:$A$300,0)),""))</f>
        <v/>
      </c>
      <c r="L257" s="29" t="str">
        <f>IF($A257="","",IFERROR(INDEX('INPUT-SIF_Questions'!$F$2:$F$300,MATCH($A257,'INPUT-SIF_Questions'!$A$2:$A$300,0)),""))</f>
        <v/>
      </c>
      <c r="M257" s="29" t="str">
        <f>IF($A257="","",IFERROR(INDEX('INPUT-SIF_Questions'!$G$2:$G$300,MATCH($A257,'INPUT-SIF_Questions'!$A$2:$A$300,0)),""))</f>
        <v/>
      </c>
      <c r="N257" s="29" t="str">
        <f>IF($A257="","",IFERROR(INDEX('INPUT-SIF_Questions'!$E$2:$E$300,MATCH($A257,'INPUT-SIF_Questions'!$A$2:$A$300,0)),""))</f>
        <v/>
      </c>
    </row>
    <row r="258" spans="11:14" ht="14.25" customHeight="1" x14ac:dyDescent="0.45">
      <c r="K258" s="29" t="str">
        <f>IF($A258="","",IFERROR(INDEX('INPUT-SIF_Questions'!$B$2:$B$300,MATCH($A258,'INPUT-SIF_Questions'!$A$2:$A$300,0)),""))</f>
        <v/>
      </c>
      <c r="L258" s="29" t="str">
        <f>IF($A258="","",IFERROR(INDEX('INPUT-SIF_Questions'!$F$2:$F$300,MATCH($A258,'INPUT-SIF_Questions'!$A$2:$A$300,0)),""))</f>
        <v/>
      </c>
      <c r="M258" s="29" t="str">
        <f>IF($A258="","",IFERROR(INDEX('INPUT-SIF_Questions'!$G$2:$G$300,MATCH($A258,'INPUT-SIF_Questions'!$A$2:$A$300,0)),""))</f>
        <v/>
      </c>
      <c r="N258" s="29" t="str">
        <f>IF($A258="","",IFERROR(INDEX('INPUT-SIF_Questions'!$E$2:$E$300,MATCH($A258,'INPUT-SIF_Questions'!$A$2:$A$300,0)),""))</f>
        <v/>
      </c>
    </row>
    <row r="259" spans="11:14" ht="14.25" customHeight="1" x14ac:dyDescent="0.45">
      <c r="K259" s="29" t="str">
        <f>IF($A259="","",IFERROR(INDEX('INPUT-SIF_Questions'!$B$2:$B$300,MATCH($A259,'INPUT-SIF_Questions'!$A$2:$A$300,0)),""))</f>
        <v/>
      </c>
      <c r="L259" s="29" t="str">
        <f>IF($A259="","",IFERROR(INDEX('INPUT-SIF_Questions'!$F$2:$F$300,MATCH($A259,'INPUT-SIF_Questions'!$A$2:$A$300,0)),""))</f>
        <v/>
      </c>
      <c r="M259" s="29" t="str">
        <f>IF($A259="","",IFERROR(INDEX('INPUT-SIF_Questions'!$G$2:$G$300,MATCH($A259,'INPUT-SIF_Questions'!$A$2:$A$300,0)),""))</f>
        <v/>
      </c>
      <c r="N259" s="29" t="str">
        <f>IF($A259="","",IFERROR(INDEX('INPUT-SIF_Questions'!$E$2:$E$300,MATCH($A259,'INPUT-SIF_Questions'!$A$2:$A$300,0)),""))</f>
        <v/>
      </c>
    </row>
    <row r="260" spans="11:14" ht="14.25" customHeight="1" x14ac:dyDescent="0.45">
      <c r="K260" s="29" t="str">
        <f>IF($A260="","",IFERROR(INDEX('INPUT-SIF_Questions'!$B$2:$B$300,MATCH($A260,'INPUT-SIF_Questions'!$A$2:$A$300,0)),""))</f>
        <v/>
      </c>
      <c r="L260" s="29" t="str">
        <f>IF($A260="","",IFERROR(INDEX('INPUT-SIF_Questions'!$F$2:$F$300,MATCH($A260,'INPUT-SIF_Questions'!$A$2:$A$300,0)),""))</f>
        <v/>
      </c>
      <c r="M260" s="29" t="str">
        <f>IF($A260="","",IFERROR(INDEX('INPUT-SIF_Questions'!$G$2:$G$300,MATCH($A260,'INPUT-SIF_Questions'!$A$2:$A$300,0)),""))</f>
        <v/>
      </c>
      <c r="N260" s="29" t="str">
        <f>IF($A260="","",IFERROR(INDEX('INPUT-SIF_Questions'!$E$2:$E$300,MATCH($A260,'INPUT-SIF_Questions'!$A$2:$A$300,0)),""))</f>
        <v/>
      </c>
    </row>
    <row r="261" spans="11:14" ht="14.25" customHeight="1" x14ac:dyDescent="0.45">
      <c r="K261" s="29" t="str">
        <f>IF($A261="","",IFERROR(INDEX('INPUT-SIF_Questions'!$B$2:$B$300,MATCH($A261,'INPUT-SIF_Questions'!$A$2:$A$300,0)),""))</f>
        <v/>
      </c>
      <c r="L261" s="29" t="str">
        <f>IF($A261="","",IFERROR(INDEX('INPUT-SIF_Questions'!$F$2:$F$300,MATCH($A261,'INPUT-SIF_Questions'!$A$2:$A$300,0)),""))</f>
        <v/>
      </c>
      <c r="M261" s="29" t="str">
        <f>IF($A261="","",IFERROR(INDEX('INPUT-SIF_Questions'!$G$2:$G$300,MATCH($A261,'INPUT-SIF_Questions'!$A$2:$A$300,0)),""))</f>
        <v/>
      </c>
      <c r="N261" s="29" t="str">
        <f>IF($A261="","",IFERROR(INDEX('INPUT-SIF_Questions'!$E$2:$E$300,MATCH($A261,'INPUT-SIF_Questions'!$A$2:$A$300,0)),""))</f>
        <v/>
      </c>
    </row>
    <row r="262" spans="11:14" ht="14.25" customHeight="1" x14ac:dyDescent="0.45">
      <c r="K262" s="29" t="str">
        <f>IF($A262="","",IFERROR(INDEX('INPUT-SIF_Questions'!$B$2:$B$300,MATCH($A262,'INPUT-SIF_Questions'!$A$2:$A$300,0)),""))</f>
        <v/>
      </c>
      <c r="L262" s="29" t="str">
        <f>IF($A262="","",IFERROR(INDEX('INPUT-SIF_Questions'!$F$2:$F$300,MATCH($A262,'INPUT-SIF_Questions'!$A$2:$A$300,0)),""))</f>
        <v/>
      </c>
      <c r="M262" s="29" t="str">
        <f>IF($A262="","",IFERROR(INDEX('INPUT-SIF_Questions'!$G$2:$G$300,MATCH($A262,'INPUT-SIF_Questions'!$A$2:$A$300,0)),""))</f>
        <v/>
      </c>
      <c r="N262" s="29" t="str">
        <f>IF($A262="","",IFERROR(INDEX('INPUT-SIF_Questions'!$E$2:$E$300,MATCH($A262,'INPUT-SIF_Questions'!$A$2:$A$300,0)),""))</f>
        <v/>
      </c>
    </row>
    <row r="263" spans="11:14" ht="14.25" customHeight="1" x14ac:dyDescent="0.45">
      <c r="K263" s="29" t="str">
        <f>IF($A263="","",IFERROR(INDEX('INPUT-SIF_Questions'!$B$2:$B$300,MATCH($A263,'INPUT-SIF_Questions'!$A$2:$A$300,0)),""))</f>
        <v/>
      </c>
      <c r="L263" s="29" t="str">
        <f>IF($A263="","",IFERROR(INDEX('INPUT-SIF_Questions'!$F$2:$F$300,MATCH($A263,'INPUT-SIF_Questions'!$A$2:$A$300,0)),""))</f>
        <v/>
      </c>
      <c r="M263" s="29" t="str">
        <f>IF($A263="","",IFERROR(INDEX('INPUT-SIF_Questions'!$G$2:$G$300,MATCH($A263,'INPUT-SIF_Questions'!$A$2:$A$300,0)),""))</f>
        <v/>
      </c>
      <c r="N263" s="29" t="str">
        <f>IF($A263="","",IFERROR(INDEX('INPUT-SIF_Questions'!$E$2:$E$300,MATCH($A263,'INPUT-SIF_Questions'!$A$2:$A$300,0)),""))</f>
        <v/>
      </c>
    </row>
    <row r="264" spans="11:14" ht="14.25" customHeight="1" x14ac:dyDescent="0.45">
      <c r="K264" s="29" t="str">
        <f>IF($A264="","",IFERROR(INDEX('INPUT-SIF_Questions'!$B$2:$B$300,MATCH($A264,'INPUT-SIF_Questions'!$A$2:$A$300,0)),""))</f>
        <v/>
      </c>
      <c r="L264" s="29" t="str">
        <f>IF($A264="","",IFERROR(INDEX('INPUT-SIF_Questions'!$F$2:$F$300,MATCH($A264,'INPUT-SIF_Questions'!$A$2:$A$300,0)),""))</f>
        <v/>
      </c>
      <c r="M264" s="29" t="str">
        <f>IF($A264="","",IFERROR(INDEX('INPUT-SIF_Questions'!$G$2:$G$300,MATCH($A264,'INPUT-SIF_Questions'!$A$2:$A$300,0)),""))</f>
        <v/>
      </c>
      <c r="N264" s="29" t="str">
        <f>IF($A264="","",IFERROR(INDEX('INPUT-SIF_Questions'!$E$2:$E$300,MATCH($A264,'INPUT-SIF_Questions'!$A$2:$A$300,0)),""))</f>
        <v/>
      </c>
    </row>
    <row r="265" spans="11:14" ht="14.25" customHeight="1" x14ac:dyDescent="0.45">
      <c r="K265" s="29" t="str">
        <f>IF($A265="","",IFERROR(INDEX('INPUT-SIF_Questions'!$B$2:$B$300,MATCH($A265,'INPUT-SIF_Questions'!$A$2:$A$300,0)),""))</f>
        <v/>
      </c>
      <c r="L265" s="29" t="str">
        <f>IF($A265="","",IFERROR(INDEX('INPUT-SIF_Questions'!$F$2:$F$300,MATCH($A265,'INPUT-SIF_Questions'!$A$2:$A$300,0)),""))</f>
        <v/>
      </c>
      <c r="M265" s="29" t="str">
        <f>IF($A265="","",IFERROR(INDEX('INPUT-SIF_Questions'!$G$2:$G$300,MATCH($A265,'INPUT-SIF_Questions'!$A$2:$A$300,0)),""))</f>
        <v/>
      </c>
      <c r="N265" s="29" t="str">
        <f>IF($A265="","",IFERROR(INDEX('INPUT-SIF_Questions'!$E$2:$E$300,MATCH($A265,'INPUT-SIF_Questions'!$A$2:$A$300,0)),""))</f>
        <v/>
      </c>
    </row>
    <row r="266" spans="11:14" ht="14.25" customHeight="1" x14ac:dyDescent="0.45">
      <c r="K266" s="29" t="str">
        <f>IF($A266="","",IFERROR(INDEX('INPUT-SIF_Questions'!$B$2:$B$300,MATCH($A266,'INPUT-SIF_Questions'!$A$2:$A$300,0)),""))</f>
        <v/>
      </c>
      <c r="L266" s="29" t="str">
        <f>IF($A266="","",IFERROR(INDEX('INPUT-SIF_Questions'!$F$2:$F$300,MATCH($A266,'INPUT-SIF_Questions'!$A$2:$A$300,0)),""))</f>
        <v/>
      </c>
      <c r="M266" s="29" t="str">
        <f>IF($A266="","",IFERROR(INDEX('INPUT-SIF_Questions'!$G$2:$G$300,MATCH($A266,'INPUT-SIF_Questions'!$A$2:$A$300,0)),""))</f>
        <v/>
      </c>
      <c r="N266" s="29" t="str">
        <f>IF($A266="","",IFERROR(INDEX('INPUT-SIF_Questions'!$E$2:$E$300,MATCH($A266,'INPUT-SIF_Questions'!$A$2:$A$300,0)),""))</f>
        <v/>
      </c>
    </row>
    <row r="267" spans="11:14" ht="14.25" customHeight="1" x14ac:dyDescent="0.45">
      <c r="K267" s="29" t="str">
        <f>IF($A267="","",IFERROR(INDEX('INPUT-SIF_Questions'!$B$2:$B$300,MATCH($A267,'INPUT-SIF_Questions'!$A$2:$A$300,0)),""))</f>
        <v/>
      </c>
      <c r="L267" s="29" t="str">
        <f>IF($A267="","",IFERROR(INDEX('INPUT-SIF_Questions'!$F$2:$F$300,MATCH($A267,'INPUT-SIF_Questions'!$A$2:$A$300,0)),""))</f>
        <v/>
      </c>
      <c r="M267" s="29" t="str">
        <f>IF($A267="","",IFERROR(INDEX('INPUT-SIF_Questions'!$G$2:$G$300,MATCH($A267,'INPUT-SIF_Questions'!$A$2:$A$300,0)),""))</f>
        <v/>
      </c>
      <c r="N267" s="29" t="str">
        <f>IF($A267="","",IFERROR(INDEX('INPUT-SIF_Questions'!$E$2:$E$300,MATCH($A267,'INPUT-SIF_Questions'!$A$2:$A$300,0)),""))</f>
        <v/>
      </c>
    </row>
    <row r="268" spans="11:14" ht="14.25" customHeight="1" x14ac:dyDescent="0.45">
      <c r="K268" s="29" t="str">
        <f>IF($A268="","",IFERROR(INDEX('INPUT-SIF_Questions'!$B$2:$B$300,MATCH($A268,'INPUT-SIF_Questions'!$A$2:$A$300,0)),""))</f>
        <v/>
      </c>
      <c r="L268" s="29" t="str">
        <f>IF($A268="","",IFERROR(INDEX('INPUT-SIF_Questions'!$F$2:$F$300,MATCH($A268,'INPUT-SIF_Questions'!$A$2:$A$300,0)),""))</f>
        <v/>
      </c>
      <c r="M268" s="29" t="str">
        <f>IF($A268="","",IFERROR(INDEX('INPUT-SIF_Questions'!$G$2:$G$300,MATCH($A268,'INPUT-SIF_Questions'!$A$2:$A$300,0)),""))</f>
        <v/>
      </c>
      <c r="N268" s="29" t="str">
        <f>IF($A268="","",IFERROR(INDEX('INPUT-SIF_Questions'!$E$2:$E$300,MATCH($A268,'INPUT-SIF_Questions'!$A$2:$A$300,0)),""))</f>
        <v/>
      </c>
    </row>
    <row r="269" spans="11:14" ht="14.25" customHeight="1" x14ac:dyDescent="0.45">
      <c r="K269" s="29" t="str">
        <f>IF($A269="","",IFERROR(INDEX('INPUT-SIF_Questions'!$B$2:$B$300,MATCH($A269,'INPUT-SIF_Questions'!$A$2:$A$300,0)),""))</f>
        <v/>
      </c>
      <c r="L269" s="29" t="str">
        <f>IF($A269="","",IFERROR(INDEX('INPUT-SIF_Questions'!$F$2:$F$300,MATCH($A269,'INPUT-SIF_Questions'!$A$2:$A$300,0)),""))</f>
        <v/>
      </c>
      <c r="M269" s="29" t="str">
        <f>IF($A269="","",IFERROR(INDEX('INPUT-SIF_Questions'!$G$2:$G$300,MATCH($A269,'INPUT-SIF_Questions'!$A$2:$A$300,0)),""))</f>
        <v/>
      </c>
      <c r="N269" s="29" t="str">
        <f>IF($A269="","",IFERROR(INDEX('INPUT-SIF_Questions'!$E$2:$E$300,MATCH($A269,'INPUT-SIF_Questions'!$A$2:$A$300,0)),""))</f>
        <v/>
      </c>
    </row>
    <row r="270" spans="11:14" ht="14.25" customHeight="1" x14ac:dyDescent="0.45">
      <c r="K270" s="29" t="str">
        <f>IF($A270="","",IFERROR(INDEX('INPUT-SIF_Questions'!$B$2:$B$300,MATCH($A270,'INPUT-SIF_Questions'!$A$2:$A$300,0)),""))</f>
        <v/>
      </c>
      <c r="L270" s="29" t="str">
        <f>IF($A270="","",IFERROR(INDEX('INPUT-SIF_Questions'!$F$2:$F$300,MATCH($A270,'INPUT-SIF_Questions'!$A$2:$A$300,0)),""))</f>
        <v/>
      </c>
      <c r="M270" s="29" t="str">
        <f>IF($A270="","",IFERROR(INDEX('INPUT-SIF_Questions'!$G$2:$G$300,MATCH($A270,'INPUT-SIF_Questions'!$A$2:$A$300,0)),""))</f>
        <v/>
      </c>
      <c r="N270" s="29" t="str">
        <f>IF($A270="","",IFERROR(INDEX('INPUT-SIF_Questions'!$E$2:$E$300,MATCH($A270,'INPUT-SIF_Questions'!$A$2:$A$300,0)),""))</f>
        <v/>
      </c>
    </row>
    <row r="271" spans="11:14" ht="14.25" customHeight="1" x14ac:dyDescent="0.45">
      <c r="K271" s="29" t="str">
        <f>IF($A271="","",IFERROR(INDEX('INPUT-SIF_Questions'!$B$2:$B$300,MATCH($A271,'INPUT-SIF_Questions'!$A$2:$A$300,0)),""))</f>
        <v/>
      </c>
      <c r="L271" s="29" t="str">
        <f>IF($A271="","",IFERROR(INDEX('INPUT-SIF_Questions'!$F$2:$F$300,MATCH($A271,'INPUT-SIF_Questions'!$A$2:$A$300,0)),""))</f>
        <v/>
      </c>
      <c r="M271" s="29" t="str">
        <f>IF($A271="","",IFERROR(INDEX('INPUT-SIF_Questions'!$G$2:$G$300,MATCH($A271,'INPUT-SIF_Questions'!$A$2:$A$300,0)),""))</f>
        <v/>
      </c>
      <c r="N271" s="29" t="str">
        <f>IF($A271="","",IFERROR(INDEX('INPUT-SIF_Questions'!$E$2:$E$300,MATCH($A271,'INPUT-SIF_Questions'!$A$2:$A$300,0)),""))</f>
        <v/>
      </c>
    </row>
    <row r="272" spans="11:14" ht="14.25" customHeight="1" x14ac:dyDescent="0.45">
      <c r="K272" s="29" t="str">
        <f>IF($A272="","",IFERROR(INDEX('INPUT-SIF_Questions'!$B$2:$B$300,MATCH($A272,'INPUT-SIF_Questions'!$A$2:$A$300,0)),""))</f>
        <v/>
      </c>
      <c r="L272" s="29" t="str">
        <f>IF($A272="","",IFERROR(INDEX('INPUT-SIF_Questions'!$F$2:$F$300,MATCH($A272,'INPUT-SIF_Questions'!$A$2:$A$300,0)),""))</f>
        <v/>
      </c>
      <c r="M272" s="29" t="str">
        <f>IF($A272="","",IFERROR(INDEX('INPUT-SIF_Questions'!$G$2:$G$300,MATCH($A272,'INPUT-SIF_Questions'!$A$2:$A$300,0)),""))</f>
        <v/>
      </c>
      <c r="N272" s="29" t="str">
        <f>IF($A272="","",IFERROR(INDEX('INPUT-SIF_Questions'!$E$2:$E$300,MATCH($A272,'INPUT-SIF_Questions'!$A$2:$A$300,0)),""))</f>
        <v/>
      </c>
    </row>
    <row r="273" spans="11:14" ht="14.25" customHeight="1" x14ac:dyDescent="0.45">
      <c r="K273" s="29" t="str">
        <f>IF($A273="","",IFERROR(INDEX('INPUT-SIF_Questions'!$B$2:$B$300,MATCH($A273,'INPUT-SIF_Questions'!$A$2:$A$300,0)),""))</f>
        <v/>
      </c>
      <c r="L273" s="29" t="str">
        <f>IF($A273="","",IFERROR(INDEX('INPUT-SIF_Questions'!$F$2:$F$300,MATCH($A273,'INPUT-SIF_Questions'!$A$2:$A$300,0)),""))</f>
        <v/>
      </c>
      <c r="M273" s="29" t="str">
        <f>IF($A273="","",IFERROR(INDEX('INPUT-SIF_Questions'!$G$2:$G$300,MATCH($A273,'INPUT-SIF_Questions'!$A$2:$A$300,0)),""))</f>
        <v/>
      </c>
      <c r="N273" s="29" t="str">
        <f>IF($A273="","",IFERROR(INDEX('INPUT-SIF_Questions'!$E$2:$E$300,MATCH($A273,'INPUT-SIF_Questions'!$A$2:$A$300,0)),""))</f>
        <v/>
      </c>
    </row>
    <row r="274" spans="11:14" ht="14.25" customHeight="1" x14ac:dyDescent="0.45">
      <c r="K274" s="29" t="str">
        <f>IF($A274="","",IFERROR(INDEX('INPUT-SIF_Questions'!$B$2:$B$300,MATCH($A274,'INPUT-SIF_Questions'!$A$2:$A$300,0)),""))</f>
        <v/>
      </c>
      <c r="L274" s="29" t="str">
        <f>IF($A274="","",IFERROR(INDEX('INPUT-SIF_Questions'!$F$2:$F$300,MATCH($A274,'INPUT-SIF_Questions'!$A$2:$A$300,0)),""))</f>
        <v/>
      </c>
      <c r="M274" s="29" t="str">
        <f>IF($A274="","",IFERROR(INDEX('INPUT-SIF_Questions'!$G$2:$G$300,MATCH($A274,'INPUT-SIF_Questions'!$A$2:$A$300,0)),""))</f>
        <v/>
      </c>
      <c r="N274" s="29" t="str">
        <f>IF($A274="","",IFERROR(INDEX('INPUT-SIF_Questions'!$E$2:$E$300,MATCH($A274,'INPUT-SIF_Questions'!$A$2:$A$300,0)),""))</f>
        <v/>
      </c>
    </row>
    <row r="275" spans="11:14" ht="14.25" customHeight="1" x14ac:dyDescent="0.45">
      <c r="K275" s="29" t="str">
        <f>IF($A275="","",IFERROR(INDEX('INPUT-SIF_Questions'!$B$2:$B$300,MATCH($A275,'INPUT-SIF_Questions'!$A$2:$A$300,0)),""))</f>
        <v/>
      </c>
      <c r="L275" s="29" t="str">
        <f>IF($A275="","",IFERROR(INDEX('INPUT-SIF_Questions'!$F$2:$F$300,MATCH($A275,'INPUT-SIF_Questions'!$A$2:$A$300,0)),""))</f>
        <v/>
      </c>
      <c r="M275" s="29" t="str">
        <f>IF($A275="","",IFERROR(INDEX('INPUT-SIF_Questions'!$G$2:$G$300,MATCH($A275,'INPUT-SIF_Questions'!$A$2:$A$300,0)),""))</f>
        <v/>
      </c>
      <c r="N275" s="29" t="str">
        <f>IF($A275="","",IFERROR(INDEX('INPUT-SIF_Questions'!$E$2:$E$300,MATCH($A275,'INPUT-SIF_Questions'!$A$2:$A$300,0)),""))</f>
        <v/>
      </c>
    </row>
    <row r="276" spans="11:14" ht="14.25" customHeight="1" x14ac:dyDescent="0.45">
      <c r="K276" s="29" t="str">
        <f>IF($A276="","",IFERROR(INDEX('INPUT-SIF_Questions'!$B$2:$B$300,MATCH($A276,'INPUT-SIF_Questions'!$A$2:$A$300,0)),""))</f>
        <v/>
      </c>
      <c r="L276" s="29" t="str">
        <f>IF($A276="","",IFERROR(INDEX('INPUT-SIF_Questions'!$F$2:$F$300,MATCH($A276,'INPUT-SIF_Questions'!$A$2:$A$300,0)),""))</f>
        <v/>
      </c>
      <c r="M276" s="29" t="str">
        <f>IF($A276="","",IFERROR(INDEX('INPUT-SIF_Questions'!$G$2:$G$300,MATCH($A276,'INPUT-SIF_Questions'!$A$2:$A$300,0)),""))</f>
        <v/>
      </c>
      <c r="N276" s="29" t="str">
        <f>IF($A276="","",IFERROR(INDEX('INPUT-SIF_Questions'!$E$2:$E$300,MATCH($A276,'INPUT-SIF_Questions'!$A$2:$A$300,0)),""))</f>
        <v/>
      </c>
    </row>
    <row r="277" spans="11:14" ht="14.25" customHeight="1" x14ac:dyDescent="0.45">
      <c r="K277" s="29" t="str">
        <f>IF($A277="","",IFERROR(INDEX('INPUT-SIF_Questions'!$B$2:$B$300,MATCH($A277,'INPUT-SIF_Questions'!$A$2:$A$300,0)),""))</f>
        <v/>
      </c>
      <c r="L277" s="29" t="str">
        <f>IF($A277="","",IFERROR(INDEX('INPUT-SIF_Questions'!$F$2:$F$300,MATCH($A277,'INPUT-SIF_Questions'!$A$2:$A$300,0)),""))</f>
        <v/>
      </c>
      <c r="M277" s="29" t="str">
        <f>IF($A277="","",IFERROR(INDEX('INPUT-SIF_Questions'!$G$2:$G$300,MATCH($A277,'INPUT-SIF_Questions'!$A$2:$A$300,0)),""))</f>
        <v/>
      </c>
      <c r="N277" s="29" t="str">
        <f>IF($A277="","",IFERROR(INDEX('INPUT-SIF_Questions'!$E$2:$E$300,MATCH($A277,'INPUT-SIF_Questions'!$A$2:$A$300,0)),""))</f>
        <v/>
      </c>
    </row>
    <row r="278" spans="11:14" ht="14.25" customHeight="1" x14ac:dyDescent="0.45">
      <c r="K278" s="29" t="str">
        <f>IF($A278="","",IFERROR(INDEX('INPUT-SIF_Questions'!$B$2:$B$300,MATCH($A278,'INPUT-SIF_Questions'!$A$2:$A$300,0)),""))</f>
        <v/>
      </c>
      <c r="L278" s="29" t="str">
        <f>IF($A278="","",IFERROR(INDEX('INPUT-SIF_Questions'!$F$2:$F$300,MATCH($A278,'INPUT-SIF_Questions'!$A$2:$A$300,0)),""))</f>
        <v/>
      </c>
      <c r="M278" s="29" t="str">
        <f>IF($A278="","",IFERROR(INDEX('INPUT-SIF_Questions'!$G$2:$G$300,MATCH($A278,'INPUT-SIF_Questions'!$A$2:$A$300,0)),""))</f>
        <v/>
      </c>
      <c r="N278" s="29" t="str">
        <f>IF($A278="","",IFERROR(INDEX('INPUT-SIF_Questions'!$E$2:$E$300,MATCH($A278,'INPUT-SIF_Questions'!$A$2:$A$300,0)),""))</f>
        <v/>
      </c>
    </row>
    <row r="279" spans="11:14" ht="14.25" customHeight="1" x14ac:dyDescent="0.45">
      <c r="K279" s="29" t="str">
        <f>IF($A279="","",IFERROR(INDEX('INPUT-SIF_Questions'!$B$2:$B$300,MATCH($A279,'INPUT-SIF_Questions'!$A$2:$A$300,0)),""))</f>
        <v/>
      </c>
      <c r="L279" s="29" t="str">
        <f>IF($A279="","",IFERROR(INDEX('INPUT-SIF_Questions'!$F$2:$F$300,MATCH($A279,'INPUT-SIF_Questions'!$A$2:$A$300,0)),""))</f>
        <v/>
      </c>
      <c r="M279" s="29" t="str">
        <f>IF($A279="","",IFERROR(INDEX('INPUT-SIF_Questions'!$G$2:$G$300,MATCH($A279,'INPUT-SIF_Questions'!$A$2:$A$300,0)),""))</f>
        <v/>
      </c>
      <c r="N279" s="29" t="str">
        <f>IF($A279="","",IFERROR(INDEX('INPUT-SIF_Questions'!$E$2:$E$300,MATCH($A279,'INPUT-SIF_Questions'!$A$2:$A$300,0)),""))</f>
        <v/>
      </c>
    </row>
    <row r="280" spans="11:14" ht="14.25" customHeight="1" x14ac:dyDescent="0.45">
      <c r="K280" s="29" t="str">
        <f>IF($A280="","",IFERROR(INDEX('INPUT-SIF_Questions'!$B$2:$B$300,MATCH($A280,'INPUT-SIF_Questions'!$A$2:$A$300,0)),""))</f>
        <v/>
      </c>
      <c r="L280" s="29" t="str">
        <f>IF($A280="","",IFERROR(INDEX('INPUT-SIF_Questions'!$F$2:$F$300,MATCH($A280,'INPUT-SIF_Questions'!$A$2:$A$300,0)),""))</f>
        <v/>
      </c>
      <c r="M280" s="29" t="str">
        <f>IF($A280="","",IFERROR(INDEX('INPUT-SIF_Questions'!$G$2:$G$300,MATCH($A280,'INPUT-SIF_Questions'!$A$2:$A$300,0)),""))</f>
        <v/>
      </c>
      <c r="N280" s="29" t="str">
        <f>IF($A280="","",IFERROR(INDEX('INPUT-SIF_Questions'!$E$2:$E$300,MATCH($A280,'INPUT-SIF_Questions'!$A$2:$A$300,0)),""))</f>
        <v/>
      </c>
    </row>
    <row r="281" spans="11:14" ht="14.25" customHeight="1" x14ac:dyDescent="0.45">
      <c r="K281" s="29" t="str">
        <f>IF($A281="","",IFERROR(INDEX('INPUT-SIF_Questions'!$B$2:$B$300,MATCH($A281,'INPUT-SIF_Questions'!$A$2:$A$300,0)),""))</f>
        <v/>
      </c>
      <c r="L281" s="29" t="str">
        <f>IF($A281="","",IFERROR(INDEX('INPUT-SIF_Questions'!$F$2:$F$300,MATCH($A281,'INPUT-SIF_Questions'!$A$2:$A$300,0)),""))</f>
        <v/>
      </c>
      <c r="M281" s="29" t="str">
        <f>IF($A281="","",IFERROR(INDEX('INPUT-SIF_Questions'!$G$2:$G$300,MATCH($A281,'INPUT-SIF_Questions'!$A$2:$A$300,0)),""))</f>
        <v/>
      </c>
      <c r="N281" s="29" t="str">
        <f>IF($A281="","",IFERROR(INDEX('INPUT-SIF_Questions'!$E$2:$E$300,MATCH($A281,'INPUT-SIF_Questions'!$A$2:$A$300,0)),""))</f>
        <v/>
      </c>
    </row>
    <row r="282" spans="11:14" ht="14.25" customHeight="1" x14ac:dyDescent="0.45">
      <c r="K282" s="29" t="str">
        <f>IF($A282="","",IFERROR(INDEX('INPUT-SIF_Questions'!$B$2:$B$300,MATCH($A282,'INPUT-SIF_Questions'!$A$2:$A$300,0)),""))</f>
        <v/>
      </c>
      <c r="L282" s="29" t="str">
        <f>IF($A282="","",IFERROR(INDEX('INPUT-SIF_Questions'!$F$2:$F$300,MATCH($A282,'INPUT-SIF_Questions'!$A$2:$A$300,0)),""))</f>
        <v/>
      </c>
      <c r="M282" s="29" t="str">
        <f>IF($A282="","",IFERROR(INDEX('INPUT-SIF_Questions'!$G$2:$G$300,MATCH($A282,'INPUT-SIF_Questions'!$A$2:$A$300,0)),""))</f>
        <v/>
      </c>
      <c r="N282" s="29" t="str">
        <f>IF($A282="","",IFERROR(INDEX('INPUT-SIF_Questions'!$E$2:$E$300,MATCH($A282,'INPUT-SIF_Questions'!$A$2:$A$300,0)),""))</f>
        <v/>
      </c>
    </row>
    <row r="283" spans="11:14" ht="14.25" customHeight="1" x14ac:dyDescent="0.45">
      <c r="K283" s="29" t="str">
        <f>IF($A283="","",IFERROR(INDEX('INPUT-SIF_Questions'!$B$2:$B$300,MATCH($A283,'INPUT-SIF_Questions'!$A$2:$A$300,0)),""))</f>
        <v/>
      </c>
      <c r="L283" s="29" t="str">
        <f>IF($A283="","",IFERROR(INDEX('INPUT-SIF_Questions'!$F$2:$F$300,MATCH($A283,'INPUT-SIF_Questions'!$A$2:$A$300,0)),""))</f>
        <v/>
      </c>
      <c r="M283" s="29" t="str">
        <f>IF($A283="","",IFERROR(INDEX('INPUT-SIF_Questions'!$G$2:$G$300,MATCH($A283,'INPUT-SIF_Questions'!$A$2:$A$300,0)),""))</f>
        <v/>
      </c>
      <c r="N283" s="29" t="str">
        <f>IF($A283="","",IFERROR(INDEX('INPUT-SIF_Questions'!$E$2:$E$300,MATCH($A283,'INPUT-SIF_Questions'!$A$2:$A$300,0)),""))</f>
        <v/>
      </c>
    </row>
    <row r="284" spans="11:14" ht="14.25" customHeight="1" x14ac:dyDescent="0.45">
      <c r="K284" s="29" t="str">
        <f>IF($A284="","",IFERROR(INDEX('INPUT-SIF_Questions'!$B$2:$B$300,MATCH($A284,'INPUT-SIF_Questions'!$A$2:$A$300,0)),""))</f>
        <v/>
      </c>
      <c r="L284" s="29" t="str">
        <f>IF($A284="","",IFERROR(INDEX('INPUT-SIF_Questions'!$F$2:$F$300,MATCH($A284,'INPUT-SIF_Questions'!$A$2:$A$300,0)),""))</f>
        <v/>
      </c>
      <c r="M284" s="29" t="str">
        <f>IF($A284="","",IFERROR(INDEX('INPUT-SIF_Questions'!$G$2:$G$300,MATCH($A284,'INPUT-SIF_Questions'!$A$2:$A$300,0)),""))</f>
        <v/>
      </c>
      <c r="N284" s="29" t="str">
        <f>IF($A284="","",IFERROR(INDEX('INPUT-SIF_Questions'!$E$2:$E$300,MATCH($A284,'INPUT-SIF_Questions'!$A$2:$A$300,0)),""))</f>
        <v/>
      </c>
    </row>
    <row r="285" spans="11:14" ht="14.25" customHeight="1" x14ac:dyDescent="0.45">
      <c r="K285" s="29" t="str">
        <f>IF($A285="","",IFERROR(INDEX('INPUT-SIF_Questions'!$B$2:$B$300,MATCH($A285,'INPUT-SIF_Questions'!$A$2:$A$300,0)),""))</f>
        <v/>
      </c>
      <c r="L285" s="29" t="str">
        <f>IF($A285="","",IFERROR(INDEX('INPUT-SIF_Questions'!$F$2:$F$300,MATCH($A285,'INPUT-SIF_Questions'!$A$2:$A$300,0)),""))</f>
        <v/>
      </c>
      <c r="M285" s="29" t="str">
        <f>IF($A285="","",IFERROR(INDEX('INPUT-SIF_Questions'!$G$2:$G$300,MATCH($A285,'INPUT-SIF_Questions'!$A$2:$A$300,0)),""))</f>
        <v/>
      </c>
      <c r="N285" s="29" t="str">
        <f>IF($A285="","",IFERROR(INDEX('INPUT-SIF_Questions'!$E$2:$E$300,MATCH($A285,'INPUT-SIF_Questions'!$A$2:$A$300,0)),""))</f>
        <v/>
      </c>
    </row>
    <row r="286" spans="11:14" ht="14.25" customHeight="1" x14ac:dyDescent="0.45">
      <c r="K286" s="29" t="str">
        <f>IF($A286="","",IFERROR(INDEX('INPUT-SIF_Questions'!$B$2:$B$300,MATCH($A286,'INPUT-SIF_Questions'!$A$2:$A$300,0)),""))</f>
        <v/>
      </c>
      <c r="L286" s="29" t="str">
        <f>IF($A286="","",IFERROR(INDEX('INPUT-SIF_Questions'!$F$2:$F$300,MATCH($A286,'INPUT-SIF_Questions'!$A$2:$A$300,0)),""))</f>
        <v/>
      </c>
      <c r="M286" s="29" t="str">
        <f>IF($A286="","",IFERROR(INDEX('INPUT-SIF_Questions'!$G$2:$G$300,MATCH($A286,'INPUT-SIF_Questions'!$A$2:$A$300,0)),""))</f>
        <v/>
      </c>
      <c r="N286" s="29" t="str">
        <f>IF($A286="","",IFERROR(INDEX('INPUT-SIF_Questions'!$E$2:$E$300,MATCH($A286,'INPUT-SIF_Questions'!$A$2:$A$300,0)),""))</f>
        <v/>
      </c>
    </row>
    <row r="287" spans="11:14" ht="14.25" customHeight="1" x14ac:dyDescent="0.45">
      <c r="K287" s="29" t="str">
        <f>IF($A287="","",IFERROR(INDEX('INPUT-SIF_Questions'!$B$2:$B$300,MATCH($A287,'INPUT-SIF_Questions'!$A$2:$A$300,0)),""))</f>
        <v/>
      </c>
      <c r="L287" s="29" t="str">
        <f>IF($A287="","",IFERROR(INDEX('INPUT-SIF_Questions'!$F$2:$F$300,MATCH($A287,'INPUT-SIF_Questions'!$A$2:$A$300,0)),""))</f>
        <v/>
      </c>
      <c r="M287" s="29" t="str">
        <f>IF($A287="","",IFERROR(INDEX('INPUT-SIF_Questions'!$G$2:$G$300,MATCH($A287,'INPUT-SIF_Questions'!$A$2:$A$300,0)),""))</f>
        <v/>
      </c>
      <c r="N287" s="29" t="str">
        <f>IF($A287="","",IFERROR(INDEX('INPUT-SIF_Questions'!$E$2:$E$300,MATCH($A287,'INPUT-SIF_Questions'!$A$2:$A$300,0)),""))</f>
        <v/>
      </c>
    </row>
    <row r="288" spans="11:14" ht="14.25" customHeight="1" x14ac:dyDescent="0.45">
      <c r="K288" s="29" t="str">
        <f>IF($A288="","",IFERROR(INDEX('INPUT-SIF_Questions'!$B$2:$B$300,MATCH($A288,'INPUT-SIF_Questions'!$A$2:$A$300,0)),""))</f>
        <v/>
      </c>
      <c r="L288" s="29" t="str">
        <f>IF($A288="","",IFERROR(INDEX('INPUT-SIF_Questions'!$F$2:$F$300,MATCH($A288,'INPUT-SIF_Questions'!$A$2:$A$300,0)),""))</f>
        <v/>
      </c>
      <c r="M288" s="29" t="str">
        <f>IF($A288="","",IFERROR(INDEX('INPUT-SIF_Questions'!$G$2:$G$300,MATCH($A288,'INPUT-SIF_Questions'!$A$2:$A$300,0)),""))</f>
        <v/>
      </c>
      <c r="N288" s="29" t="str">
        <f>IF($A288="","",IFERROR(INDEX('INPUT-SIF_Questions'!$E$2:$E$300,MATCH($A288,'INPUT-SIF_Questions'!$A$2:$A$300,0)),""))</f>
        <v/>
      </c>
    </row>
    <row r="289" spans="11:14" ht="14.25" customHeight="1" x14ac:dyDescent="0.45">
      <c r="K289" s="29" t="str">
        <f>IF($A289="","",IFERROR(INDEX('INPUT-SIF_Questions'!$B$2:$B$300,MATCH($A289,'INPUT-SIF_Questions'!$A$2:$A$300,0)),""))</f>
        <v/>
      </c>
      <c r="L289" s="29" t="str">
        <f>IF($A289="","",IFERROR(INDEX('INPUT-SIF_Questions'!$F$2:$F$300,MATCH($A289,'INPUT-SIF_Questions'!$A$2:$A$300,0)),""))</f>
        <v/>
      </c>
      <c r="M289" s="29" t="str">
        <f>IF($A289="","",IFERROR(INDEX('INPUT-SIF_Questions'!$G$2:$G$300,MATCH($A289,'INPUT-SIF_Questions'!$A$2:$A$300,0)),""))</f>
        <v/>
      </c>
      <c r="N289" s="29" t="str">
        <f>IF($A289="","",IFERROR(INDEX('INPUT-SIF_Questions'!$E$2:$E$300,MATCH($A289,'INPUT-SIF_Questions'!$A$2:$A$300,0)),""))</f>
        <v/>
      </c>
    </row>
    <row r="290" spans="11:14" ht="14.25" customHeight="1" x14ac:dyDescent="0.45">
      <c r="K290" s="29" t="str">
        <f>IF($A290="","",IFERROR(INDEX('INPUT-SIF_Questions'!$B$2:$B$300,MATCH($A290,'INPUT-SIF_Questions'!$A$2:$A$300,0)),""))</f>
        <v/>
      </c>
      <c r="L290" s="29" t="str">
        <f>IF($A290="","",IFERROR(INDEX('INPUT-SIF_Questions'!$F$2:$F$300,MATCH($A290,'INPUT-SIF_Questions'!$A$2:$A$300,0)),""))</f>
        <v/>
      </c>
      <c r="M290" s="29" t="str">
        <f>IF($A290="","",IFERROR(INDEX('INPUT-SIF_Questions'!$G$2:$G$300,MATCH($A290,'INPUT-SIF_Questions'!$A$2:$A$300,0)),""))</f>
        <v/>
      </c>
      <c r="N290" s="29" t="str">
        <f>IF($A290="","",IFERROR(INDEX('INPUT-SIF_Questions'!$E$2:$E$300,MATCH($A290,'INPUT-SIF_Questions'!$A$2:$A$300,0)),""))</f>
        <v/>
      </c>
    </row>
    <row r="291" spans="11:14" ht="14.25" customHeight="1" x14ac:dyDescent="0.45">
      <c r="K291" s="29" t="str">
        <f>IF($A291="","",IFERROR(INDEX('INPUT-SIF_Questions'!$B$2:$B$300,MATCH($A291,'INPUT-SIF_Questions'!$A$2:$A$300,0)),""))</f>
        <v/>
      </c>
      <c r="L291" s="29" t="str">
        <f>IF($A291="","",IFERROR(INDEX('INPUT-SIF_Questions'!$F$2:$F$300,MATCH($A291,'INPUT-SIF_Questions'!$A$2:$A$300,0)),""))</f>
        <v/>
      </c>
      <c r="M291" s="29" t="str">
        <f>IF($A291="","",IFERROR(INDEX('INPUT-SIF_Questions'!$G$2:$G$300,MATCH($A291,'INPUT-SIF_Questions'!$A$2:$A$300,0)),""))</f>
        <v/>
      </c>
      <c r="N291" s="29" t="str">
        <f>IF($A291="","",IFERROR(INDEX('INPUT-SIF_Questions'!$E$2:$E$300,MATCH($A291,'INPUT-SIF_Questions'!$A$2:$A$300,0)),""))</f>
        <v/>
      </c>
    </row>
    <row r="292" spans="11:14" ht="14.25" customHeight="1" x14ac:dyDescent="0.45">
      <c r="K292" s="29" t="str">
        <f>IF($A292="","",IFERROR(INDEX('INPUT-SIF_Questions'!$B$2:$B$300,MATCH($A292,'INPUT-SIF_Questions'!$A$2:$A$300,0)),""))</f>
        <v/>
      </c>
      <c r="L292" s="29" t="str">
        <f>IF($A292="","",IFERROR(INDEX('INPUT-SIF_Questions'!$F$2:$F$300,MATCH($A292,'INPUT-SIF_Questions'!$A$2:$A$300,0)),""))</f>
        <v/>
      </c>
      <c r="M292" s="29" t="str">
        <f>IF($A292="","",IFERROR(INDEX('INPUT-SIF_Questions'!$G$2:$G$300,MATCH($A292,'INPUT-SIF_Questions'!$A$2:$A$300,0)),""))</f>
        <v/>
      </c>
      <c r="N292" s="29" t="str">
        <f>IF($A292="","",IFERROR(INDEX('INPUT-SIF_Questions'!$E$2:$E$300,MATCH($A292,'INPUT-SIF_Questions'!$A$2:$A$300,0)),""))</f>
        <v/>
      </c>
    </row>
    <row r="293" spans="11:14" ht="14.25" customHeight="1" x14ac:dyDescent="0.45">
      <c r="K293" s="29" t="str">
        <f>IF($A293="","",IFERROR(INDEX('INPUT-SIF_Questions'!$B$2:$B$300,MATCH($A293,'INPUT-SIF_Questions'!$A$2:$A$300,0)),""))</f>
        <v/>
      </c>
      <c r="L293" s="29" t="str">
        <f>IF($A293="","",IFERROR(INDEX('INPUT-SIF_Questions'!$F$2:$F$300,MATCH($A293,'INPUT-SIF_Questions'!$A$2:$A$300,0)),""))</f>
        <v/>
      </c>
      <c r="M293" s="29" t="str">
        <f>IF($A293="","",IFERROR(INDEX('INPUT-SIF_Questions'!$G$2:$G$300,MATCH($A293,'INPUT-SIF_Questions'!$A$2:$A$300,0)),""))</f>
        <v/>
      </c>
      <c r="N293" s="29" t="str">
        <f>IF($A293="","",IFERROR(INDEX('INPUT-SIF_Questions'!$E$2:$E$300,MATCH($A293,'INPUT-SIF_Questions'!$A$2:$A$300,0)),""))</f>
        <v/>
      </c>
    </row>
    <row r="294" spans="11:14" ht="14.25" customHeight="1" x14ac:dyDescent="0.45">
      <c r="K294" s="29" t="str">
        <f>IF($A294="","",IFERROR(INDEX('INPUT-SIF_Questions'!$B$2:$B$300,MATCH($A294,'INPUT-SIF_Questions'!$A$2:$A$300,0)),""))</f>
        <v/>
      </c>
      <c r="L294" s="29" t="str">
        <f>IF($A294="","",IFERROR(INDEX('INPUT-SIF_Questions'!$F$2:$F$300,MATCH($A294,'INPUT-SIF_Questions'!$A$2:$A$300,0)),""))</f>
        <v/>
      </c>
      <c r="M294" s="29" t="str">
        <f>IF($A294="","",IFERROR(INDEX('INPUT-SIF_Questions'!$G$2:$G$300,MATCH($A294,'INPUT-SIF_Questions'!$A$2:$A$300,0)),""))</f>
        <v/>
      </c>
      <c r="N294" s="29" t="str">
        <f>IF($A294="","",IFERROR(INDEX('INPUT-SIF_Questions'!$E$2:$E$300,MATCH($A294,'INPUT-SIF_Questions'!$A$2:$A$300,0)),""))</f>
        <v/>
      </c>
    </row>
    <row r="295" spans="11:14" ht="14.25" customHeight="1" x14ac:dyDescent="0.45">
      <c r="K295" s="29" t="str">
        <f>IF($A295="","",IFERROR(INDEX('INPUT-SIF_Questions'!$B$2:$B$300,MATCH($A295,'INPUT-SIF_Questions'!$A$2:$A$300,0)),""))</f>
        <v/>
      </c>
      <c r="L295" s="29" t="str">
        <f>IF($A295="","",IFERROR(INDEX('INPUT-SIF_Questions'!$F$2:$F$300,MATCH($A295,'INPUT-SIF_Questions'!$A$2:$A$300,0)),""))</f>
        <v/>
      </c>
      <c r="M295" s="29" t="str">
        <f>IF($A295="","",IFERROR(INDEX('INPUT-SIF_Questions'!$G$2:$G$300,MATCH($A295,'INPUT-SIF_Questions'!$A$2:$A$300,0)),""))</f>
        <v/>
      </c>
      <c r="N295" s="29" t="str">
        <f>IF($A295="","",IFERROR(INDEX('INPUT-SIF_Questions'!$E$2:$E$300,MATCH($A295,'INPUT-SIF_Questions'!$A$2:$A$300,0)),""))</f>
        <v/>
      </c>
    </row>
    <row r="296" spans="11:14" ht="14.25" customHeight="1" x14ac:dyDescent="0.45">
      <c r="K296" s="29" t="str">
        <f>IF($A296="","",IFERROR(INDEX('INPUT-SIF_Questions'!$B$2:$B$300,MATCH($A296,'INPUT-SIF_Questions'!$A$2:$A$300,0)),""))</f>
        <v/>
      </c>
      <c r="L296" s="29" t="str">
        <f>IF($A296="","",IFERROR(INDEX('INPUT-SIF_Questions'!$F$2:$F$300,MATCH($A296,'INPUT-SIF_Questions'!$A$2:$A$300,0)),""))</f>
        <v/>
      </c>
      <c r="M296" s="29" t="str">
        <f>IF($A296="","",IFERROR(INDEX('INPUT-SIF_Questions'!$G$2:$G$300,MATCH($A296,'INPUT-SIF_Questions'!$A$2:$A$300,0)),""))</f>
        <v/>
      </c>
      <c r="N296" s="29" t="str">
        <f>IF($A296="","",IFERROR(INDEX('INPUT-SIF_Questions'!$E$2:$E$300,MATCH($A296,'INPUT-SIF_Questions'!$A$2:$A$300,0)),""))</f>
        <v/>
      </c>
    </row>
    <row r="297" spans="11:14" ht="14.25" customHeight="1" x14ac:dyDescent="0.45">
      <c r="K297" s="29" t="str">
        <f>IF($A297="","",IFERROR(INDEX('INPUT-SIF_Questions'!$B$2:$B$300,MATCH($A297,'INPUT-SIF_Questions'!$A$2:$A$300,0)),""))</f>
        <v/>
      </c>
      <c r="L297" s="29" t="str">
        <f>IF($A297="","",IFERROR(INDEX('INPUT-SIF_Questions'!$F$2:$F$300,MATCH($A297,'INPUT-SIF_Questions'!$A$2:$A$300,0)),""))</f>
        <v/>
      </c>
      <c r="M297" s="29" t="str">
        <f>IF($A297="","",IFERROR(INDEX('INPUT-SIF_Questions'!$G$2:$G$300,MATCH($A297,'INPUT-SIF_Questions'!$A$2:$A$300,0)),""))</f>
        <v/>
      </c>
      <c r="N297" s="29" t="str">
        <f>IF($A297="","",IFERROR(INDEX('INPUT-SIF_Questions'!$E$2:$E$300,MATCH($A297,'INPUT-SIF_Questions'!$A$2:$A$300,0)),""))</f>
        <v/>
      </c>
    </row>
    <row r="298" spans="11:14" ht="14.25" customHeight="1" x14ac:dyDescent="0.45">
      <c r="K298" s="29" t="str">
        <f>IF($A298="","",IFERROR(INDEX('INPUT-SIF_Questions'!$B$2:$B$300,MATCH($A298,'INPUT-SIF_Questions'!$A$2:$A$300,0)),""))</f>
        <v/>
      </c>
      <c r="L298" s="29" t="str">
        <f>IF($A298="","",IFERROR(INDEX('INPUT-SIF_Questions'!$F$2:$F$300,MATCH($A298,'INPUT-SIF_Questions'!$A$2:$A$300,0)),""))</f>
        <v/>
      </c>
      <c r="M298" s="29" t="str">
        <f>IF($A298="","",IFERROR(INDEX('INPUT-SIF_Questions'!$G$2:$G$300,MATCH($A298,'INPUT-SIF_Questions'!$A$2:$A$300,0)),""))</f>
        <v/>
      </c>
      <c r="N298" s="29" t="str">
        <f>IF($A298="","",IFERROR(INDEX('INPUT-SIF_Questions'!$E$2:$E$300,MATCH($A298,'INPUT-SIF_Questions'!$A$2:$A$300,0)),""))</f>
        <v/>
      </c>
    </row>
    <row r="299" spans="11:14" ht="14.25" customHeight="1" x14ac:dyDescent="0.45">
      <c r="K299" s="29" t="str">
        <f>IF($A299="","",IFERROR(INDEX('INPUT-SIF_Questions'!$B$2:$B$300,MATCH($A299,'INPUT-SIF_Questions'!$A$2:$A$300,0)),""))</f>
        <v/>
      </c>
      <c r="L299" s="29" t="str">
        <f>IF($A299="","",IFERROR(INDEX('INPUT-SIF_Questions'!$F$2:$F$300,MATCH($A299,'INPUT-SIF_Questions'!$A$2:$A$300,0)),""))</f>
        <v/>
      </c>
      <c r="M299" s="29" t="str">
        <f>IF($A299="","",IFERROR(INDEX('INPUT-SIF_Questions'!$G$2:$G$300,MATCH($A299,'INPUT-SIF_Questions'!$A$2:$A$300,0)),""))</f>
        <v/>
      </c>
      <c r="N299" s="29" t="str">
        <f>IF($A299="","",IFERROR(INDEX('INPUT-SIF_Questions'!$E$2:$E$300,MATCH($A299,'INPUT-SIF_Questions'!$A$2:$A$300,0)),""))</f>
        <v/>
      </c>
    </row>
    <row r="300" spans="11:14" ht="14.25" customHeight="1" x14ac:dyDescent="0.45">
      <c r="K300" s="29" t="str">
        <f>IF($A300="","",IFERROR(INDEX('INPUT-SIF_Questions'!$B$2:$B$300,MATCH($A300,'INPUT-SIF_Questions'!$A$2:$A$300,0)),""))</f>
        <v/>
      </c>
      <c r="L300" s="29" t="str">
        <f>IF($A300="","",IFERROR(INDEX('INPUT-SIF_Questions'!$F$2:$F$300,MATCH($A300,'INPUT-SIF_Questions'!$A$2:$A$300,0)),""))</f>
        <v/>
      </c>
      <c r="M300" s="29" t="str">
        <f>IF($A300="","",IFERROR(INDEX('INPUT-SIF_Questions'!$G$2:$G$300,MATCH($A300,'INPUT-SIF_Questions'!$A$2:$A$300,0)),""))</f>
        <v/>
      </c>
      <c r="N300" s="29" t="str">
        <f>IF($A300="","",IFERROR(INDEX('INPUT-SIF_Questions'!$E$2:$E$300,MATCH($A300,'INPUT-SIF_Questions'!$A$2:$A$300,0)),""))</f>
        <v/>
      </c>
    </row>
  </sheetData>
  <dataValidations count="3">
    <dataValidation type="list" allowBlank="1" showInputMessage="1" showErrorMessage="1" sqref="B2:B54" xr:uid="{00000000-0002-0000-0400-000000000000}">
      <formula1>VV_Protocols</formula1>
      <formula2>0</formula2>
    </dataValidation>
    <dataValidation type="list" allowBlank="1" showInputMessage="1" showErrorMessage="1" sqref="G2:G28 G37:G139" xr:uid="{00000000-0002-0000-0400-000001000000}">
      <formula1>INDIRECT(F2)</formula1>
      <formula2>0</formula2>
    </dataValidation>
    <dataValidation type="list" allowBlank="1" showInputMessage="1" showErrorMessage="1" sqref="E2:E153" xr:uid="{00000000-0002-0000-0400-000002000000}">
      <formula1>Latent_Level.1</formula1>
      <formula2>0</formula2>
    </dataValidation>
  </dataValidation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K134"/>
  <sheetViews>
    <sheetView zoomScaleNormal="100" workbookViewId="0"/>
  </sheetViews>
  <sheetFormatPr defaultColWidth="9.06640625" defaultRowHeight="13.5" customHeight="1" x14ac:dyDescent="0.45"/>
  <cols>
    <col min="1" max="1" width="6.3984375" style="35" customWidth="1"/>
    <col min="2" max="2" width="19.19921875" style="36" customWidth="1"/>
    <col min="3" max="3" width="12.796875" style="36" customWidth="1"/>
    <col min="4" max="4" width="29.86328125" style="36" customWidth="1"/>
    <col min="5" max="5" width="21.33203125" style="36" customWidth="1"/>
    <col min="6" max="6" width="17.06640625" style="35" customWidth="1"/>
    <col min="7" max="7" width="15.796875" style="35" customWidth="1"/>
    <col min="8" max="8" width="49" style="36" customWidth="1"/>
    <col min="9" max="9" width="58.6640625" style="36" customWidth="1"/>
    <col min="10" max="10" width="12.796875" style="35" customWidth="1"/>
    <col min="11" max="11" width="36.265625" style="36" customWidth="1"/>
    <col min="12" max="16384" width="9.06640625" style="36"/>
  </cols>
  <sheetData>
    <row r="1" spans="1:11" ht="13.5" customHeight="1" x14ac:dyDescent="0.45">
      <c r="A1" s="37" t="s">
        <v>985</v>
      </c>
      <c r="B1" s="37" t="s">
        <v>986</v>
      </c>
      <c r="C1" s="37" t="s">
        <v>987</v>
      </c>
      <c r="D1" s="37" t="s">
        <v>988</v>
      </c>
      <c r="E1" s="37" t="s">
        <v>989</v>
      </c>
      <c r="F1" s="38" t="s">
        <v>10</v>
      </c>
      <c r="G1" s="37" t="s">
        <v>990</v>
      </c>
      <c r="H1" s="37" t="s">
        <v>991</v>
      </c>
      <c r="I1" s="37" t="s">
        <v>992</v>
      </c>
      <c r="J1" s="37" t="s">
        <v>993</v>
      </c>
      <c r="K1" s="37" t="s">
        <v>994</v>
      </c>
    </row>
    <row r="2" spans="1:11" ht="13.5" customHeight="1" x14ac:dyDescent="0.45">
      <c r="A2" s="39">
        <v>1</v>
      </c>
      <c r="B2" s="40" t="s">
        <v>995</v>
      </c>
      <c r="C2" s="40" t="s">
        <v>996</v>
      </c>
      <c r="D2" s="40" t="s">
        <v>426</v>
      </c>
      <c r="E2" s="40" t="s">
        <v>995</v>
      </c>
      <c r="F2" s="39" t="s">
        <v>424</v>
      </c>
      <c r="G2" s="39" t="s">
        <v>35</v>
      </c>
      <c r="H2" s="40" t="s">
        <v>425</v>
      </c>
      <c r="I2" s="40" t="s">
        <v>997</v>
      </c>
      <c r="J2" s="39">
        <v>1</v>
      </c>
      <c r="K2" s="40" t="s">
        <v>998</v>
      </c>
    </row>
    <row r="3" spans="1:11" ht="13.5" customHeight="1" x14ac:dyDescent="0.45">
      <c r="A3" s="39">
        <v>2</v>
      </c>
      <c r="B3" s="40" t="s">
        <v>995</v>
      </c>
      <c r="C3" s="40" t="s">
        <v>996</v>
      </c>
      <c r="D3" s="40" t="s">
        <v>426</v>
      </c>
      <c r="E3" s="40" t="s">
        <v>995</v>
      </c>
      <c r="F3" s="39" t="s">
        <v>431</v>
      </c>
      <c r="G3" s="39" t="s">
        <v>48</v>
      </c>
      <c r="H3" s="40" t="s">
        <v>432</v>
      </c>
      <c r="I3" s="40" t="s">
        <v>999</v>
      </c>
      <c r="J3" s="39">
        <v>1</v>
      </c>
      <c r="K3" s="40" t="s">
        <v>998</v>
      </c>
    </row>
    <row r="4" spans="1:11" ht="13.5" customHeight="1" x14ac:dyDescent="0.45">
      <c r="A4" s="39">
        <v>3</v>
      </c>
      <c r="B4" s="40" t="s">
        <v>995</v>
      </c>
      <c r="C4" s="40" t="s">
        <v>996</v>
      </c>
      <c r="D4" s="40" t="s">
        <v>426</v>
      </c>
      <c r="E4" s="40" t="s">
        <v>995</v>
      </c>
      <c r="F4" s="39" t="s">
        <v>433</v>
      </c>
      <c r="G4" s="39" t="s">
        <v>53</v>
      </c>
      <c r="H4" s="40" t="s">
        <v>434</v>
      </c>
      <c r="I4" s="40" t="s">
        <v>1000</v>
      </c>
      <c r="J4" s="39">
        <v>1</v>
      </c>
      <c r="K4" s="40" t="s">
        <v>998</v>
      </c>
    </row>
    <row r="5" spans="1:11" ht="13.5" customHeight="1" x14ac:dyDescent="0.45">
      <c r="A5" s="39">
        <v>4</v>
      </c>
      <c r="B5" s="40" t="s">
        <v>995</v>
      </c>
      <c r="C5" s="40" t="s">
        <v>996</v>
      </c>
      <c r="D5" s="40" t="s">
        <v>426</v>
      </c>
      <c r="E5" s="40" t="s">
        <v>995</v>
      </c>
      <c r="F5" s="39" t="s">
        <v>435</v>
      </c>
      <c r="G5" s="39" t="s">
        <v>59</v>
      </c>
      <c r="H5" s="40" t="s">
        <v>436</v>
      </c>
      <c r="I5" s="40" t="s">
        <v>1001</v>
      </c>
      <c r="J5" s="39">
        <v>1</v>
      </c>
      <c r="K5" s="40" t="s">
        <v>998</v>
      </c>
    </row>
    <row r="6" spans="1:11" ht="13.5" customHeight="1" x14ac:dyDescent="0.45">
      <c r="A6" s="39">
        <v>5</v>
      </c>
      <c r="B6" s="40" t="s">
        <v>995</v>
      </c>
      <c r="C6" s="40" t="s">
        <v>1002</v>
      </c>
      <c r="D6" s="40" t="s">
        <v>154</v>
      </c>
      <c r="E6" s="40" t="s">
        <v>995</v>
      </c>
      <c r="F6" s="39" t="s">
        <v>411</v>
      </c>
      <c r="G6" s="39" t="s">
        <v>35</v>
      </c>
      <c r="H6" s="40" t="s">
        <v>412</v>
      </c>
      <c r="I6" s="40" t="s">
        <v>1003</v>
      </c>
      <c r="J6" s="39">
        <v>1</v>
      </c>
      <c r="K6" s="40" t="s">
        <v>998</v>
      </c>
    </row>
    <row r="7" spans="1:11" ht="13.5" customHeight="1" x14ac:dyDescent="0.45">
      <c r="A7" s="39">
        <v>6</v>
      </c>
      <c r="B7" s="40" t="s">
        <v>995</v>
      </c>
      <c r="C7" s="40" t="s">
        <v>1002</v>
      </c>
      <c r="D7" s="40" t="s">
        <v>154</v>
      </c>
      <c r="E7" s="40" t="s">
        <v>995</v>
      </c>
      <c r="F7" s="39" t="s">
        <v>414</v>
      </c>
      <c r="G7" s="39" t="s">
        <v>48</v>
      </c>
      <c r="H7" s="40" t="s">
        <v>415</v>
      </c>
      <c r="I7" s="40" t="s">
        <v>1004</v>
      </c>
      <c r="J7" s="39">
        <v>1</v>
      </c>
      <c r="K7" s="40" t="s">
        <v>998</v>
      </c>
    </row>
    <row r="8" spans="1:11" ht="20.25" customHeight="1" x14ac:dyDescent="0.45">
      <c r="A8" s="39">
        <v>7</v>
      </c>
      <c r="B8" s="40" t="s">
        <v>995</v>
      </c>
      <c r="C8" s="40" t="s">
        <v>1002</v>
      </c>
      <c r="D8" s="40" t="s">
        <v>154</v>
      </c>
      <c r="E8" s="40" t="s">
        <v>995</v>
      </c>
      <c r="F8" s="39" t="s">
        <v>417</v>
      </c>
      <c r="G8" s="39" t="s">
        <v>53</v>
      </c>
      <c r="H8" s="40" t="s">
        <v>418</v>
      </c>
      <c r="I8" s="40" t="s">
        <v>1005</v>
      </c>
      <c r="J8" s="39">
        <v>1</v>
      </c>
      <c r="K8" s="40" t="s">
        <v>998</v>
      </c>
    </row>
    <row r="9" spans="1:11" ht="13.5" customHeight="1" x14ac:dyDescent="0.45">
      <c r="A9" s="39">
        <v>8</v>
      </c>
      <c r="B9" s="40" t="s">
        <v>995</v>
      </c>
      <c r="C9" s="40" t="s">
        <v>1002</v>
      </c>
      <c r="D9" s="40" t="s">
        <v>154</v>
      </c>
      <c r="E9" s="40" t="s">
        <v>995</v>
      </c>
      <c r="F9" s="39" t="s">
        <v>420</v>
      </c>
      <c r="G9" s="39" t="s">
        <v>59</v>
      </c>
      <c r="H9" s="40" t="s">
        <v>421</v>
      </c>
      <c r="I9" s="40" t="s">
        <v>1006</v>
      </c>
      <c r="J9" s="39">
        <v>1</v>
      </c>
      <c r="K9" s="40" t="s">
        <v>998</v>
      </c>
    </row>
    <row r="10" spans="1:11" ht="13.5" customHeight="1" x14ac:dyDescent="0.45">
      <c r="A10" s="39">
        <v>9</v>
      </c>
      <c r="B10" s="40" t="s">
        <v>995</v>
      </c>
      <c r="C10" s="40" t="s">
        <v>1007</v>
      </c>
      <c r="D10" s="40" t="s">
        <v>1008</v>
      </c>
      <c r="E10" s="40" t="s">
        <v>995</v>
      </c>
      <c r="F10" s="39" t="s">
        <v>293</v>
      </c>
      <c r="G10" s="39" t="s">
        <v>35</v>
      </c>
      <c r="H10" s="40" t="s">
        <v>294</v>
      </c>
      <c r="I10" s="40" t="s">
        <v>1009</v>
      </c>
      <c r="J10" s="39">
        <v>1</v>
      </c>
      <c r="K10" s="40" t="s">
        <v>998</v>
      </c>
    </row>
    <row r="11" spans="1:11" ht="13.5" customHeight="1" x14ac:dyDescent="0.45">
      <c r="A11" s="39">
        <v>10</v>
      </c>
      <c r="B11" s="40" t="s">
        <v>995</v>
      </c>
      <c r="C11" s="40" t="s">
        <v>1007</v>
      </c>
      <c r="D11" s="40" t="s">
        <v>1008</v>
      </c>
      <c r="E11" s="40" t="s">
        <v>995</v>
      </c>
      <c r="F11" s="39" t="s">
        <v>300</v>
      </c>
      <c r="G11" s="39" t="s">
        <v>48</v>
      </c>
      <c r="H11" s="40" t="s">
        <v>301</v>
      </c>
      <c r="I11" s="40" t="s">
        <v>1010</v>
      </c>
      <c r="J11" s="39">
        <v>1</v>
      </c>
      <c r="K11" s="40" t="s">
        <v>998</v>
      </c>
    </row>
    <row r="12" spans="1:11" ht="13.5" customHeight="1" x14ac:dyDescent="0.45">
      <c r="A12" s="39">
        <v>11</v>
      </c>
      <c r="B12" s="40" t="s">
        <v>995</v>
      </c>
      <c r="C12" s="40" t="s">
        <v>1007</v>
      </c>
      <c r="D12" s="40" t="s">
        <v>1008</v>
      </c>
      <c r="E12" s="40" t="s">
        <v>995</v>
      </c>
      <c r="F12" s="39" t="s">
        <v>304</v>
      </c>
      <c r="G12" s="39" t="s">
        <v>53</v>
      </c>
      <c r="H12" s="40" t="s">
        <v>305</v>
      </c>
      <c r="I12" s="40" t="s">
        <v>1011</v>
      </c>
      <c r="J12" s="39">
        <v>1</v>
      </c>
      <c r="K12" s="40" t="s">
        <v>998</v>
      </c>
    </row>
    <row r="13" spans="1:11" ht="13.5" customHeight="1" x14ac:dyDescent="0.45">
      <c r="A13" s="39">
        <v>12</v>
      </c>
      <c r="B13" s="40" t="s">
        <v>995</v>
      </c>
      <c r="C13" s="40" t="s">
        <v>1007</v>
      </c>
      <c r="D13" s="40" t="s">
        <v>1008</v>
      </c>
      <c r="E13" s="40" t="s">
        <v>995</v>
      </c>
      <c r="F13" s="39" t="s">
        <v>308</v>
      </c>
      <c r="G13" s="39" t="s">
        <v>59</v>
      </c>
      <c r="H13" s="40" t="s">
        <v>309</v>
      </c>
      <c r="I13" s="40" t="s">
        <v>1012</v>
      </c>
      <c r="J13" s="39">
        <v>1</v>
      </c>
      <c r="K13" s="40" t="s">
        <v>998</v>
      </c>
    </row>
    <row r="14" spans="1:11" ht="13.5" customHeight="1" x14ac:dyDescent="0.45">
      <c r="A14" s="39">
        <v>13</v>
      </c>
      <c r="B14" s="40" t="s">
        <v>995</v>
      </c>
      <c r="C14" s="40" t="s">
        <v>1007</v>
      </c>
      <c r="D14" s="40" t="s">
        <v>1008</v>
      </c>
      <c r="E14" s="40" t="s">
        <v>995</v>
      </c>
      <c r="F14" s="39" t="s">
        <v>311</v>
      </c>
      <c r="G14" s="39" t="s">
        <v>64</v>
      </c>
      <c r="H14" s="40" t="s">
        <v>312</v>
      </c>
      <c r="I14" s="40" t="s">
        <v>1013</v>
      </c>
      <c r="J14" s="39">
        <v>1</v>
      </c>
      <c r="K14" s="40" t="s">
        <v>998</v>
      </c>
    </row>
    <row r="15" spans="1:11" ht="13.5" customHeight="1" x14ac:dyDescent="0.45">
      <c r="A15" s="39">
        <v>14</v>
      </c>
      <c r="B15" s="40" t="s">
        <v>995</v>
      </c>
      <c r="C15" s="40" t="s">
        <v>1007</v>
      </c>
      <c r="D15" s="40" t="s">
        <v>1008</v>
      </c>
      <c r="E15" s="40" t="s">
        <v>995</v>
      </c>
      <c r="F15" s="39" t="s">
        <v>314</v>
      </c>
      <c r="G15" s="39" t="s">
        <v>69</v>
      </c>
      <c r="H15" s="40" t="s">
        <v>315</v>
      </c>
      <c r="I15" s="40" t="s">
        <v>1014</v>
      </c>
      <c r="J15" s="39">
        <v>1</v>
      </c>
      <c r="K15" s="40" t="s">
        <v>998</v>
      </c>
    </row>
    <row r="16" spans="1:11" ht="13.5" customHeight="1" x14ac:dyDescent="0.45">
      <c r="A16" s="39">
        <v>15</v>
      </c>
      <c r="B16" s="40" t="s">
        <v>995</v>
      </c>
      <c r="C16" s="40" t="s">
        <v>1007</v>
      </c>
      <c r="D16" s="40" t="s">
        <v>1008</v>
      </c>
      <c r="E16" s="40" t="s">
        <v>995</v>
      </c>
      <c r="F16" s="39" t="s">
        <v>318</v>
      </c>
      <c r="G16" s="39" t="s">
        <v>75</v>
      </c>
      <c r="H16" s="40" t="s">
        <v>319</v>
      </c>
      <c r="I16" s="40" t="s">
        <v>1015</v>
      </c>
      <c r="J16" s="39">
        <v>1</v>
      </c>
      <c r="K16" s="40" t="s">
        <v>998</v>
      </c>
    </row>
    <row r="17" spans="1:11" ht="13.5" customHeight="1" x14ac:dyDescent="0.45">
      <c r="A17" s="39">
        <v>16</v>
      </c>
      <c r="B17" s="40" t="s">
        <v>995</v>
      </c>
      <c r="C17" s="40" t="s">
        <v>1016</v>
      </c>
      <c r="D17" s="40" t="s">
        <v>1017</v>
      </c>
      <c r="E17" s="40" t="s">
        <v>995</v>
      </c>
      <c r="F17" s="39" t="s">
        <v>208</v>
      </c>
      <c r="G17" s="39" t="s">
        <v>35</v>
      </c>
      <c r="H17" s="40" t="s">
        <v>379</v>
      </c>
      <c r="I17" s="40" t="s">
        <v>1018</v>
      </c>
      <c r="J17" s="39">
        <v>1</v>
      </c>
      <c r="K17" s="40" t="s">
        <v>998</v>
      </c>
    </row>
    <row r="18" spans="1:11" ht="13.5" customHeight="1" x14ac:dyDescent="0.45">
      <c r="A18" s="39">
        <v>17</v>
      </c>
      <c r="B18" s="40" t="s">
        <v>995</v>
      </c>
      <c r="C18" s="40" t="s">
        <v>1016</v>
      </c>
      <c r="D18" s="40" t="s">
        <v>1017</v>
      </c>
      <c r="E18" s="40" t="s">
        <v>995</v>
      </c>
      <c r="F18" s="39" t="s">
        <v>220</v>
      </c>
      <c r="G18" s="39" t="s">
        <v>48</v>
      </c>
      <c r="H18" s="40" t="s">
        <v>386</v>
      </c>
      <c r="I18" s="40" t="s">
        <v>1019</v>
      </c>
      <c r="J18" s="39">
        <v>1</v>
      </c>
      <c r="K18" s="40" t="s">
        <v>998</v>
      </c>
    </row>
    <row r="19" spans="1:11" ht="13.5" customHeight="1" x14ac:dyDescent="0.45">
      <c r="A19" s="39">
        <v>18</v>
      </c>
      <c r="B19" s="40" t="s">
        <v>995</v>
      </c>
      <c r="C19" s="40" t="s">
        <v>1016</v>
      </c>
      <c r="D19" s="40" t="s">
        <v>1017</v>
      </c>
      <c r="E19" s="40" t="s">
        <v>995</v>
      </c>
      <c r="F19" s="39" t="s">
        <v>225</v>
      </c>
      <c r="G19" s="39" t="s">
        <v>53</v>
      </c>
      <c r="H19" s="40" t="s">
        <v>387</v>
      </c>
      <c r="I19" s="40" t="s">
        <v>1020</v>
      </c>
      <c r="J19" s="39">
        <v>1</v>
      </c>
      <c r="K19" s="40" t="s">
        <v>998</v>
      </c>
    </row>
    <row r="20" spans="1:11" ht="13.5" customHeight="1" x14ac:dyDescent="0.45">
      <c r="A20" s="39">
        <v>19</v>
      </c>
      <c r="B20" s="40" t="s">
        <v>995</v>
      </c>
      <c r="C20" s="40" t="s">
        <v>1016</v>
      </c>
      <c r="D20" s="40" t="s">
        <v>1017</v>
      </c>
      <c r="E20" s="40" t="s">
        <v>995</v>
      </c>
      <c r="F20" s="39" t="s">
        <v>230</v>
      </c>
      <c r="G20" s="39" t="s">
        <v>59</v>
      </c>
      <c r="H20" s="40" t="s">
        <v>388</v>
      </c>
      <c r="I20" s="40" t="s">
        <v>1021</v>
      </c>
      <c r="J20" s="39">
        <v>1</v>
      </c>
      <c r="K20" s="40" t="s">
        <v>998</v>
      </c>
    </row>
    <row r="21" spans="1:11" ht="13.5" customHeight="1" x14ac:dyDescent="0.45">
      <c r="A21" s="39">
        <v>20</v>
      </c>
      <c r="B21" s="40" t="s">
        <v>995</v>
      </c>
      <c r="C21" s="40" t="s">
        <v>1016</v>
      </c>
      <c r="D21" s="40" t="s">
        <v>1017</v>
      </c>
      <c r="E21" s="40" t="s">
        <v>995</v>
      </c>
      <c r="F21" s="39" t="s">
        <v>235</v>
      </c>
      <c r="G21" s="39" t="s">
        <v>64</v>
      </c>
      <c r="H21" s="40" t="s">
        <v>389</v>
      </c>
      <c r="I21" s="40" t="s">
        <v>1022</v>
      </c>
      <c r="J21" s="39">
        <v>1</v>
      </c>
      <c r="K21" s="40" t="s">
        <v>998</v>
      </c>
    </row>
    <row r="22" spans="1:11" ht="13.5" customHeight="1" x14ac:dyDescent="0.45">
      <c r="A22" s="39">
        <v>21</v>
      </c>
      <c r="B22" s="40" t="s">
        <v>995</v>
      </c>
      <c r="C22" s="40" t="s">
        <v>1016</v>
      </c>
      <c r="D22" s="40" t="s">
        <v>1017</v>
      </c>
      <c r="E22" s="40" t="s">
        <v>995</v>
      </c>
      <c r="F22" s="39" t="s">
        <v>244</v>
      </c>
      <c r="G22" s="39" t="s">
        <v>69</v>
      </c>
      <c r="H22" s="40" t="s">
        <v>390</v>
      </c>
      <c r="I22" s="40" t="s">
        <v>1023</v>
      </c>
      <c r="J22" s="39">
        <v>1</v>
      </c>
      <c r="K22" s="40" t="s">
        <v>998</v>
      </c>
    </row>
    <row r="23" spans="1:11" ht="13.5" customHeight="1" x14ac:dyDescent="0.45">
      <c r="A23" s="39">
        <v>22</v>
      </c>
      <c r="B23" s="40" t="s">
        <v>995</v>
      </c>
      <c r="C23" s="40" t="s">
        <v>1016</v>
      </c>
      <c r="D23" s="40" t="s">
        <v>1017</v>
      </c>
      <c r="E23" s="40" t="s">
        <v>995</v>
      </c>
      <c r="F23" s="39" t="s">
        <v>239</v>
      </c>
      <c r="G23" s="39" t="s">
        <v>75</v>
      </c>
      <c r="H23" s="40" t="s">
        <v>392</v>
      </c>
      <c r="I23" s="40" t="s">
        <v>1024</v>
      </c>
      <c r="J23" s="39">
        <v>1</v>
      </c>
      <c r="K23" s="40" t="s">
        <v>998</v>
      </c>
    </row>
    <row r="24" spans="1:11" ht="13.5" customHeight="1" x14ac:dyDescent="0.45">
      <c r="A24" s="39">
        <v>23</v>
      </c>
      <c r="B24" s="40" t="s">
        <v>995</v>
      </c>
      <c r="C24" s="40" t="s">
        <v>1025</v>
      </c>
      <c r="D24" s="40" t="s">
        <v>1026</v>
      </c>
      <c r="E24" s="40" t="s">
        <v>995</v>
      </c>
      <c r="F24" s="39" t="s">
        <v>93</v>
      </c>
      <c r="G24" s="39" t="s">
        <v>35</v>
      </c>
      <c r="H24" s="40" t="s">
        <v>395</v>
      </c>
      <c r="I24" s="40" t="s">
        <v>1027</v>
      </c>
      <c r="J24" s="39">
        <v>1</v>
      </c>
      <c r="K24" s="40" t="s">
        <v>998</v>
      </c>
    </row>
    <row r="25" spans="1:11" ht="13.5" customHeight="1" x14ac:dyDescent="0.45">
      <c r="A25" s="39">
        <v>24</v>
      </c>
      <c r="B25" s="40" t="s">
        <v>995</v>
      </c>
      <c r="C25" s="40" t="s">
        <v>1025</v>
      </c>
      <c r="D25" s="40" t="s">
        <v>1026</v>
      </c>
      <c r="E25" s="40" t="s">
        <v>995</v>
      </c>
      <c r="F25" s="39" t="s">
        <v>100</v>
      </c>
      <c r="G25" s="39" t="s">
        <v>48</v>
      </c>
      <c r="H25" s="40" t="s">
        <v>396</v>
      </c>
      <c r="I25" s="40" t="s">
        <v>1028</v>
      </c>
      <c r="J25" s="39">
        <v>1</v>
      </c>
      <c r="K25" s="40" t="s">
        <v>998</v>
      </c>
    </row>
    <row r="26" spans="1:11" ht="13.5" customHeight="1" x14ac:dyDescent="0.45">
      <c r="A26" s="39">
        <v>25</v>
      </c>
      <c r="B26" s="40" t="s">
        <v>995</v>
      </c>
      <c r="C26" s="40" t="s">
        <v>1025</v>
      </c>
      <c r="D26" s="40" t="s">
        <v>1026</v>
      </c>
      <c r="E26" s="40" t="s">
        <v>995</v>
      </c>
      <c r="F26" s="39" t="s">
        <v>104</v>
      </c>
      <c r="G26" s="39" t="s">
        <v>53</v>
      </c>
      <c r="H26" s="40" t="s">
        <v>397</v>
      </c>
      <c r="I26" s="40" t="s">
        <v>1029</v>
      </c>
      <c r="J26" s="39">
        <v>1</v>
      </c>
      <c r="K26" s="40" t="s">
        <v>998</v>
      </c>
    </row>
    <row r="27" spans="1:11" ht="20.25" customHeight="1" x14ac:dyDescent="0.45">
      <c r="A27" s="39">
        <v>26</v>
      </c>
      <c r="B27" s="40" t="s">
        <v>995</v>
      </c>
      <c r="C27" s="40" t="s">
        <v>1025</v>
      </c>
      <c r="D27" s="40" t="s">
        <v>1026</v>
      </c>
      <c r="E27" s="40" t="s">
        <v>995</v>
      </c>
      <c r="F27" s="39" t="s">
        <v>108</v>
      </c>
      <c r="G27" s="39" t="s">
        <v>59</v>
      </c>
      <c r="H27" s="40" t="s">
        <v>399</v>
      </c>
      <c r="I27" s="40" t="s">
        <v>1030</v>
      </c>
      <c r="J27" s="39">
        <v>1</v>
      </c>
      <c r="K27" s="40" t="s">
        <v>998</v>
      </c>
    </row>
    <row r="28" spans="1:11" ht="13.5" customHeight="1" x14ac:dyDescent="0.45">
      <c r="A28" s="39">
        <v>27</v>
      </c>
      <c r="B28" s="40" t="s">
        <v>995</v>
      </c>
      <c r="C28" s="40" t="s">
        <v>1025</v>
      </c>
      <c r="D28" s="40" t="s">
        <v>1026</v>
      </c>
      <c r="E28" s="40" t="s">
        <v>995</v>
      </c>
      <c r="F28" s="39" t="s">
        <v>112</v>
      </c>
      <c r="G28" s="39" t="s">
        <v>64</v>
      </c>
      <c r="H28" s="40" t="s">
        <v>115</v>
      </c>
      <c r="I28" s="40" t="s">
        <v>1031</v>
      </c>
      <c r="J28" s="39">
        <v>1</v>
      </c>
      <c r="K28" s="40" t="s">
        <v>998</v>
      </c>
    </row>
    <row r="29" spans="1:11" ht="13.5" customHeight="1" x14ac:dyDescent="0.45">
      <c r="A29" s="39">
        <v>28</v>
      </c>
      <c r="B29" s="40" t="s">
        <v>995</v>
      </c>
      <c r="C29" s="40" t="s">
        <v>1025</v>
      </c>
      <c r="D29" s="40" t="s">
        <v>1026</v>
      </c>
      <c r="E29" s="40" t="s">
        <v>995</v>
      </c>
      <c r="F29" s="39" t="s">
        <v>116</v>
      </c>
      <c r="G29" s="39" t="s">
        <v>69</v>
      </c>
      <c r="H29" s="40" t="s">
        <v>119</v>
      </c>
      <c r="I29" s="40" t="s">
        <v>1032</v>
      </c>
      <c r="J29" s="39">
        <v>1</v>
      </c>
      <c r="K29" s="40" t="s">
        <v>998</v>
      </c>
    </row>
    <row r="30" spans="1:11" ht="13.5" customHeight="1" x14ac:dyDescent="0.45">
      <c r="A30" s="39">
        <v>29</v>
      </c>
      <c r="B30" s="40" t="s">
        <v>995</v>
      </c>
      <c r="C30" s="40" t="s">
        <v>1025</v>
      </c>
      <c r="D30" s="40" t="s">
        <v>1026</v>
      </c>
      <c r="E30" s="40" t="s">
        <v>995</v>
      </c>
      <c r="F30" s="39" t="s">
        <v>120</v>
      </c>
      <c r="G30" s="39" t="s">
        <v>75</v>
      </c>
      <c r="H30" s="40" t="s">
        <v>400</v>
      </c>
      <c r="I30" s="40" t="s">
        <v>1033</v>
      </c>
      <c r="J30" s="39">
        <v>1</v>
      </c>
      <c r="K30" s="40" t="s">
        <v>998</v>
      </c>
    </row>
    <row r="31" spans="1:11" ht="13.5" customHeight="1" x14ac:dyDescent="0.45">
      <c r="A31" s="39">
        <v>30</v>
      </c>
      <c r="B31" s="40" t="s">
        <v>995</v>
      </c>
      <c r="C31" s="40" t="s">
        <v>1025</v>
      </c>
      <c r="D31" s="40" t="s">
        <v>1026</v>
      </c>
      <c r="E31" s="40" t="s">
        <v>995</v>
      </c>
      <c r="F31" s="39" t="s">
        <v>124</v>
      </c>
      <c r="G31" s="39" t="s">
        <v>81</v>
      </c>
      <c r="H31" s="40" t="s">
        <v>401</v>
      </c>
      <c r="I31" s="40" t="s">
        <v>1034</v>
      </c>
      <c r="J31" s="39">
        <v>1</v>
      </c>
      <c r="K31" s="40" t="s">
        <v>998</v>
      </c>
    </row>
    <row r="32" spans="1:11" ht="13.5" customHeight="1" x14ac:dyDescent="0.45">
      <c r="A32" s="39">
        <v>31</v>
      </c>
      <c r="B32" s="40" t="s">
        <v>995</v>
      </c>
      <c r="C32" s="40" t="s">
        <v>1025</v>
      </c>
      <c r="D32" s="40" t="s">
        <v>1026</v>
      </c>
      <c r="E32" s="40" t="s">
        <v>995</v>
      </c>
      <c r="F32" s="39" t="s">
        <v>128</v>
      </c>
      <c r="G32" s="39" t="s">
        <v>86</v>
      </c>
      <c r="H32" s="40" t="s">
        <v>305</v>
      </c>
      <c r="I32" s="40" t="s">
        <v>1035</v>
      </c>
      <c r="J32" s="39">
        <v>1</v>
      </c>
      <c r="K32" s="40" t="s">
        <v>998</v>
      </c>
    </row>
    <row r="33" spans="1:11" ht="13.5" customHeight="1" x14ac:dyDescent="0.45">
      <c r="A33" s="39">
        <v>32</v>
      </c>
      <c r="B33" s="40" t="s">
        <v>995</v>
      </c>
      <c r="C33" s="40" t="s">
        <v>1036</v>
      </c>
      <c r="D33" s="40" t="s">
        <v>1037</v>
      </c>
      <c r="E33" s="40" t="s">
        <v>995</v>
      </c>
      <c r="F33" s="39" t="s">
        <v>1038</v>
      </c>
      <c r="G33" s="39" t="s">
        <v>35</v>
      </c>
      <c r="H33" s="40" t="s">
        <v>1039</v>
      </c>
      <c r="I33" s="40" t="s">
        <v>1040</v>
      </c>
      <c r="J33" s="39">
        <v>1</v>
      </c>
      <c r="K33" s="40" t="s">
        <v>998</v>
      </c>
    </row>
    <row r="34" spans="1:11" ht="13.5" customHeight="1" x14ac:dyDescent="0.45">
      <c r="A34" s="39">
        <v>33</v>
      </c>
      <c r="B34" s="40" t="s">
        <v>995</v>
      </c>
      <c r="C34" s="40" t="s">
        <v>1036</v>
      </c>
      <c r="D34" s="40" t="s">
        <v>1037</v>
      </c>
      <c r="E34" s="40" t="s">
        <v>995</v>
      </c>
      <c r="F34" s="39" t="s">
        <v>1041</v>
      </c>
      <c r="G34" s="39" t="s">
        <v>48</v>
      </c>
      <c r="H34" s="40" t="s">
        <v>1042</v>
      </c>
      <c r="I34" s="40" t="s">
        <v>1043</v>
      </c>
      <c r="J34" s="39">
        <v>1</v>
      </c>
      <c r="K34" s="40" t="s">
        <v>998</v>
      </c>
    </row>
    <row r="35" spans="1:11" ht="13.5" customHeight="1" x14ac:dyDescent="0.45">
      <c r="A35" s="39">
        <v>34</v>
      </c>
      <c r="B35" s="40" t="s">
        <v>995</v>
      </c>
      <c r="C35" s="40" t="s">
        <v>1036</v>
      </c>
      <c r="D35" s="40" t="s">
        <v>1037</v>
      </c>
      <c r="E35" s="40" t="s">
        <v>995</v>
      </c>
      <c r="F35" s="39" t="s">
        <v>1044</v>
      </c>
      <c r="G35" s="39" t="s">
        <v>53</v>
      </c>
      <c r="H35" s="40" t="s">
        <v>1045</v>
      </c>
      <c r="I35" s="40" t="s">
        <v>1046</v>
      </c>
      <c r="J35" s="39">
        <v>1</v>
      </c>
      <c r="K35" s="40" t="s">
        <v>998</v>
      </c>
    </row>
    <row r="36" spans="1:11" ht="13.5" customHeight="1" x14ac:dyDescent="0.45">
      <c r="A36" s="39">
        <v>35</v>
      </c>
      <c r="B36" s="40" t="s">
        <v>995</v>
      </c>
      <c r="C36" s="40" t="s">
        <v>1036</v>
      </c>
      <c r="D36" s="40" t="s">
        <v>1037</v>
      </c>
      <c r="E36" s="40" t="s">
        <v>995</v>
      </c>
      <c r="F36" s="39" t="s">
        <v>1047</v>
      </c>
      <c r="G36" s="39" t="s">
        <v>59</v>
      </c>
      <c r="H36" s="40" t="s">
        <v>1048</v>
      </c>
      <c r="I36" s="40" t="s">
        <v>1049</v>
      </c>
      <c r="J36" s="39">
        <v>1</v>
      </c>
      <c r="K36" s="40" t="s">
        <v>998</v>
      </c>
    </row>
    <row r="37" spans="1:11" ht="13.5" customHeight="1" x14ac:dyDescent="0.45">
      <c r="A37" s="39">
        <v>36</v>
      </c>
      <c r="B37" s="40" t="s">
        <v>995</v>
      </c>
      <c r="C37" s="40" t="s">
        <v>1036</v>
      </c>
      <c r="D37" s="40" t="s">
        <v>1037</v>
      </c>
      <c r="E37" s="40" t="s">
        <v>995</v>
      </c>
      <c r="F37" s="39" t="s">
        <v>1050</v>
      </c>
      <c r="G37" s="39" t="s">
        <v>64</v>
      </c>
      <c r="H37" s="40" t="s">
        <v>1051</v>
      </c>
      <c r="I37" s="40" t="s">
        <v>1052</v>
      </c>
      <c r="J37" s="39">
        <v>1</v>
      </c>
      <c r="K37" s="40" t="s">
        <v>998</v>
      </c>
    </row>
    <row r="38" spans="1:11" ht="13.5" customHeight="1" x14ac:dyDescent="0.45">
      <c r="A38" s="39">
        <v>37</v>
      </c>
      <c r="B38" s="40" t="s">
        <v>995</v>
      </c>
      <c r="C38" s="40" t="s">
        <v>1036</v>
      </c>
      <c r="D38" s="40" t="s">
        <v>1037</v>
      </c>
      <c r="E38" s="40" t="s">
        <v>995</v>
      </c>
      <c r="F38" s="39" t="s">
        <v>1053</v>
      </c>
      <c r="G38" s="39" t="s">
        <v>69</v>
      </c>
      <c r="H38" s="40" t="s">
        <v>1054</v>
      </c>
      <c r="I38" s="40" t="s">
        <v>1055</v>
      </c>
      <c r="J38" s="39">
        <v>1</v>
      </c>
      <c r="K38" s="40" t="s">
        <v>998</v>
      </c>
    </row>
    <row r="39" spans="1:11" ht="13.5" customHeight="1" x14ac:dyDescent="0.45">
      <c r="A39" s="39">
        <v>38</v>
      </c>
      <c r="B39" s="40" t="s">
        <v>995</v>
      </c>
      <c r="C39" s="40" t="s">
        <v>1036</v>
      </c>
      <c r="D39" s="40" t="s">
        <v>1037</v>
      </c>
      <c r="E39" s="40" t="s">
        <v>995</v>
      </c>
      <c r="F39" s="39" t="s">
        <v>1056</v>
      </c>
      <c r="G39" s="39" t="s">
        <v>75</v>
      </c>
      <c r="H39" s="40" t="s">
        <v>1057</v>
      </c>
      <c r="I39" s="40" t="s">
        <v>1058</v>
      </c>
      <c r="J39" s="39">
        <v>1</v>
      </c>
      <c r="K39" s="40" t="s">
        <v>998</v>
      </c>
    </row>
    <row r="40" spans="1:11" ht="13.5" customHeight="1" x14ac:dyDescent="0.45">
      <c r="A40" s="39">
        <v>39</v>
      </c>
      <c r="B40" s="40" t="s">
        <v>995</v>
      </c>
      <c r="C40" s="40" t="s">
        <v>1036</v>
      </c>
      <c r="D40" s="40" t="s">
        <v>1037</v>
      </c>
      <c r="E40" s="40" t="s">
        <v>995</v>
      </c>
      <c r="F40" s="39" t="s">
        <v>1059</v>
      </c>
      <c r="G40" s="39" t="s">
        <v>81</v>
      </c>
      <c r="H40" s="40" t="s">
        <v>1060</v>
      </c>
      <c r="I40" s="40" t="s">
        <v>1061</v>
      </c>
      <c r="J40" s="39">
        <v>1</v>
      </c>
      <c r="K40" s="40" t="s">
        <v>998</v>
      </c>
    </row>
    <row r="41" spans="1:11" ht="13.5" customHeight="1" x14ac:dyDescent="0.45">
      <c r="A41" s="39">
        <v>40</v>
      </c>
      <c r="B41" s="40" t="s">
        <v>995</v>
      </c>
      <c r="C41" s="40" t="s">
        <v>1036</v>
      </c>
      <c r="D41" s="40" t="s">
        <v>1037</v>
      </c>
      <c r="E41" s="40" t="s">
        <v>995</v>
      </c>
      <c r="F41" s="39" t="s">
        <v>1062</v>
      </c>
      <c r="G41" s="39" t="s">
        <v>86</v>
      </c>
      <c r="H41" s="40" t="s">
        <v>305</v>
      </c>
      <c r="I41" s="40" t="s">
        <v>1063</v>
      </c>
      <c r="J41" s="39">
        <v>1</v>
      </c>
      <c r="K41" s="40" t="s">
        <v>998</v>
      </c>
    </row>
    <row r="42" spans="1:11" ht="13.5" customHeight="1" x14ac:dyDescent="0.45">
      <c r="A42" s="39">
        <v>41</v>
      </c>
      <c r="B42" s="40" t="s">
        <v>995</v>
      </c>
      <c r="C42" s="40" t="s">
        <v>1036</v>
      </c>
      <c r="D42" s="40" t="s">
        <v>1037</v>
      </c>
      <c r="E42" s="40" t="s">
        <v>995</v>
      </c>
      <c r="F42" s="39" t="s">
        <v>1064</v>
      </c>
      <c r="G42" s="39" t="s">
        <v>1065</v>
      </c>
      <c r="H42" s="40" t="s">
        <v>1066</v>
      </c>
      <c r="I42" s="40" t="s">
        <v>1067</v>
      </c>
      <c r="J42" s="39">
        <v>1</v>
      </c>
      <c r="K42" s="40" t="s">
        <v>998</v>
      </c>
    </row>
    <row r="43" spans="1:11" ht="13.5" customHeight="1" x14ac:dyDescent="0.45">
      <c r="A43" s="39">
        <v>42</v>
      </c>
      <c r="B43" s="40" t="s">
        <v>995</v>
      </c>
      <c r="C43" s="40" t="s">
        <v>1068</v>
      </c>
      <c r="D43" s="40" t="s">
        <v>1069</v>
      </c>
      <c r="E43" s="40" t="s">
        <v>995</v>
      </c>
      <c r="F43" s="39" t="s">
        <v>36</v>
      </c>
      <c r="G43" s="39" t="s">
        <v>35</v>
      </c>
      <c r="H43" s="40" t="s">
        <v>349</v>
      </c>
      <c r="I43" s="40" t="s">
        <v>1070</v>
      </c>
      <c r="J43" s="39">
        <v>1</v>
      </c>
      <c r="K43" s="40" t="s">
        <v>998</v>
      </c>
    </row>
    <row r="44" spans="1:11" ht="13.5" customHeight="1" x14ac:dyDescent="0.45">
      <c r="A44" s="39">
        <v>43</v>
      </c>
      <c r="B44" s="40" t="s">
        <v>995</v>
      </c>
      <c r="C44" s="40" t="s">
        <v>1068</v>
      </c>
      <c r="D44" s="40" t="s">
        <v>1069</v>
      </c>
      <c r="E44" s="40" t="s">
        <v>995</v>
      </c>
      <c r="F44" s="39" t="s">
        <v>49</v>
      </c>
      <c r="G44" s="39" t="s">
        <v>48</v>
      </c>
      <c r="H44" s="40" t="s">
        <v>354</v>
      </c>
      <c r="I44" s="40" t="s">
        <v>1071</v>
      </c>
      <c r="J44" s="39">
        <v>1</v>
      </c>
      <c r="K44" s="40" t="s">
        <v>998</v>
      </c>
    </row>
    <row r="45" spans="1:11" ht="13.5" customHeight="1" x14ac:dyDescent="0.45">
      <c r="A45" s="39">
        <v>44</v>
      </c>
      <c r="B45" s="40" t="s">
        <v>995</v>
      </c>
      <c r="C45" s="40" t="s">
        <v>1068</v>
      </c>
      <c r="D45" s="40" t="s">
        <v>1069</v>
      </c>
      <c r="E45" s="40" t="s">
        <v>995</v>
      </c>
      <c r="F45" s="39" t="s">
        <v>54</v>
      </c>
      <c r="G45" s="39" t="s">
        <v>53</v>
      </c>
      <c r="H45" s="40" t="s">
        <v>356</v>
      </c>
      <c r="I45" s="40" t="s">
        <v>1072</v>
      </c>
      <c r="J45" s="39">
        <v>1</v>
      </c>
      <c r="K45" s="40" t="s">
        <v>998</v>
      </c>
    </row>
    <row r="46" spans="1:11" ht="13.5" customHeight="1" x14ac:dyDescent="0.45">
      <c r="A46" s="39">
        <v>45</v>
      </c>
      <c r="B46" s="40" t="s">
        <v>995</v>
      </c>
      <c r="C46" s="40" t="s">
        <v>1068</v>
      </c>
      <c r="D46" s="40" t="s">
        <v>1069</v>
      </c>
      <c r="E46" s="40" t="s">
        <v>995</v>
      </c>
      <c r="F46" s="39" t="s">
        <v>60</v>
      </c>
      <c r="G46" s="39" t="s">
        <v>59</v>
      </c>
      <c r="H46" s="40" t="s">
        <v>358</v>
      </c>
      <c r="I46" s="40" t="s">
        <v>1073</v>
      </c>
      <c r="J46" s="39">
        <v>1</v>
      </c>
      <c r="K46" s="40" t="s">
        <v>998</v>
      </c>
    </row>
    <row r="47" spans="1:11" ht="13.5" customHeight="1" x14ac:dyDescent="0.45">
      <c r="A47" s="39">
        <v>46</v>
      </c>
      <c r="B47" s="40" t="s">
        <v>995</v>
      </c>
      <c r="C47" s="40" t="s">
        <v>1068</v>
      </c>
      <c r="D47" s="40" t="s">
        <v>1069</v>
      </c>
      <c r="E47" s="40" t="s">
        <v>995</v>
      </c>
      <c r="F47" s="39" t="s">
        <v>65</v>
      </c>
      <c r="G47" s="39" t="s">
        <v>64</v>
      </c>
      <c r="H47" s="40" t="s">
        <v>360</v>
      </c>
      <c r="I47" s="40" t="s">
        <v>1074</v>
      </c>
      <c r="J47" s="39">
        <v>1</v>
      </c>
      <c r="K47" s="40" t="s">
        <v>998</v>
      </c>
    </row>
    <row r="48" spans="1:11" ht="13.5" customHeight="1" x14ac:dyDescent="0.45">
      <c r="A48" s="39">
        <v>47</v>
      </c>
      <c r="B48" s="40" t="s">
        <v>995</v>
      </c>
      <c r="C48" s="40" t="s">
        <v>1068</v>
      </c>
      <c r="D48" s="40" t="s">
        <v>1069</v>
      </c>
      <c r="E48" s="40" t="s">
        <v>995</v>
      </c>
      <c r="F48" s="39" t="s">
        <v>70</v>
      </c>
      <c r="G48" s="39" t="s">
        <v>69</v>
      </c>
      <c r="H48" s="40" t="s">
        <v>361</v>
      </c>
      <c r="I48" s="40" t="s">
        <v>1075</v>
      </c>
      <c r="J48" s="39">
        <v>1</v>
      </c>
      <c r="K48" s="40" t="s">
        <v>998</v>
      </c>
    </row>
    <row r="49" spans="1:11" ht="13.5" customHeight="1" x14ac:dyDescent="0.45">
      <c r="A49" s="39">
        <v>48</v>
      </c>
      <c r="B49" s="40" t="s">
        <v>995</v>
      </c>
      <c r="C49" s="40" t="s">
        <v>1068</v>
      </c>
      <c r="D49" s="40" t="s">
        <v>1069</v>
      </c>
      <c r="E49" s="40" t="s">
        <v>995</v>
      </c>
      <c r="F49" s="39" t="s">
        <v>76</v>
      </c>
      <c r="G49" s="39" t="s">
        <v>75</v>
      </c>
      <c r="H49" s="40" t="s">
        <v>362</v>
      </c>
      <c r="I49" s="40" t="s">
        <v>1076</v>
      </c>
      <c r="J49" s="39">
        <v>1</v>
      </c>
      <c r="K49" s="40" t="s">
        <v>998</v>
      </c>
    </row>
    <row r="50" spans="1:11" ht="13.5" customHeight="1" x14ac:dyDescent="0.45">
      <c r="A50" s="39">
        <v>49</v>
      </c>
      <c r="B50" s="40" t="s">
        <v>995</v>
      </c>
      <c r="C50" s="40" t="s">
        <v>1068</v>
      </c>
      <c r="D50" s="40" t="s">
        <v>1069</v>
      </c>
      <c r="E50" s="40" t="s">
        <v>995</v>
      </c>
      <c r="F50" s="39" t="s">
        <v>82</v>
      </c>
      <c r="G50" s="39" t="s">
        <v>81</v>
      </c>
      <c r="H50" s="40" t="s">
        <v>363</v>
      </c>
      <c r="I50" s="40" t="s">
        <v>1077</v>
      </c>
      <c r="J50" s="39">
        <v>1</v>
      </c>
      <c r="K50" s="40" t="s">
        <v>998</v>
      </c>
    </row>
    <row r="51" spans="1:11" ht="20.25" customHeight="1" x14ac:dyDescent="0.45">
      <c r="A51" s="39">
        <v>50</v>
      </c>
      <c r="B51" s="40" t="s">
        <v>995</v>
      </c>
      <c r="C51" s="40" t="s">
        <v>1068</v>
      </c>
      <c r="D51" s="40" t="s">
        <v>1069</v>
      </c>
      <c r="E51" s="40" t="s">
        <v>995</v>
      </c>
      <c r="F51" s="39" t="s">
        <v>87</v>
      </c>
      <c r="G51" s="39" t="s">
        <v>86</v>
      </c>
      <c r="H51" s="40" t="s">
        <v>364</v>
      </c>
      <c r="I51" s="40" t="s">
        <v>1078</v>
      </c>
      <c r="J51" s="39">
        <v>1</v>
      </c>
      <c r="K51" s="40" t="s">
        <v>998</v>
      </c>
    </row>
    <row r="52" spans="1:11" ht="13.5" customHeight="1" x14ac:dyDescent="0.45">
      <c r="A52" s="39">
        <v>51</v>
      </c>
      <c r="B52" s="40" t="s">
        <v>995</v>
      </c>
      <c r="C52" s="40" t="s">
        <v>1079</v>
      </c>
      <c r="D52" s="40" t="s">
        <v>1080</v>
      </c>
      <c r="E52" s="40" t="s">
        <v>995</v>
      </c>
      <c r="F52" s="39" t="s">
        <v>144</v>
      </c>
      <c r="G52" s="39" t="s">
        <v>35</v>
      </c>
      <c r="H52" s="40" t="s">
        <v>334</v>
      </c>
      <c r="I52" s="40" t="s">
        <v>1081</v>
      </c>
      <c r="J52" s="39">
        <v>1</v>
      </c>
      <c r="K52" s="40" t="s">
        <v>998</v>
      </c>
    </row>
    <row r="53" spans="1:11" ht="13.5" customHeight="1" x14ac:dyDescent="0.45">
      <c r="A53" s="39">
        <v>52</v>
      </c>
      <c r="B53" s="40" t="s">
        <v>995</v>
      </c>
      <c r="C53" s="40" t="s">
        <v>1079</v>
      </c>
      <c r="D53" s="40" t="s">
        <v>1080</v>
      </c>
      <c r="E53" s="40" t="s">
        <v>995</v>
      </c>
      <c r="F53" s="39" t="s">
        <v>151</v>
      </c>
      <c r="G53" s="39" t="s">
        <v>48</v>
      </c>
      <c r="H53" s="40" t="s">
        <v>343</v>
      </c>
      <c r="I53" s="40" t="s">
        <v>1082</v>
      </c>
      <c r="J53" s="39">
        <v>1</v>
      </c>
      <c r="K53" s="40" t="s">
        <v>998</v>
      </c>
    </row>
    <row r="54" spans="1:11" ht="20.25" customHeight="1" x14ac:dyDescent="0.45">
      <c r="A54" s="39">
        <v>53</v>
      </c>
      <c r="B54" s="40" t="s">
        <v>995</v>
      </c>
      <c r="C54" s="40" t="s">
        <v>1079</v>
      </c>
      <c r="D54" s="40" t="s">
        <v>1080</v>
      </c>
      <c r="E54" s="40" t="s">
        <v>995</v>
      </c>
      <c r="F54" s="39" t="s">
        <v>156</v>
      </c>
      <c r="G54" s="39" t="s">
        <v>53</v>
      </c>
      <c r="H54" s="40" t="s">
        <v>345</v>
      </c>
      <c r="I54" s="40" t="s">
        <v>1083</v>
      </c>
      <c r="J54" s="39">
        <v>1</v>
      </c>
      <c r="K54" s="40" t="s">
        <v>998</v>
      </c>
    </row>
    <row r="55" spans="1:11" ht="13.5" customHeight="1" x14ac:dyDescent="0.45">
      <c r="A55" s="39">
        <v>54</v>
      </c>
      <c r="B55" s="40" t="s">
        <v>995</v>
      </c>
      <c r="C55" s="40" t="s">
        <v>1079</v>
      </c>
      <c r="D55" s="40" t="s">
        <v>1080</v>
      </c>
      <c r="E55" s="40" t="s">
        <v>995</v>
      </c>
      <c r="F55" s="39" t="s">
        <v>160</v>
      </c>
      <c r="G55" s="39" t="s">
        <v>59</v>
      </c>
      <c r="H55" s="40" t="s">
        <v>346</v>
      </c>
      <c r="I55" s="40" t="s">
        <v>1084</v>
      </c>
      <c r="J55" s="39">
        <v>1</v>
      </c>
      <c r="K55" s="40" t="s">
        <v>998</v>
      </c>
    </row>
    <row r="56" spans="1:11" ht="13.5" customHeight="1" x14ac:dyDescent="0.45">
      <c r="A56" s="39">
        <v>55</v>
      </c>
      <c r="B56" s="40" t="s">
        <v>995</v>
      </c>
      <c r="C56" s="40" t="s">
        <v>1079</v>
      </c>
      <c r="D56" s="40" t="s">
        <v>1080</v>
      </c>
      <c r="E56" s="40" t="s">
        <v>995</v>
      </c>
      <c r="F56" s="39" t="s">
        <v>165</v>
      </c>
      <c r="G56" s="39" t="s">
        <v>64</v>
      </c>
      <c r="H56" s="40" t="s">
        <v>347</v>
      </c>
      <c r="I56" s="40" t="s">
        <v>1085</v>
      </c>
      <c r="J56" s="39">
        <v>1</v>
      </c>
      <c r="K56" s="40" t="s">
        <v>998</v>
      </c>
    </row>
    <row r="57" spans="1:11" ht="13.5" customHeight="1" x14ac:dyDescent="0.45">
      <c r="A57" s="39">
        <v>56</v>
      </c>
      <c r="B57" s="40" t="s">
        <v>995</v>
      </c>
      <c r="C57" s="40" t="s">
        <v>1086</v>
      </c>
      <c r="D57" s="40" t="s">
        <v>1087</v>
      </c>
      <c r="E57" s="40" t="s">
        <v>995</v>
      </c>
      <c r="F57" s="39" t="s">
        <v>1088</v>
      </c>
      <c r="G57" s="39" t="s">
        <v>35</v>
      </c>
      <c r="H57" s="40" t="s">
        <v>1089</v>
      </c>
      <c r="I57" s="40" t="s">
        <v>1090</v>
      </c>
      <c r="J57" s="39">
        <v>1</v>
      </c>
      <c r="K57" s="40" t="s">
        <v>998</v>
      </c>
    </row>
    <row r="58" spans="1:11" ht="20.25" customHeight="1" x14ac:dyDescent="0.45">
      <c r="A58" s="39">
        <v>57</v>
      </c>
      <c r="B58" s="40" t="s">
        <v>995</v>
      </c>
      <c r="C58" s="40" t="s">
        <v>1086</v>
      </c>
      <c r="D58" s="40" t="s">
        <v>1087</v>
      </c>
      <c r="E58" s="40" t="s">
        <v>995</v>
      </c>
      <c r="F58" s="39" t="s">
        <v>1091</v>
      </c>
      <c r="G58" s="39" t="s">
        <v>48</v>
      </c>
      <c r="H58" s="40" t="s">
        <v>1092</v>
      </c>
      <c r="I58" s="40" t="s">
        <v>1093</v>
      </c>
      <c r="J58" s="39">
        <v>1</v>
      </c>
      <c r="K58" s="40" t="s">
        <v>998</v>
      </c>
    </row>
    <row r="59" spans="1:11" ht="13.5" customHeight="1" x14ac:dyDescent="0.45">
      <c r="A59" s="39">
        <v>58</v>
      </c>
      <c r="B59" s="40" t="s">
        <v>995</v>
      </c>
      <c r="C59" s="40" t="s">
        <v>1086</v>
      </c>
      <c r="D59" s="40" t="s">
        <v>1087</v>
      </c>
      <c r="E59" s="40" t="s">
        <v>995</v>
      </c>
      <c r="F59" s="39" t="s">
        <v>1094</v>
      </c>
      <c r="G59" s="39" t="s">
        <v>53</v>
      </c>
      <c r="H59" s="40" t="s">
        <v>1095</v>
      </c>
      <c r="I59" s="40" t="s">
        <v>1096</v>
      </c>
      <c r="J59" s="39">
        <v>1</v>
      </c>
      <c r="K59" s="40" t="s">
        <v>998</v>
      </c>
    </row>
    <row r="60" spans="1:11" ht="13.5" customHeight="1" x14ac:dyDescent="0.45">
      <c r="A60" s="39">
        <v>59</v>
      </c>
      <c r="B60" s="40" t="s">
        <v>995</v>
      </c>
      <c r="C60" s="40" t="s">
        <v>1086</v>
      </c>
      <c r="D60" s="40" t="s">
        <v>1087</v>
      </c>
      <c r="E60" s="40" t="s">
        <v>995</v>
      </c>
      <c r="F60" s="39" t="s">
        <v>1097</v>
      </c>
      <c r="G60" s="39" t="s">
        <v>59</v>
      </c>
      <c r="H60" s="40" t="s">
        <v>1098</v>
      </c>
      <c r="I60" s="40" t="s">
        <v>1099</v>
      </c>
      <c r="J60" s="39">
        <v>1</v>
      </c>
      <c r="K60" s="40" t="s">
        <v>998</v>
      </c>
    </row>
    <row r="61" spans="1:11" ht="13.5" customHeight="1" x14ac:dyDescent="0.45">
      <c r="A61" s="39">
        <v>60</v>
      </c>
      <c r="B61" s="40" t="s">
        <v>995</v>
      </c>
      <c r="C61" s="40" t="s">
        <v>1100</v>
      </c>
      <c r="D61" s="40" t="s">
        <v>1101</v>
      </c>
      <c r="E61" s="40" t="s">
        <v>1102</v>
      </c>
      <c r="F61" s="39" t="s">
        <v>1103</v>
      </c>
      <c r="G61" s="39" t="s">
        <v>35</v>
      </c>
      <c r="H61" s="40" t="s">
        <v>1104</v>
      </c>
      <c r="I61" s="40" t="s">
        <v>1105</v>
      </c>
      <c r="J61" s="39">
        <v>1</v>
      </c>
      <c r="K61" s="40" t="s">
        <v>1106</v>
      </c>
    </row>
    <row r="62" spans="1:11" ht="13.5" customHeight="1" x14ac:dyDescent="0.45">
      <c r="A62" s="39">
        <v>61</v>
      </c>
      <c r="B62" s="40" t="s">
        <v>995</v>
      </c>
      <c r="C62" s="40" t="s">
        <v>1100</v>
      </c>
      <c r="D62" s="40" t="s">
        <v>1101</v>
      </c>
      <c r="E62" s="40" t="s">
        <v>1102</v>
      </c>
      <c r="F62" s="39" t="s">
        <v>1107</v>
      </c>
      <c r="G62" s="39" t="s">
        <v>48</v>
      </c>
      <c r="H62" s="40" t="s">
        <v>1108</v>
      </c>
      <c r="I62" s="40" t="s">
        <v>1109</v>
      </c>
      <c r="J62" s="39">
        <v>1</v>
      </c>
      <c r="K62" s="40" t="s">
        <v>1106</v>
      </c>
    </row>
    <row r="63" spans="1:11" ht="13.5" customHeight="1" x14ac:dyDescent="0.45">
      <c r="A63" s="39">
        <v>62</v>
      </c>
      <c r="B63" s="40" t="s">
        <v>995</v>
      </c>
      <c r="C63" s="40" t="s">
        <v>1100</v>
      </c>
      <c r="D63" s="40" t="s">
        <v>1101</v>
      </c>
      <c r="E63" s="40" t="s">
        <v>1102</v>
      </c>
      <c r="F63" s="39" t="s">
        <v>1110</v>
      </c>
      <c r="G63" s="39" t="s">
        <v>53</v>
      </c>
      <c r="H63" s="40" t="s">
        <v>1111</v>
      </c>
      <c r="I63" s="40" t="s">
        <v>1112</v>
      </c>
      <c r="J63" s="39">
        <v>1</v>
      </c>
      <c r="K63" s="40" t="s">
        <v>1106</v>
      </c>
    </row>
    <row r="64" spans="1:11" ht="13.5" customHeight="1" x14ac:dyDescent="0.45">
      <c r="A64" s="39">
        <v>63</v>
      </c>
      <c r="B64" s="40" t="s">
        <v>995</v>
      </c>
      <c r="C64" s="40" t="s">
        <v>1100</v>
      </c>
      <c r="D64" s="40" t="s">
        <v>1101</v>
      </c>
      <c r="E64" s="40" t="s">
        <v>1102</v>
      </c>
      <c r="F64" s="39" t="s">
        <v>1113</v>
      </c>
      <c r="G64" s="39" t="s">
        <v>59</v>
      </c>
      <c r="H64" s="40" t="s">
        <v>1114</v>
      </c>
      <c r="I64" s="40" t="s">
        <v>1115</v>
      </c>
      <c r="J64" s="39">
        <v>1</v>
      </c>
      <c r="K64" s="40" t="s">
        <v>1106</v>
      </c>
    </row>
    <row r="65" spans="1:11" ht="13.5" customHeight="1" x14ac:dyDescent="0.45">
      <c r="A65" s="39">
        <v>64</v>
      </c>
      <c r="B65" s="40" t="s">
        <v>995</v>
      </c>
      <c r="C65" s="40" t="s">
        <v>1100</v>
      </c>
      <c r="D65" s="40" t="s">
        <v>1101</v>
      </c>
      <c r="E65" s="40" t="s">
        <v>1102</v>
      </c>
      <c r="F65" s="39" t="s">
        <v>1116</v>
      </c>
      <c r="G65" s="39" t="s">
        <v>64</v>
      </c>
      <c r="H65" s="40" t="s">
        <v>1117</v>
      </c>
      <c r="I65" s="40" t="s">
        <v>1118</v>
      </c>
      <c r="J65" s="39">
        <v>1</v>
      </c>
      <c r="K65" s="40" t="s">
        <v>1106</v>
      </c>
    </row>
    <row r="66" spans="1:11" ht="13.5" customHeight="1" x14ac:dyDescent="0.45">
      <c r="A66" s="39">
        <v>65</v>
      </c>
      <c r="B66" s="40" t="s">
        <v>995</v>
      </c>
      <c r="C66" s="40" t="s">
        <v>1100</v>
      </c>
      <c r="D66" s="40" t="s">
        <v>1101</v>
      </c>
      <c r="E66" s="40" t="s">
        <v>1102</v>
      </c>
      <c r="F66" s="39" t="s">
        <v>1119</v>
      </c>
      <c r="G66" s="39" t="s">
        <v>69</v>
      </c>
      <c r="H66" s="40" t="s">
        <v>1120</v>
      </c>
      <c r="I66" s="40" t="s">
        <v>1121</v>
      </c>
      <c r="J66" s="39">
        <v>1</v>
      </c>
      <c r="K66" s="40" t="s">
        <v>1106</v>
      </c>
    </row>
    <row r="67" spans="1:11" ht="13.5" customHeight="1" x14ac:dyDescent="0.45">
      <c r="A67" s="39">
        <v>66</v>
      </c>
      <c r="B67" s="40" t="s">
        <v>995</v>
      </c>
      <c r="C67" s="40" t="s">
        <v>1100</v>
      </c>
      <c r="D67" s="40" t="s">
        <v>1101</v>
      </c>
      <c r="E67" s="40" t="s">
        <v>1102</v>
      </c>
      <c r="F67" s="39" t="s">
        <v>1122</v>
      </c>
      <c r="G67" s="39" t="s">
        <v>75</v>
      </c>
      <c r="H67" s="40" t="s">
        <v>1123</v>
      </c>
      <c r="I67" s="40" t="s">
        <v>1124</v>
      </c>
      <c r="J67" s="39">
        <v>1</v>
      </c>
      <c r="K67" s="40" t="s">
        <v>1106</v>
      </c>
    </row>
    <row r="68" spans="1:11" ht="13.5" customHeight="1" x14ac:dyDescent="0.45">
      <c r="A68" s="39">
        <v>67</v>
      </c>
      <c r="B68" s="40" t="s">
        <v>995</v>
      </c>
      <c r="C68" s="40" t="s">
        <v>1100</v>
      </c>
      <c r="D68" s="40" t="s">
        <v>1101</v>
      </c>
      <c r="E68" s="40" t="s">
        <v>1102</v>
      </c>
      <c r="F68" s="39" t="s">
        <v>1125</v>
      </c>
      <c r="G68" s="39" t="s">
        <v>81</v>
      </c>
      <c r="H68" s="40" t="s">
        <v>1126</v>
      </c>
      <c r="I68" s="40" t="s">
        <v>1127</v>
      </c>
      <c r="J68" s="39">
        <v>1</v>
      </c>
      <c r="K68" s="40" t="s">
        <v>1106</v>
      </c>
    </row>
    <row r="69" spans="1:11" ht="13.5" customHeight="1" x14ac:dyDescent="0.45">
      <c r="A69" s="39">
        <v>68</v>
      </c>
      <c r="B69" s="40" t="s">
        <v>995</v>
      </c>
      <c r="C69" s="40" t="s">
        <v>1100</v>
      </c>
      <c r="D69" s="40" t="s">
        <v>1101</v>
      </c>
      <c r="E69" s="40" t="s">
        <v>1102</v>
      </c>
      <c r="F69" s="39" t="s">
        <v>1128</v>
      </c>
      <c r="G69" s="39" t="s">
        <v>86</v>
      </c>
      <c r="H69" s="40" t="s">
        <v>1129</v>
      </c>
      <c r="I69" s="40" t="s">
        <v>1130</v>
      </c>
      <c r="J69" s="39">
        <v>1</v>
      </c>
      <c r="K69" s="40" t="s">
        <v>1106</v>
      </c>
    </row>
    <row r="70" spans="1:11" ht="20.25" customHeight="1" x14ac:dyDescent="0.45">
      <c r="A70" s="39">
        <v>69</v>
      </c>
      <c r="B70" s="40" t="s">
        <v>995</v>
      </c>
      <c r="C70" s="40" t="s">
        <v>1100</v>
      </c>
      <c r="D70" s="40" t="s">
        <v>1101</v>
      </c>
      <c r="E70" s="40" t="s">
        <v>1102</v>
      </c>
      <c r="F70" s="39" t="s">
        <v>1131</v>
      </c>
      <c r="G70" s="39" t="s">
        <v>1065</v>
      </c>
      <c r="H70" s="40" t="s">
        <v>1132</v>
      </c>
      <c r="I70" s="40" t="s">
        <v>1133</v>
      </c>
      <c r="J70" s="39">
        <v>1</v>
      </c>
      <c r="K70" s="40" t="s">
        <v>1106</v>
      </c>
    </row>
    <row r="71" spans="1:11" ht="13.5" customHeight="1" x14ac:dyDescent="0.45">
      <c r="A71" s="39">
        <v>70</v>
      </c>
      <c r="B71" s="40" t="s">
        <v>995</v>
      </c>
      <c r="C71" s="40" t="s">
        <v>1134</v>
      </c>
      <c r="D71" s="40" t="s">
        <v>1135</v>
      </c>
      <c r="E71" s="40" t="s">
        <v>1102</v>
      </c>
      <c r="F71" s="39" t="s">
        <v>1136</v>
      </c>
      <c r="G71" s="39" t="s">
        <v>35</v>
      </c>
      <c r="H71" s="40" t="s">
        <v>1137</v>
      </c>
      <c r="I71" s="40" t="s">
        <v>1138</v>
      </c>
      <c r="J71" s="39">
        <v>1</v>
      </c>
      <c r="K71" s="40" t="s">
        <v>1139</v>
      </c>
    </row>
    <row r="72" spans="1:11" ht="13.5" customHeight="1" x14ac:dyDescent="0.45">
      <c r="A72" s="39">
        <v>71</v>
      </c>
      <c r="B72" s="40" t="s">
        <v>995</v>
      </c>
      <c r="C72" s="40" t="s">
        <v>1134</v>
      </c>
      <c r="D72" s="40" t="s">
        <v>1135</v>
      </c>
      <c r="E72" s="40" t="s">
        <v>1102</v>
      </c>
      <c r="F72" s="39" t="s">
        <v>1140</v>
      </c>
      <c r="G72" s="39" t="s">
        <v>48</v>
      </c>
      <c r="H72" s="40" t="s">
        <v>1108</v>
      </c>
      <c r="I72" s="40" t="s">
        <v>1141</v>
      </c>
      <c r="J72" s="39">
        <v>1</v>
      </c>
      <c r="K72" s="40" t="s">
        <v>1139</v>
      </c>
    </row>
    <row r="73" spans="1:11" ht="13.5" customHeight="1" x14ac:dyDescent="0.45">
      <c r="A73" s="39">
        <v>72</v>
      </c>
      <c r="B73" s="40" t="s">
        <v>995</v>
      </c>
      <c r="C73" s="40" t="s">
        <v>1134</v>
      </c>
      <c r="D73" s="40" t="s">
        <v>1135</v>
      </c>
      <c r="E73" s="40" t="s">
        <v>1102</v>
      </c>
      <c r="F73" s="39" t="s">
        <v>1142</v>
      </c>
      <c r="G73" s="39" t="s">
        <v>53</v>
      </c>
      <c r="H73" s="40" t="s">
        <v>1143</v>
      </c>
      <c r="I73" s="40" t="s">
        <v>1144</v>
      </c>
      <c r="J73" s="39">
        <v>1</v>
      </c>
      <c r="K73" s="40" t="s">
        <v>1139</v>
      </c>
    </row>
    <row r="74" spans="1:11" ht="13.5" customHeight="1" x14ac:dyDescent="0.45">
      <c r="A74" s="39">
        <v>73</v>
      </c>
      <c r="B74" s="40" t="s">
        <v>995</v>
      </c>
      <c r="C74" s="40" t="s">
        <v>1134</v>
      </c>
      <c r="D74" s="40" t="s">
        <v>1135</v>
      </c>
      <c r="E74" s="40" t="s">
        <v>1102</v>
      </c>
      <c r="F74" s="39" t="s">
        <v>1145</v>
      </c>
      <c r="G74" s="39" t="s">
        <v>59</v>
      </c>
      <c r="H74" s="40" t="s">
        <v>1146</v>
      </c>
      <c r="I74" s="40" t="s">
        <v>1147</v>
      </c>
      <c r="J74" s="39">
        <v>1</v>
      </c>
      <c r="K74" s="40" t="s">
        <v>1139</v>
      </c>
    </row>
    <row r="75" spans="1:11" ht="13.5" customHeight="1" x14ac:dyDescent="0.45">
      <c r="A75" s="39">
        <v>74</v>
      </c>
      <c r="B75" s="40" t="s">
        <v>995</v>
      </c>
      <c r="C75" s="40" t="s">
        <v>1134</v>
      </c>
      <c r="D75" s="40" t="s">
        <v>1135</v>
      </c>
      <c r="E75" s="40" t="s">
        <v>1102</v>
      </c>
      <c r="F75" s="39" t="s">
        <v>1148</v>
      </c>
      <c r="G75" s="39" t="s">
        <v>64</v>
      </c>
      <c r="H75" s="40" t="s">
        <v>1149</v>
      </c>
      <c r="I75" s="40" t="s">
        <v>1150</v>
      </c>
      <c r="J75" s="39">
        <v>1</v>
      </c>
      <c r="K75" s="40" t="s">
        <v>1139</v>
      </c>
    </row>
    <row r="76" spans="1:11" ht="20.25" customHeight="1" x14ac:dyDescent="0.45">
      <c r="A76" s="39">
        <v>75</v>
      </c>
      <c r="B76" s="40" t="s">
        <v>995</v>
      </c>
      <c r="C76" s="40" t="s">
        <v>1134</v>
      </c>
      <c r="D76" s="40" t="s">
        <v>1135</v>
      </c>
      <c r="E76" s="40" t="s">
        <v>1102</v>
      </c>
      <c r="F76" s="39" t="s">
        <v>1151</v>
      </c>
      <c r="G76" s="39" t="s">
        <v>69</v>
      </c>
      <c r="H76" s="40" t="s">
        <v>1152</v>
      </c>
      <c r="I76" s="40" t="s">
        <v>1153</v>
      </c>
      <c r="J76" s="39">
        <v>1</v>
      </c>
      <c r="K76" s="40" t="s">
        <v>1139</v>
      </c>
    </row>
    <row r="77" spans="1:11" ht="13.5" customHeight="1" x14ac:dyDescent="0.45">
      <c r="A77" s="39">
        <v>76</v>
      </c>
      <c r="B77" s="40" t="s">
        <v>995</v>
      </c>
      <c r="C77" s="40" t="s">
        <v>1134</v>
      </c>
      <c r="D77" s="40" t="s">
        <v>1135</v>
      </c>
      <c r="E77" s="40" t="s">
        <v>1102</v>
      </c>
      <c r="F77" s="39" t="s">
        <v>1154</v>
      </c>
      <c r="G77" s="39" t="s">
        <v>75</v>
      </c>
      <c r="H77" s="40" t="s">
        <v>1155</v>
      </c>
      <c r="I77" s="40" t="s">
        <v>1156</v>
      </c>
      <c r="J77" s="39">
        <v>1</v>
      </c>
      <c r="K77" s="40" t="s">
        <v>1139</v>
      </c>
    </row>
    <row r="78" spans="1:11" ht="13.5" customHeight="1" x14ac:dyDescent="0.45">
      <c r="A78" s="39">
        <v>77</v>
      </c>
      <c r="B78" s="40" t="s">
        <v>995</v>
      </c>
      <c r="C78" s="40" t="s">
        <v>1134</v>
      </c>
      <c r="D78" s="40" t="s">
        <v>1135</v>
      </c>
      <c r="E78" s="40" t="s">
        <v>1102</v>
      </c>
      <c r="F78" s="39" t="s">
        <v>1157</v>
      </c>
      <c r="G78" s="39" t="s">
        <v>81</v>
      </c>
      <c r="H78" s="40" t="s">
        <v>1158</v>
      </c>
      <c r="I78" s="40" t="s">
        <v>1159</v>
      </c>
      <c r="J78" s="39">
        <v>1</v>
      </c>
      <c r="K78" s="40" t="s">
        <v>1139</v>
      </c>
    </row>
    <row r="79" spans="1:11" ht="13.5" customHeight="1" x14ac:dyDescent="0.45">
      <c r="A79" s="39">
        <v>78</v>
      </c>
      <c r="B79" s="40" t="s">
        <v>1160</v>
      </c>
      <c r="C79" s="40" t="s">
        <v>1161</v>
      </c>
      <c r="D79" s="40" t="s">
        <v>1162</v>
      </c>
      <c r="E79" s="40" t="s">
        <v>1160</v>
      </c>
      <c r="F79" s="39" t="s">
        <v>1163</v>
      </c>
      <c r="G79" s="39" t="s">
        <v>35</v>
      </c>
      <c r="H79" s="40" t="s">
        <v>1164</v>
      </c>
      <c r="I79" s="40" t="s">
        <v>1165</v>
      </c>
      <c r="J79" s="39">
        <v>1</v>
      </c>
      <c r="K79" s="40" t="s">
        <v>998</v>
      </c>
    </row>
    <row r="80" spans="1:11" ht="13.5" customHeight="1" x14ac:dyDescent="0.45">
      <c r="A80" s="39">
        <v>79</v>
      </c>
      <c r="B80" s="40" t="s">
        <v>1160</v>
      </c>
      <c r="C80" s="40" t="s">
        <v>1161</v>
      </c>
      <c r="D80" s="40" t="s">
        <v>1162</v>
      </c>
      <c r="E80" s="40" t="s">
        <v>1160</v>
      </c>
      <c r="F80" s="39" t="s">
        <v>1166</v>
      </c>
      <c r="G80" s="39" t="s">
        <v>48</v>
      </c>
      <c r="H80" s="40" t="s">
        <v>1167</v>
      </c>
      <c r="I80" s="40" t="s">
        <v>1168</v>
      </c>
      <c r="J80" s="39">
        <v>1</v>
      </c>
      <c r="K80" s="40" t="s">
        <v>998</v>
      </c>
    </row>
    <row r="81" spans="1:11" ht="13.5" customHeight="1" x14ac:dyDescent="0.45">
      <c r="A81" s="39">
        <v>80</v>
      </c>
      <c r="B81" s="40" t="s">
        <v>1160</v>
      </c>
      <c r="C81" s="40" t="s">
        <v>1161</v>
      </c>
      <c r="D81" s="40" t="s">
        <v>1162</v>
      </c>
      <c r="E81" s="40" t="s">
        <v>1160</v>
      </c>
      <c r="F81" s="39" t="s">
        <v>1169</v>
      </c>
      <c r="G81" s="39" t="s">
        <v>53</v>
      </c>
      <c r="H81" s="40" t="s">
        <v>1170</v>
      </c>
      <c r="I81" s="40" t="s">
        <v>1171</v>
      </c>
      <c r="J81" s="39">
        <v>1</v>
      </c>
      <c r="K81" s="40" t="s">
        <v>998</v>
      </c>
    </row>
    <row r="82" spans="1:11" ht="13.5" customHeight="1" x14ac:dyDescent="0.45">
      <c r="A82" s="39">
        <v>81</v>
      </c>
      <c r="B82" s="40" t="s">
        <v>1160</v>
      </c>
      <c r="C82" s="40" t="s">
        <v>1161</v>
      </c>
      <c r="D82" s="40" t="s">
        <v>1162</v>
      </c>
      <c r="E82" s="40" t="s">
        <v>1160</v>
      </c>
      <c r="F82" s="39" t="s">
        <v>1172</v>
      </c>
      <c r="G82" s="39" t="s">
        <v>59</v>
      </c>
      <c r="H82" s="40" t="s">
        <v>1173</v>
      </c>
      <c r="I82" s="40" t="s">
        <v>1174</v>
      </c>
      <c r="J82" s="39">
        <v>1</v>
      </c>
      <c r="K82" s="40" t="s">
        <v>998</v>
      </c>
    </row>
    <row r="83" spans="1:11" ht="13.5" customHeight="1" x14ac:dyDescent="0.45">
      <c r="A83" s="39">
        <v>82</v>
      </c>
      <c r="B83" s="40" t="s">
        <v>1160</v>
      </c>
      <c r="C83" s="40" t="s">
        <v>1161</v>
      </c>
      <c r="D83" s="40" t="s">
        <v>1162</v>
      </c>
      <c r="E83" s="40" t="s">
        <v>1160</v>
      </c>
      <c r="F83" s="39" t="s">
        <v>1175</v>
      </c>
      <c r="G83" s="39" t="s">
        <v>64</v>
      </c>
      <c r="H83" s="40" t="s">
        <v>1176</v>
      </c>
      <c r="I83" s="40" t="s">
        <v>1177</v>
      </c>
      <c r="J83" s="39">
        <v>1</v>
      </c>
      <c r="K83" s="40" t="s">
        <v>998</v>
      </c>
    </row>
    <row r="84" spans="1:11" ht="13.5" customHeight="1" x14ac:dyDescent="0.45">
      <c r="A84" s="39">
        <v>83</v>
      </c>
      <c r="B84" s="40" t="s">
        <v>1160</v>
      </c>
      <c r="C84" s="40" t="s">
        <v>1161</v>
      </c>
      <c r="D84" s="40" t="s">
        <v>1162</v>
      </c>
      <c r="E84" s="40" t="s">
        <v>1160</v>
      </c>
      <c r="F84" s="39" t="s">
        <v>1178</v>
      </c>
      <c r="G84" s="39" t="s">
        <v>69</v>
      </c>
      <c r="H84" s="40" t="s">
        <v>1179</v>
      </c>
      <c r="I84" s="40" t="s">
        <v>1180</v>
      </c>
      <c r="J84" s="39">
        <v>1</v>
      </c>
      <c r="K84" s="40" t="s">
        <v>998</v>
      </c>
    </row>
    <row r="85" spans="1:11" ht="13.5" customHeight="1" x14ac:dyDescent="0.45">
      <c r="A85" s="39">
        <v>84</v>
      </c>
      <c r="B85" s="40" t="s">
        <v>1160</v>
      </c>
      <c r="C85" s="40" t="s">
        <v>1161</v>
      </c>
      <c r="D85" s="40" t="s">
        <v>1162</v>
      </c>
      <c r="E85" s="40" t="s">
        <v>1160</v>
      </c>
      <c r="F85" s="39" t="s">
        <v>1181</v>
      </c>
      <c r="G85" s="39" t="s">
        <v>75</v>
      </c>
      <c r="H85" s="40" t="s">
        <v>1182</v>
      </c>
      <c r="I85" s="40" t="s">
        <v>1183</v>
      </c>
      <c r="J85" s="39">
        <v>1</v>
      </c>
      <c r="K85" s="40" t="s">
        <v>998</v>
      </c>
    </row>
    <row r="86" spans="1:11" ht="13.5" customHeight="1" x14ac:dyDescent="0.45">
      <c r="A86" s="39">
        <v>85</v>
      </c>
      <c r="B86" s="40" t="s">
        <v>1160</v>
      </c>
      <c r="C86" s="40" t="s">
        <v>1161</v>
      </c>
      <c r="D86" s="40" t="s">
        <v>1162</v>
      </c>
      <c r="E86" s="40" t="s">
        <v>1160</v>
      </c>
      <c r="F86" s="39" t="s">
        <v>1184</v>
      </c>
      <c r="G86" s="39" t="s">
        <v>81</v>
      </c>
      <c r="H86" s="40" t="s">
        <v>1185</v>
      </c>
      <c r="I86" s="40" t="s">
        <v>1186</v>
      </c>
      <c r="J86" s="39">
        <v>1</v>
      </c>
      <c r="K86" s="40" t="s">
        <v>998</v>
      </c>
    </row>
    <row r="87" spans="1:11" ht="13.5" customHeight="1" x14ac:dyDescent="0.45">
      <c r="A87" s="39">
        <v>86</v>
      </c>
      <c r="B87" s="40" t="s">
        <v>1160</v>
      </c>
      <c r="C87" s="40" t="s">
        <v>1187</v>
      </c>
      <c r="D87" s="40" t="s">
        <v>1188</v>
      </c>
      <c r="E87" s="40" t="s">
        <v>1160</v>
      </c>
      <c r="F87" s="39" t="s">
        <v>1189</v>
      </c>
      <c r="G87" s="39" t="s">
        <v>35</v>
      </c>
      <c r="H87" s="40" t="s">
        <v>1190</v>
      </c>
      <c r="I87" s="40" t="s">
        <v>1191</v>
      </c>
      <c r="J87" s="39">
        <v>1</v>
      </c>
      <c r="K87" s="40" t="s">
        <v>998</v>
      </c>
    </row>
    <row r="88" spans="1:11" ht="13.5" customHeight="1" x14ac:dyDescent="0.45">
      <c r="A88" s="39">
        <v>87</v>
      </c>
      <c r="B88" s="40" t="s">
        <v>1160</v>
      </c>
      <c r="C88" s="40" t="s">
        <v>1187</v>
      </c>
      <c r="D88" s="40" t="s">
        <v>1188</v>
      </c>
      <c r="E88" s="40" t="s">
        <v>1160</v>
      </c>
      <c r="F88" s="39" t="s">
        <v>1192</v>
      </c>
      <c r="G88" s="39" t="s">
        <v>48</v>
      </c>
      <c r="H88" s="40" t="s">
        <v>1193</v>
      </c>
      <c r="I88" s="40" t="s">
        <v>1194</v>
      </c>
      <c r="J88" s="39">
        <v>1</v>
      </c>
      <c r="K88" s="40" t="s">
        <v>998</v>
      </c>
    </row>
    <row r="89" spans="1:11" ht="13.5" customHeight="1" x14ac:dyDescent="0.45">
      <c r="A89" s="39">
        <v>88</v>
      </c>
      <c r="B89" s="40" t="s">
        <v>1160</v>
      </c>
      <c r="C89" s="40" t="s">
        <v>1187</v>
      </c>
      <c r="D89" s="40" t="s">
        <v>1188</v>
      </c>
      <c r="E89" s="40" t="s">
        <v>1160</v>
      </c>
      <c r="F89" s="39" t="s">
        <v>1195</v>
      </c>
      <c r="G89" s="39" t="s">
        <v>53</v>
      </c>
      <c r="H89" s="40" t="s">
        <v>1196</v>
      </c>
      <c r="I89" s="40" t="s">
        <v>1197</v>
      </c>
      <c r="J89" s="39">
        <v>1</v>
      </c>
      <c r="K89" s="40" t="s">
        <v>998</v>
      </c>
    </row>
    <row r="90" spans="1:11" ht="13.5" customHeight="1" x14ac:dyDescent="0.45">
      <c r="A90" s="39">
        <v>89</v>
      </c>
      <c r="B90" s="40" t="s">
        <v>1160</v>
      </c>
      <c r="C90" s="40" t="s">
        <v>1187</v>
      </c>
      <c r="D90" s="40" t="s">
        <v>1188</v>
      </c>
      <c r="E90" s="40" t="s">
        <v>1160</v>
      </c>
      <c r="F90" s="39" t="s">
        <v>1198</v>
      </c>
      <c r="G90" s="39" t="s">
        <v>59</v>
      </c>
      <c r="H90" s="40" t="s">
        <v>1199</v>
      </c>
      <c r="I90" s="40" t="s">
        <v>1200</v>
      </c>
      <c r="J90" s="39">
        <v>1</v>
      </c>
      <c r="K90" s="40" t="s">
        <v>998</v>
      </c>
    </row>
    <row r="91" spans="1:11" ht="13.5" customHeight="1" x14ac:dyDescent="0.45">
      <c r="A91" s="39">
        <v>90</v>
      </c>
      <c r="B91" s="40" t="s">
        <v>1160</v>
      </c>
      <c r="C91" s="40" t="s">
        <v>1187</v>
      </c>
      <c r="D91" s="40" t="s">
        <v>1188</v>
      </c>
      <c r="E91" s="40" t="s">
        <v>1160</v>
      </c>
      <c r="F91" s="39" t="s">
        <v>1201</v>
      </c>
      <c r="G91" s="39" t="s">
        <v>64</v>
      </c>
      <c r="H91" s="40" t="s">
        <v>1202</v>
      </c>
      <c r="I91" s="40" t="s">
        <v>1203</v>
      </c>
      <c r="J91" s="39">
        <v>1</v>
      </c>
      <c r="K91" s="40" t="s">
        <v>998</v>
      </c>
    </row>
    <row r="92" spans="1:11" ht="13.5" customHeight="1" x14ac:dyDescent="0.45">
      <c r="A92" s="39">
        <v>91</v>
      </c>
      <c r="B92" s="40" t="s">
        <v>1160</v>
      </c>
      <c r="C92" s="40" t="s">
        <v>1187</v>
      </c>
      <c r="D92" s="40" t="s">
        <v>1188</v>
      </c>
      <c r="E92" s="40" t="s">
        <v>1160</v>
      </c>
      <c r="F92" s="39" t="s">
        <v>1204</v>
      </c>
      <c r="G92" s="39" t="s">
        <v>69</v>
      </c>
      <c r="H92" s="40" t="s">
        <v>1205</v>
      </c>
      <c r="I92" s="40" t="s">
        <v>1206</v>
      </c>
      <c r="J92" s="39">
        <v>1</v>
      </c>
      <c r="K92" s="40" t="s">
        <v>998</v>
      </c>
    </row>
    <row r="93" spans="1:11" ht="20.25" customHeight="1" x14ac:dyDescent="0.45">
      <c r="A93" s="39">
        <v>92</v>
      </c>
      <c r="B93" s="40" t="s">
        <v>1160</v>
      </c>
      <c r="C93" s="40" t="s">
        <v>1187</v>
      </c>
      <c r="D93" s="40" t="s">
        <v>1188</v>
      </c>
      <c r="E93" s="40" t="s">
        <v>1160</v>
      </c>
      <c r="F93" s="39" t="s">
        <v>1207</v>
      </c>
      <c r="G93" s="39" t="s">
        <v>75</v>
      </c>
      <c r="H93" s="40" t="s">
        <v>1208</v>
      </c>
      <c r="I93" s="40" t="s">
        <v>1209</v>
      </c>
      <c r="J93" s="39">
        <v>1</v>
      </c>
      <c r="K93" s="40" t="s">
        <v>998</v>
      </c>
    </row>
    <row r="94" spans="1:11" ht="13.5" customHeight="1" x14ac:dyDescent="0.45">
      <c r="A94" s="39">
        <v>93</v>
      </c>
      <c r="B94" s="40" t="s">
        <v>1160</v>
      </c>
      <c r="C94" s="40" t="s">
        <v>1187</v>
      </c>
      <c r="D94" s="40" t="s">
        <v>1188</v>
      </c>
      <c r="E94" s="40" t="s">
        <v>1160</v>
      </c>
      <c r="F94" s="39" t="s">
        <v>1210</v>
      </c>
      <c r="G94" s="39" t="s">
        <v>81</v>
      </c>
      <c r="H94" s="40" t="s">
        <v>1211</v>
      </c>
      <c r="I94" s="40" t="s">
        <v>1212</v>
      </c>
      <c r="J94" s="39">
        <v>1</v>
      </c>
      <c r="K94" s="40" t="s">
        <v>998</v>
      </c>
    </row>
    <row r="95" spans="1:11" ht="13.5" customHeight="1" x14ac:dyDescent="0.45">
      <c r="A95" s="39">
        <v>94</v>
      </c>
      <c r="B95" s="40" t="s">
        <v>1160</v>
      </c>
      <c r="C95" s="40" t="s">
        <v>1213</v>
      </c>
      <c r="D95" s="40" t="s">
        <v>1214</v>
      </c>
      <c r="E95" s="40" t="s">
        <v>1160</v>
      </c>
      <c r="F95" s="39" t="s">
        <v>1215</v>
      </c>
      <c r="G95" s="39" t="s">
        <v>35</v>
      </c>
      <c r="H95" s="40" t="s">
        <v>1216</v>
      </c>
      <c r="I95" s="40" t="s">
        <v>1217</v>
      </c>
      <c r="J95" s="39">
        <v>1</v>
      </c>
      <c r="K95" s="40" t="s">
        <v>998</v>
      </c>
    </row>
    <row r="96" spans="1:11" ht="13.5" customHeight="1" x14ac:dyDescent="0.45">
      <c r="A96" s="39">
        <v>95</v>
      </c>
      <c r="B96" s="40" t="s">
        <v>1160</v>
      </c>
      <c r="C96" s="40" t="s">
        <v>1213</v>
      </c>
      <c r="D96" s="40" t="s">
        <v>1214</v>
      </c>
      <c r="E96" s="40" t="s">
        <v>1160</v>
      </c>
      <c r="F96" s="39" t="s">
        <v>1218</v>
      </c>
      <c r="G96" s="39" t="s">
        <v>48</v>
      </c>
      <c r="H96" s="40" t="s">
        <v>1219</v>
      </c>
      <c r="I96" s="40" t="s">
        <v>1220</v>
      </c>
      <c r="J96" s="39">
        <v>1</v>
      </c>
      <c r="K96" s="40" t="s">
        <v>998</v>
      </c>
    </row>
    <row r="97" spans="1:11" ht="13.5" customHeight="1" x14ac:dyDescent="0.45">
      <c r="A97" s="39">
        <v>96</v>
      </c>
      <c r="B97" s="40" t="s">
        <v>1160</v>
      </c>
      <c r="C97" s="40" t="s">
        <v>1213</v>
      </c>
      <c r="D97" s="40" t="s">
        <v>1214</v>
      </c>
      <c r="E97" s="40" t="s">
        <v>1160</v>
      </c>
      <c r="F97" s="39" t="s">
        <v>1221</v>
      </c>
      <c r="G97" s="39" t="s">
        <v>53</v>
      </c>
      <c r="H97" s="40" t="s">
        <v>1222</v>
      </c>
      <c r="I97" s="40" t="s">
        <v>1223</v>
      </c>
      <c r="J97" s="39">
        <v>1</v>
      </c>
      <c r="K97" s="40" t="s">
        <v>998</v>
      </c>
    </row>
    <row r="98" spans="1:11" ht="13.5" customHeight="1" x14ac:dyDescent="0.45">
      <c r="A98" s="39">
        <v>97</v>
      </c>
      <c r="B98" s="40" t="s">
        <v>1160</v>
      </c>
      <c r="C98" s="40" t="s">
        <v>1213</v>
      </c>
      <c r="D98" s="40" t="s">
        <v>1214</v>
      </c>
      <c r="E98" s="40" t="s">
        <v>1160</v>
      </c>
      <c r="F98" s="39" t="s">
        <v>1224</v>
      </c>
      <c r="G98" s="39" t="s">
        <v>59</v>
      </c>
      <c r="H98" s="40" t="s">
        <v>1225</v>
      </c>
      <c r="I98" s="40" t="s">
        <v>1226</v>
      </c>
      <c r="J98" s="39">
        <v>1</v>
      </c>
      <c r="K98" s="40" t="s">
        <v>998</v>
      </c>
    </row>
    <row r="99" spans="1:11" ht="13.5" customHeight="1" x14ac:dyDescent="0.45">
      <c r="A99" s="39">
        <v>98</v>
      </c>
      <c r="B99" s="40" t="s">
        <v>1160</v>
      </c>
      <c r="C99" s="40" t="s">
        <v>1213</v>
      </c>
      <c r="D99" s="40" t="s">
        <v>1214</v>
      </c>
      <c r="E99" s="40" t="s">
        <v>1160</v>
      </c>
      <c r="F99" s="39" t="s">
        <v>1227</v>
      </c>
      <c r="G99" s="39" t="s">
        <v>64</v>
      </c>
      <c r="H99" s="40" t="s">
        <v>1228</v>
      </c>
      <c r="I99" s="40" t="s">
        <v>1229</v>
      </c>
      <c r="J99" s="39">
        <v>1</v>
      </c>
      <c r="K99" s="40" t="s">
        <v>998</v>
      </c>
    </row>
    <row r="100" spans="1:11" ht="13.5" customHeight="1" x14ac:dyDescent="0.45">
      <c r="A100" s="39">
        <v>99</v>
      </c>
      <c r="B100" s="40" t="s">
        <v>1160</v>
      </c>
      <c r="C100" s="40" t="s">
        <v>1213</v>
      </c>
      <c r="D100" s="40" t="s">
        <v>1214</v>
      </c>
      <c r="E100" s="40" t="s">
        <v>1160</v>
      </c>
      <c r="F100" s="39" t="s">
        <v>1230</v>
      </c>
      <c r="G100" s="39" t="s">
        <v>69</v>
      </c>
      <c r="H100" s="40" t="s">
        <v>1231</v>
      </c>
      <c r="I100" s="40" t="s">
        <v>1232</v>
      </c>
      <c r="J100" s="39">
        <v>1</v>
      </c>
      <c r="K100" s="40" t="s">
        <v>998</v>
      </c>
    </row>
    <row r="101" spans="1:11" ht="13.5" customHeight="1" x14ac:dyDescent="0.45">
      <c r="A101" s="39">
        <v>100</v>
      </c>
      <c r="B101" s="40" t="s">
        <v>1160</v>
      </c>
      <c r="C101" s="40" t="s">
        <v>1233</v>
      </c>
      <c r="D101" s="40" t="s">
        <v>1234</v>
      </c>
      <c r="E101" s="40" t="s">
        <v>1160</v>
      </c>
      <c r="F101" s="39" t="s">
        <v>1235</v>
      </c>
      <c r="G101" s="39" t="s">
        <v>35</v>
      </c>
      <c r="H101" s="40" t="s">
        <v>1236</v>
      </c>
      <c r="I101" s="40" t="s">
        <v>1237</v>
      </c>
      <c r="J101" s="39">
        <v>1</v>
      </c>
      <c r="K101" s="40" t="s">
        <v>998</v>
      </c>
    </row>
    <row r="102" spans="1:11" ht="13.5" customHeight="1" x14ac:dyDescent="0.45">
      <c r="A102" s="39">
        <v>101</v>
      </c>
      <c r="B102" s="40" t="s">
        <v>1160</v>
      </c>
      <c r="C102" s="40" t="s">
        <v>1233</v>
      </c>
      <c r="D102" s="40" t="s">
        <v>1234</v>
      </c>
      <c r="E102" s="40" t="s">
        <v>1160</v>
      </c>
      <c r="F102" s="39" t="s">
        <v>1238</v>
      </c>
      <c r="G102" s="39" t="s">
        <v>48</v>
      </c>
      <c r="H102" s="40" t="s">
        <v>1239</v>
      </c>
      <c r="I102" s="40" t="s">
        <v>1240</v>
      </c>
      <c r="J102" s="39">
        <v>1</v>
      </c>
      <c r="K102" s="40" t="s">
        <v>998</v>
      </c>
    </row>
    <row r="103" spans="1:11" ht="13.5" customHeight="1" x14ac:dyDescent="0.45">
      <c r="A103" s="39">
        <v>102</v>
      </c>
      <c r="B103" s="40" t="s">
        <v>1160</v>
      </c>
      <c r="C103" s="40" t="s">
        <v>1233</v>
      </c>
      <c r="D103" s="40" t="s">
        <v>1234</v>
      </c>
      <c r="E103" s="40" t="s">
        <v>1160</v>
      </c>
      <c r="F103" s="39" t="s">
        <v>1241</v>
      </c>
      <c r="G103" s="39" t="s">
        <v>53</v>
      </c>
      <c r="H103" s="40" t="s">
        <v>1242</v>
      </c>
      <c r="I103" s="40" t="s">
        <v>1243</v>
      </c>
      <c r="J103" s="39">
        <v>1</v>
      </c>
      <c r="K103" s="40" t="s">
        <v>998</v>
      </c>
    </row>
    <row r="104" spans="1:11" ht="13.5" customHeight="1" x14ac:dyDescent="0.45">
      <c r="A104" s="39">
        <v>103</v>
      </c>
      <c r="B104" s="40" t="s">
        <v>1160</v>
      </c>
      <c r="C104" s="40" t="s">
        <v>1233</v>
      </c>
      <c r="D104" s="40" t="s">
        <v>1234</v>
      </c>
      <c r="E104" s="40" t="s">
        <v>1160</v>
      </c>
      <c r="F104" s="39" t="s">
        <v>1244</v>
      </c>
      <c r="G104" s="39" t="s">
        <v>59</v>
      </c>
      <c r="H104" s="40" t="s">
        <v>1245</v>
      </c>
      <c r="I104" s="40" t="s">
        <v>1246</v>
      </c>
      <c r="J104" s="39">
        <v>1</v>
      </c>
      <c r="K104" s="40" t="s">
        <v>998</v>
      </c>
    </row>
    <row r="105" spans="1:11" ht="13.5" customHeight="1" x14ac:dyDescent="0.45">
      <c r="A105" s="39">
        <v>104</v>
      </c>
      <c r="B105" s="40" t="s">
        <v>1160</v>
      </c>
      <c r="C105" s="40" t="s">
        <v>1233</v>
      </c>
      <c r="D105" s="40" t="s">
        <v>1234</v>
      </c>
      <c r="E105" s="40" t="s">
        <v>1160</v>
      </c>
      <c r="F105" s="39" t="s">
        <v>1247</v>
      </c>
      <c r="G105" s="39" t="s">
        <v>64</v>
      </c>
      <c r="H105" s="40" t="s">
        <v>1248</v>
      </c>
      <c r="I105" s="40" t="s">
        <v>1249</v>
      </c>
      <c r="J105" s="39">
        <v>1</v>
      </c>
      <c r="K105" s="40" t="s">
        <v>998</v>
      </c>
    </row>
    <row r="106" spans="1:11" ht="13.5" customHeight="1" x14ac:dyDescent="0.45">
      <c r="A106" s="39">
        <v>105</v>
      </c>
      <c r="B106" s="40" t="s">
        <v>1160</v>
      </c>
      <c r="C106" s="40" t="s">
        <v>1233</v>
      </c>
      <c r="D106" s="40" t="s">
        <v>1234</v>
      </c>
      <c r="E106" s="40" t="s">
        <v>1160</v>
      </c>
      <c r="F106" s="39" t="s">
        <v>1250</v>
      </c>
      <c r="G106" s="39" t="s">
        <v>69</v>
      </c>
      <c r="H106" s="40" t="s">
        <v>1251</v>
      </c>
      <c r="I106" s="40" t="s">
        <v>1252</v>
      </c>
      <c r="J106" s="39">
        <v>1</v>
      </c>
      <c r="K106" s="40" t="s">
        <v>998</v>
      </c>
    </row>
    <row r="107" spans="1:11" ht="13.5" customHeight="1" x14ac:dyDescent="0.45">
      <c r="A107" s="39">
        <v>106</v>
      </c>
      <c r="B107" s="40" t="s">
        <v>1160</v>
      </c>
      <c r="C107" s="40" t="s">
        <v>1233</v>
      </c>
      <c r="D107" s="40" t="s">
        <v>1234</v>
      </c>
      <c r="E107" s="40" t="s">
        <v>1160</v>
      </c>
      <c r="F107" s="39" t="s">
        <v>1253</v>
      </c>
      <c r="G107" s="39" t="s">
        <v>75</v>
      </c>
      <c r="H107" s="40" t="s">
        <v>1254</v>
      </c>
      <c r="I107" s="40" t="s">
        <v>1255</v>
      </c>
      <c r="J107" s="39">
        <v>1</v>
      </c>
      <c r="K107" s="40" t="s">
        <v>998</v>
      </c>
    </row>
    <row r="108" spans="1:11" ht="13.5" customHeight="1" x14ac:dyDescent="0.45">
      <c r="A108" s="39">
        <v>107</v>
      </c>
      <c r="B108" s="40" t="s">
        <v>1160</v>
      </c>
      <c r="C108" s="40" t="s">
        <v>1233</v>
      </c>
      <c r="D108" s="40" t="s">
        <v>1234</v>
      </c>
      <c r="E108" s="40" t="s">
        <v>1160</v>
      </c>
      <c r="F108" s="39" t="s">
        <v>1256</v>
      </c>
      <c r="G108" s="39" t="s">
        <v>81</v>
      </c>
      <c r="H108" s="40" t="s">
        <v>1257</v>
      </c>
      <c r="I108" s="40" t="s">
        <v>1258</v>
      </c>
      <c r="J108" s="39">
        <v>1</v>
      </c>
      <c r="K108" s="40" t="s">
        <v>998</v>
      </c>
    </row>
    <row r="109" spans="1:11" ht="13.5" customHeight="1" x14ac:dyDescent="0.45">
      <c r="A109" s="39">
        <v>108</v>
      </c>
      <c r="B109" s="40" t="s">
        <v>1160</v>
      </c>
      <c r="C109" s="40" t="s">
        <v>1233</v>
      </c>
      <c r="D109" s="40" t="s">
        <v>1234</v>
      </c>
      <c r="E109" s="40" t="s">
        <v>1160</v>
      </c>
      <c r="F109" s="39" t="s">
        <v>1259</v>
      </c>
      <c r="G109" s="39" t="s">
        <v>86</v>
      </c>
      <c r="H109" s="40" t="s">
        <v>1260</v>
      </c>
      <c r="I109" s="40" t="s">
        <v>1261</v>
      </c>
      <c r="J109" s="39">
        <v>1</v>
      </c>
      <c r="K109" s="40" t="s">
        <v>998</v>
      </c>
    </row>
    <row r="110" spans="1:11" ht="13.5" customHeight="1" x14ac:dyDescent="0.45">
      <c r="A110" s="39">
        <v>109</v>
      </c>
      <c r="B110" s="40" t="s">
        <v>1160</v>
      </c>
      <c r="C110" s="40" t="s">
        <v>1262</v>
      </c>
      <c r="D110" s="40" t="s">
        <v>1263</v>
      </c>
      <c r="E110" s="40" t="s">
        <v>1160</v>
      </c>
      <c r="F110" s="39" t="s">
        <v>1264</v>
      </c>
      <c r="G110" s="39" t="s">
        <v>35</v>
      </c>
      <c r="H110" s="40" t="s">
        <v>1265</v>
      </c>
      <c r="I110" s="40" t="s">
        <v>1266</v>
      </c>
      <c r="J110" s="39">
        <v>1</v>
      </c>
      <c r="K110" s="40" t="s">
        <v>998</v>
      </c>
    </row>
    <row r="111" spans="1:11" ht="13.5" customHeight="1" x14ac:dyDescent="0.45">
      <c r="A111" s="39">
        <v>110</v>
      </c>
      <c r="B111" s="40" t="s">
        <v>1160</v>
      </c>
      <c r="C111" s="40" t="s">
        <v>1262</v>
      </c>
      <c r="D111" s="40" t="s">
        <v>1263</v>
      </c>
      <c r="E111" s="40" t="s">
        <v>1160</v>
      </c>
      <c r="F111" s="39" t="s">
        <v>1267</v>
      </c>
      <c r="G111" s="39" t="s">
        <v>48</v>
      </c>
      <c r="H111" s="40" t="s">
        <v>1268</v>
      </c>
      <c r="I111" s="40" t="s">
        <v>1269</v>
      </c>
      <c r="J111" s="39">
        <v>1</v>
      </c>
      <c r="K111" s="40" t="s">
        <v>998</v>
      </c>
    </row>
    <row r="112" spans="1:11" ht="13.5" customHeight="1" x14ac:dyDescent="0.45">
      <c r="A112" s="39">
        <v>111</v>
      </c>
      <c r="B112" s="40" t="s">
        <v>1160</v>
      </c>
      <c r="C112" s="40" t="s">
        <v>1262</v>
      </c>
      <c r="D112" s="40" t="s">
        <v>1263</v>
      </c>
      <c r="E112" s="40" t="s">
        <v>1160</v>
      </c>
      <c r="F112" s="39" t="s">
        <v>1270</v>
      </c>
      <c r="G112" s="39" t="s">
        <v>53</v>
      </c>
      <c r="H112" s="40" t="s">
        <v>1271</v>
      </c>
      <c r="I112" s="40" t="s">
        <v>1272</v>
      </c>
      <c r="J112" s="39">
        <v>1</v>
      </c>
      <c r="K112" s="40" t="s">
        <v>998</v>
      </c>
    </row>
    <row r="113" spans="1:11" ht="13.5" customHeight="1" x14ac:dyDescent="0.45">
      <c r="A113" s="39">
        <v>112</v>
      </c>
      <c r="B113" s="40" t="s">
        <v>1160</v>
      </c>
      <c r="C113" s="40" t="s">
        <v>1262</v>
      </c>
      <c r="D113" s="40" t="s">
        <v>1263</v>
      </c>
      <c r="E113" s="40" t="s">
        <v>1160</v>
      </c>
      <c r="F113" s="39" t="s">
        <v>1273</v>
      </c>
      <c r="G113" s="39" t="s">
        <v>59</v>
      </c>
      <c r="H113" s="40" t="s">
        <v>1274</v>
      </c>
      <c r="I113" s="40" t="s">
        <v>1275</v>
      </c>
      <c r="J113" s="39">
        <v>1</v>
      </c>
      <c r="K113" s="40" t="s">
        <v>998</v>
      </c>
    </row>
    <row r="114" spans="1:11" ht="13.5" customHeight="1" x14ac:dyDescent="0.45">
      <c r="A114" s="39">
        <v>113</v>
      </c>
      <c r="B114" s="40" t="s">
        <v>1160</v>
      </c>
      <c r="C114" s="40" t="s">
        <v>1262</v>
      </c>
      <c r="D114" s="40" t="s">
        <v>1263</v>
      </c>
      <c r="E114" s="40" t="s">
        <v>1160</v>
      </c>
      <c r="F114" s="39" t="s">
        <v>1276</v>
      </c>
      <c r="G114" s="39" t="s">
        <v>64</v>
      </c>
      <c r="H114" s="40" t="s">
        <v>1277</v>
      </c>
      <c r="I114" s="40" t="s">
        <v>1278</v>
      </c>
      <c r="J114" s="39">
        <v>1</v>
      </c>
      <c r="K114" s="40" t="s">
        <v>998</v>
      </c>
    </row>
    <row r="115" spans="1:11" ht="13.5" customHeight="1" x14ac:dyDescent="0.45">
      <c r="A115" s="39">
        <v>114</v>
      </c>
      <c r="B115" s="40" t="s">
        <v>1160</v>
      </c>
      <c r="C115" s="40" t="s">
        <v>1262</v>
      </c>
      <c r="D115" s="40" t="s">
        <v>1263</v>
      </c>
      <c r="E115" s="40" t="s">
        <v>1160</v>
      </c>
      <c r="F115" s="39" t="s">
        <v>1279</v>
      </c>
      <c r="G115" s="39" t="s">
        <v>69</v>
      </c>
      <c r="H115" s="40" t="s">
        <v>1280</v>
      </c>
      <c r="I115" s="40" t="s">
        <v>1281</v>
      </c>
      <c r="J115" s="39">
        <v>1</v>
      </c>
      <c r="K115" s="40" t="s">
        <v>998</v>
      </c>
    </row>
    <row r="116" spans="1:11" ht="13.5" customHeight="1" x14ac:dyDescent="0.45">
      <c r="A116" s="39">
        <v>115</v>
      </c>
      <c r="B116" s="40" t="s">
        <v>1160</v>
      </c>
      <c r="C116" s="40" t="s">
        <v>1262</v>
      </c>
      <c r="D116" s="40" t="s">
        <v>1263</v>
      </c>
      <c r="E116" s="40" t="s">
        <v>1160</v>
      </c>
      <c r="F116" s="39" t="s">
        <v>1282</v>
      </c>
      <c r="G116" s="39" t="s">
        <v>75</v>
      </c>
      <c r="H116" s="40" t="s">
        <v>1283</v>
      </c>
      <c r="I116" s="40" t="s">
        <v>1284</v>
      </c>
      <c r="J116" s="39">
        <v>1</v>
      </c>
      <c r="K116" s="40" t="s">
        <v>998</v>
      </c>
    </row>
    <row r="117" spans="1:11" ht="13.5" customHeight="1" x14ac:dyDescent="0.45">
      <c r="A117" s="39">
        <v>116</v>
      </c>
      <c r="B117" s="40" t="s">
        <v>1160</v>
      </c>
      <c r="C117" s="40" t="s">
        <v>1262</v>
      </c>
      <c r="D117" s="40" t="s">
        <v>1263</v>
      </c>
      <c r="E117" s="40" t="s">
        <v>1160</v>
      </c>
      <c r="F117" s="39" t="s">
        <v>1285</v>
      </c>
      <c r="G117" s="39" t="s">
        <v>81</v>
      </c>
      <c r="H117" s="40" t="s">
        <v>1286</v>
      </c>
      <c r="I117" s="40" t="s">
        <v>1287</v>
      </c>
      <c r="J117" s="39">
        <v>1</v>
      </c>
      <c r="K117" s="40" t="s">
        <v>998</v>
      </c>
    </row>
    <row r="118" spans="1:11" ht="13.5" customHeight="1" x14ac:dyDescent="0.45">
      <c r="A118" s="39">
        <v>117</v>
      </c>
      <c r="B118" s="40" t="s">
        <v>1160</v>
      </c>
      <c r="C118" s="40" t="s">
        <v>1262</v>
      </c>
      <c r="D118" s="40" t="s">
        <v>1263</v>
      </c>
      <c r="E118" s="40" t="s">
        <v>1160</v>
      </c>
      <c r="F118" s="39" t="s">
        <v>1288</v>
      </c>
      <c r="G118" s="39" t="s">
        <v>86</v>
      </c>
      <c r="H118" s="40" t="s">
        <v>1289</v>
      </c>
      <c r="I118" s="40" t="s">
        <v>1290</v>
      </c>
      <c r="J118" s="39">
        <v>1</v>
      </c>
      <c r="K118" s="40" t="s">
        <v>998</v>
      </c>
    </row>
    <row r="119" spans="1:11" ht="13.5" customHeight="1" x14ac:dyDescent="0.45">
      <c r="A119" s="39">
        <v>118</v>
      </c>
      <c r="B119" s="40" t="s">
        <v>1160</v>
      </c>
      <c r="C119" s="40" t="s">
        <v>1291</v>
      </c>
      <c r="D119" s="40" t="s">
        <v>1292</v>
      </c>
      <c r="E119" s="40" t="s">
        <v>1160</v>
      </c>
      <c r="F119" s="39" t="s">
        <v>1293</v>
      </c>
      <c r="G119" s="39" t="s">
        <v>35</v>
      </c>
      <c r="H119" s="40" t="s">
        <v>1294</v>
      </c>
      <c r="I119" s="40" t="s">
        <v>1295</v>
      </c>
      <c r="J119" s="39">
        <v>1</v>
      </c>
      <c r="K119" s="40" t="s">
        <v>998</v>
      </c>
    </row>
    <row r="120" spans="1:11" ht="13.5" customHeight="1" x14ac:dyDescent="0.45">
      <c r="A120" s="39">
        <v>119</v>
      </c>
      <c r="B120" s="40" t="s">
        <v>1160</v>
      </c>
      <c r="C120" s="40" t="s">
        <v>1291</v>
      </c>
      <c r="D120" s="40" t="s">
        <v>1292</v>
      </c>
      <c r="E120" s="40" t="s">
        <v>1160</v>
      </c>
      <c r="F120" s="39" t="s">
        <v>1296</v>
      </c>
      <c r="G120" s="39" t="s">
        <v>48</v>
      </c>
      <c r="H120" s="40" t="s">
        <v>1297</v>
      </c>
      <c r="I120" s="40" t="s">
        <v>1298</v>
      </c>
      <c r="J120" s="39">
        <v>1</v>
      </c>
      <c r="K120" s="40" t="s">
        <v>998</v>
      </c>
    </row>
    <row r="121" spans="1:11" ht="13.5" customHeight="1" x14ac:dyDescent="0.45">
      <c r="A121" s="39">
        <v>120</v>
      </c>
      <c r="B121" s="40" t="s">
        <v>1160</v>
      </c>
      <c r="C121" s="40" t="s">
        <v>1291</v>
      </c>
      <c r="D121" s="40" t="s">
        <v>1292</v>
      </c>
      <c r="E121" s="40" t="s">
        <v>1160</v>
      </c>
      <c r="F121" s="39" t="s">
        <v>1299</v>
      </c>
      <c r="G121" s="39" t="s">
        <v>53</v>
      </c>
      <c r="H121" s="40" t="s">
        <v>1300</v>
      </c>
      <c r="I121" s="40" t="s">
        <v>1301</v>
      </c>
      <c r="J121" s="39">
        <v>1</v>
      </c>
      <c r="K121" s="40" t="s">
        <v>998</v>
      </c>
    </row>
    <row r="122" spans="1:11" ht="13.5" customHeight="1" x14ac:dyDescent="0.45">
      <c r="A122" s="39">
        <v>121</v>
      </c>
      <c r="B122" s="40" t="s">
        <v>1160</v>
      </c>
      <c r="C122" s="40" t="s">
        <v>1291</v>
      </c>
      <c r="D122" s="40" t="s">
        <v>1292</v>
      </c>
      <c r="E122" s="40" t="s">
        <v>1160</v>
      </c>
      <c r="F122" s="39" t="s">
        <v>1302</v>
      </c>
      <c r="G122" s="39" t="s">
        <v>59</v>
      </c>
      <c r="H122" s="40" t="s">
        <v>1303</v>
      </c>
      <c r="I122" s="40" t="s">
        <v>1304</v>
      </c>
      <c r="J122" s="39">
        <v>1</v>
      </c>
      <c r="K122" s="40" t="s">
        <v>998</v>
      </c>
    </row>
    <row r="123" spans="1:11" ht="13.5" customHeight="1" x14ac:dyDescent="0.45">
      <c r="A123" s="39">
        <v>122</v>
      </c>
      <c r="B123" s="40" t="s">
        <v>1160</v>
      </c>
      <c r="C123" s="40" t="s">
        <v>1291</v>
      </c>
      <c r="D123" s="40" t="s">
        <v>1292</v>
      </c>
      <c r="E123" s="40" t="s">
        <v>1160</v>
      </c>
      <c r="F123" s="39" t="s">
        <v>1305</v>
      </c>
      <c r="G123" s="39" t="s">
        <v>64</v>
      </c>
      <c r="H123" s="40" t="s">
        <v>1306</v>
      </c>
      <c r="I123" s="40" t="s">
        <v>1307</v>
      </c>
      <c r="J123" s="39">
        <v>1</v>
      </c>
      <c r="K123" s="40" t="s">
        <v>998</v>
      </c>
    </row>
    <row r="124" spans="1:11" ht="13.5" customHeight="1" x14ac:dyDescent="0.45">
      <c r="A124" s="39">
        <v>123</v>
      </c>
      <c r="B124" s="40" t="s">
        <v>1160</v>
      </c>
      <c r="C124" s="40" t="s">
        <v>1291</v>
      </c>
      <c r="D124" s="40" t="s">
        <v>1292</v>
      </c>
      <c r="E124" s="40" t="s">
        <v>1160</v>
      </c>
      <c r="F124" s="39" t="s">
        <v>1308</v>
      </c>
      <c r="G124" s="39" t="s">
        <v>69</v>
      </c>
      <c r="H124" s="40" t="s">
        <v>1309</v>
      </c>
      <c r="I124" s="40" t="s">
        <v>1310</v>
      </c>
      <c r="J124" s="39">
        <v>1</v>
      </c>
      <c r="K124" s="40" t="s">
        <v>998</v>
      </c>
    </row>
    <row r="125" spans="1:11" ht="13.5" customHeight="1" x14ac:dyDescent="0.45">
      <c r="A125" s="39">
        <v>124</v>
      </c>
      <c r="B125" s="40" t="s">
        <v>1160</v>
      </c>
      <c r="C125" s="40" t="s">
        <v>1291</v>
      </c>
      <c r="D125" s="40" t="s">
        <v>1292</v>
      </c>
      <c r="E125" s="40" t="s">
        <v>1160</v>
      </c>
      <c r="F125" s="39" t="s">
        <v>1311</v>
      </c>
      <c r="G125" s="39" t="s">
        <v>75</v>
      </c>
      <c r="H125" s="40" t="s">
        <v>1312</v>
      </c>
      <c r="I125" s="40" t="s">
        <v>1313</v>
      </c>
      <c r="J125" s="39">
        <v>1</v>
      </c>
      <c r="K125" s="40" t="s">
        <v>998</v>
      </c>
    </row>
    <row r="126" spans="1:11" ht="13.5" customHeight="1" x14ac:dyDescent="0.45">
      <c r="A126" s="39">
        <v>125</v>
      </c>
      <c r="B126" s="40" t="s">
        <v>1160</v>
      </c>
      <c r="C126" s="40" t="s">
        <v>1291</v>
      </c>
      <c r="D126" s="40" t="s">
        <v>1292</v>
      </c>
      <c r="E126" s="40" t="s">
        <v>1160</v>
      </c>
      <c r="F126" s="39" t="s">
        <v>1314</v>
      </c>
      <c r="G126" s="39" t="s">
        <v>81</v>
      </c>
      <c r="H126" s="40" t="s">
        <v>1315</v>
      </c>
      <c r="I126" s="40" t="s">
        <v>1316</v>
      </c>
      <c r="J126" s="39">
        <v>1</v>
      </c>
      <c r="K126" s="40" t="s">
        <v>998</v>
      </c>
    </row>
    <row r="127" spans="1:11" ht="13.5" customHeight="1" x14ac:dyDescent="0.45">
      <c r="A127" s="39">
        <v>126</v>
      </c>
      <c r="B127" s="40" t="s">
        <v>1160</v>
      </c>
      <c r="C127" s="40" t="s">
        <v>1291</v>
      </c>
      <c r="D127" s="40" t="s">
        <v>1292</v>
      </c>
      <c r="E127" s="40" t="s">
        <v>1160</v>
      </c>
      <c r="F127" s="39" t="s">
        <v>1317</v>
      </c>
      <c r="G127" s="39" t="s">
        <v>86</v>
      </c>
      <c r="H127" s="40" t="s">
        <v>1318</v>
      </c>
      <c r="I127" s="40" t="s">
        <v>1319</v>
      </c>
      <c r="J127" s="39">
        <v>1</v>
      </c>
      <c r="K127" s="40" t="s">
        <v>998</v>
      </c>
    </row>
    <row r="128" spans="1:11" ht="13.5" customHeight="1" x14ac:dyDescent="0.45">
      <c r="A128" s="39">
        <v>127</v>
      </c>
      <c r="B128" s="40" t="s">
        <v>1160</v>
      </c>
      <c r="C128" s="40" t="s">
        <v>1291</v>
      </c>
      <c r="D128" s="40" t="s">
        <v>1292</v>
      </c>
      <c r="E128" s="40" t="s">
        <v>1160</v>
      </c>
      <c r="F128" s="39" t="s">
        <v>1320</v>
      </c>
      <c r="G128" s="39" t="s">
        <v>1065</v>
      </c>
      <c r="H128" s="40" t="s">
        <v>1321</v>
      </c>
      <c r="I128" s="40" t="s">
        <v>1322</v>
      </c>
      <c r="J128" s="39">
        <v>1</v>
      </c>
      <c r="K128" s="40" t="s">
        <v>998</v>
      </c>
    </row>
    <row r="129" spans="1:11" ht="13.5" customHeight="1" x14ac:dyDescent="0.45">
      <c r="A129" s="39">
        <v>128</v>
      </c>
      <c r="B129" s="40" t="s">
        <v>1160</v>
      </c>
      <c r="C129" s="40" t="s">
        <v>1323</v>
      </c>
      <c r="D129" s="40" t="s">
        <v>1324</v>
      </c>
      <c r="E129" s="40" t="s">
        <v>1160</v>
      </c>
      <c r="F129" s="39" t="s">
        <v>1325</v>
      </c>
      <c r="G129" s="39" t="s">
        <v>35</v>
      </c>
      <c r="H129" s="40" t="s">
        <v>1326</v>
      </c>
      <c r="I129" s="40" t="s">
        <v>1327</v>
      </c>
      <c r="J129" s="39">
        <v>1</v>
      </c>
      <c r="K129" s="40" t="s">
        <v>998</v>
      </c>
    </row>
    <row r="130" spans="1:11" ht="13.5" customHeight="1" x14ac:dyDescent="0.45">
      <c r="A130" s="39">
        <v>129</v>
      </c>
      <c r="B130" s="40" t="s">
        <v>1160</v>
      </c>
      <c r="C130" s="40" t="s">
        <v>1323</v>
      </c>
      <c r="D130" s="40" t="s">
        <v>1324</v>
      </c>
      <c r="E130" s="40" t="s">
        <v>1160</v>
      </c>
      <c r="F130" s="39" t="s">
        <v>1328</v>
      </c>
      <c r="G130" s="39" t="s">
        <v>48</v>
      </c>
      <c r="H130" s="40" t="s">
        <v>1329</v>
      </c>
      <c r="I130" s="40" t="s">
        <v>1330</v>
      </c>
      <c r="J130" s="39">
        <v>1</v>
      </c>
      <c r="K130" s="40" t="s">
        <v>998</v>
      </c>
    </row>
    <row r="131" spans="1:11" ht="13.5" customHeight="1" x14ac:dyDescent="0.45">
      <c r="A131" s="39">
        <v>130</v>
      </c>
      <c r="B131" s="40" t="s">
        <v>1160</v>
      </c>
      <c r="C131" s="40" t="s">
        <v>1323</v>
      </c>
      <c r="D131" s="40" t="s">
        <v>1324</v>
      </c>
      <c r="E131" s="40" t="s">
        <v>1160</v>
      </c>
      <c r="F131" s="39" t="s">
        <v>1331</v>
      </c>
      <c r="G131" s="39" t="s">
        <v>53</v>
      </c>
      <c r="H131" s="40" t="s">
        <v>1332</v>
      </c>
      <c r="I131" s="40" t="s">
        <v>1333</v>
      </c>
      <c r="J131" s="39">
        <v>1</v>
      </c>
      <c r="K131" s="40" t="s">
        <v>998</v>
      </c>
    </row>
    <row r="132" spans="1:11" ht="13.5" customHeight="1" x14ac:dyDescent="0.45">
      <c r="A132" s="39">
        <v>131</v>
      </c>
      <c r="B132" s="40" t="s">
        <v>1160</v>
      </c>
      <c r="C132" s="40" t="s">
        <v>1323</v>
      </c>
      <c r="D132" s="40" t="s">
        <v>1324</v>
      </c>
      <c r="E132" s="40" t="s">
        <v>1160</v>
      </c>
      <c r="F132" s="39" t="s">
        <v>1334</v>
      </c>
      <c r="G132" s="39" t="s">
        <v>59</v>
      </c>
      <c r="H132" s="40" t="s">
        <v>1335</v>
      </c>
      <c r="I132" s="40" t="s">
        <v>1336</v>
      </c>
      <c r="J132" s="39">
        <v>1</v>
      </c>
      <c r="K132" s="40" t="s">
        <v>998</v>
      </c>
    </row>
    <row r="133" spans="1:11" ht="13.5" customHeight="1" x14ac:dyDescent="0.45">
      <c r="A133" s="39">
        <v>132</v>
      </c>
      <c r="B133" s="40" t="s">
        <v>1160</v>
      </c>
      <c r="C133" s="40" t="s">
        <v>1323</v>
      </c>
      <c r="D133" s="40" t="s">
        <v>1324</v>
      </c>
      <c r="E133" s="40" t="s">
        <v>1160</v>
      </c>
      <c r="F133" s="39" t="s">
        <v>1337</v>
      </c>
      <c r="G133" s="39" t="s">
        <v>64</v>
      </c>
      <c r="H133" s="40" t="s">
        <v>1338</v>
      </c>
      <c r="I133" s="40" t="s">
        <v>1339</v>
      </c>
      <c r="J133" s="39">
        <v>1</v>
      </c>
      <c r="K133" s="40" t="s">
        <v>998</v>
      </c>
    </row>
    <row r="134" spans="1:11" ht="13.5" customHeight="1" x14ac:dyDescent="0.45">
      <c r="A134" s="39">
        <v>133</v>
      </c>
      <c r="B134" s="40" t="s">
        <v>1160</v>
      </c>
      <c r="C134" s="40" t="s">
        <v>1323</v>
      </c>
      <c r="D134" s="40" t="s">
        <v>1324</v>
      </c>
      <c r="E134" s="40" t="s">
        <v>1160</v>
      </c>
      <c r="F134" s="39" t="s">
        <v>1340</v>
      </c>
      <c r="G134" s="39" t="s">
        <v>69</v>
      </c>
      <c r="H134" s="40" t="s">
        <v>305</v>
      </c>
      <c r="I134" s="40" t="s">
        <v>1341</v>
      </c>
      <c r="J134" s="39">
        <v>1</v>
      </c>
      <c r="K134" s="40" t="s">
        <v>998</v>
      </c>
    </row>
  </sheetData>
  <conditionalFormatting sqref="A2:K134">
    <cfRule type="expression" dxfId="24" priority="2">
      <formula>$B2="Mandatory CLSR"</formula>
    </cfRule>
    <cfRule type="expression" dxfId="23" priority="3">
      <formula>$B2="Additional PSEC"</formula>
    </cfRule>
  </conditionalFormatting>
  <pageMargins left="0.7" right="0.7" top="0.75" bottom="0.75"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M160"/>
  <sheetViews>
    <sheetView showGridLines="0" zoomScaleNormal="100" workbookViewId="0"/>
  </sheetViews>
  <sheetFormatPr defaultColWidth="9.06640625" defaultRowHeight="14.25" customHeight="1" x14ac:dyDescent="0.45"/>
  <cols>
    <col min="1" max="1" width="36" style="3" customWidth="1"/>
    <col min="2" max="2" width="39.1328125" style="3" customWidth="1"/>
    <col min="3" max="3" width="13.73046875" style="1" customWidth="1"/>
    <col min="4" max="4" width="72.86328125" style="3" customWidth="1"/>
    <col min="5" max="5" width="9.06640625" style="1"/>
    <col min="6" max="6" width="96.86328125" style="3" customWidth="1"/>
    <col min="7" max="7" width="50.53125" style="1" customWidth="1"/>
    <col min="8" max="8" width="38.265625" style="1" customWidth="1"/>
    <col min="9" max="9" width="100.59765625" style="1" customWidth="1"/>
    <col min="10" max="10" width="9.06640625" style="1"/>
    <col min="11" max="13" width="75.59765625" style="1" customWidth="1"/>
    <col min="14" max="16384" width="9.06640625" style="1"/>
  </cols>
  <sheetData>
    <row r="1" spans="1:13" ht="30.75" customHeight="1" x14ac:dyDescent="0.45">
      <c r="A1" s="41" t="s">
        <v>1342</v>
      </c>
      <c r="F1" s="41" t="s">
        <v>1343</v>
      </c>
      <c r="K1" s="41" t="s">
        <v>1344</v>
      </c>
      <c r="L1" s="29"/>
      <c r="M1" s="29"/>
    </row>
    <row r="2" spans="1:13" ht="23.25" customHeight="1" x14ac:dyDescent="0.45">
      <c r="F2" s="42" t="s">
        <v>1345</v>
      </c>
      <c r="K2" s="29"/>
      <c r="L2" s="29"/>
      <c r="M2" s="29"/>
    </row>
    <row r="3" spans="1:13" ht="18" customHeight="1" x14ac:dyDescent="0.45">
      <c r="A3" s="43" t="s">
        <v>1346</v>
      </c>
      <c r="B3" s="43" t="s">
        <v>1347</v>
      </c>
      <c r="C3" s="6"/>
      <c r="F3" s="3" t="s">
        <v>1348</v>
      </c>
      <c r="K3" s="44" t="s">
        <v>1349</v>
      </c>
      <c r="L3" s="45"/>
      <c r="M3" s="45"/>
    </row>
    <row r="4" spans="1:13" ht="14.25" customHeight="1" x14ac:dyDescent="0.45">
      <c r="A4" s="46" t="s">
        <v>625</v>
      </c>
      <c r="B4" s="46" t="s">
        <v>1350</v>
      </c>
      <c r="F4" s="3" t="s">
        <v>1351</v>
      </c>
      <c r="K4" s="29" t="s">
        <v>1352</v>
      </c>
      <c r="L4" s="29" t="s">
        <v>1353</v>
      </c>
      <c r="M4" s="29"/>
    </row>
    <row r="5" spans="1:13" ht="14.25" customHeight="1" x14ac:dyDescent="0.45">
      <c r="A5" s="46" t="s">
        <v>651</v>
      </c>
      <c r="B5" s="46" t="s">
        <v>1354</v>
      </c>
      <c r="F5" s="3" t="s">
        <v>1355</v>
      </c>
      <c r="K5" s="27" t="s">
        <v>509</v>
      </c>
      <c r="L5" s="1" t="s">
        <v>1356</v>
      </c>
    </row>
    <row r="6" spans="1:13" ht="14.25" customHeight="1" x14ac:dyDescent="0.45">
      <c r="A6" s="46" t="s">
        <v>622</v>
      </c>
      <c r="B6" s="46" t="s">
        <v>1357</v>
      </c>
      <c r="F6" s="3" t="s">
        <v>1358</v>
      </c>
      <c r="K6" s="27" t="s">
        <v>1359</v>
      </c>
      <c r="L6" s="1" t="s">
        <v>1360</v>
      </c>
    </row>
    <row r="7" spans="1:13" ht="14.25" customHeight="1" x14ac:dyDescent="0.45">
      <c r="A7" s="46" t="s">
        <v>640</v>
      </c>
      <c r="B7" s="46" t="s">
        <v>1361</v>
      </c>
      <c r="F7" s="3" t="s">
        <v>1362</v>
      </c>
      <c r="K7" s="27" t="s">
        <v>1363</v>
      </c>
      <c r="L7" s="1" t="s">
        <v>1364</v>
      </c>
    </row>
    <row r="8" spans="1:13" ht="14.25" customHeight="1" x14ac:dyDescent="0.45">
      <c r="A8" s="46" t="s">
        <v>630</v>
      </c>
      <c r="B8" s="46" t="s">
        <v>1365</v>
      </c>
      <c r="F8" s="3" t="s">
        <v>1366</v>
      </c>
      <c r="K8" s="27" t="s">
        <v>1367</v>
      </c>
      <c r="L8" s="1" t="s">
        <v>1368</v>
      </c>
    </row>
    <row r="9" spans="1:13" ht="14.25" customHeight="1" x14ac:dyDescent="0.45">
      <c r="A9" s="46" t="s">
        <v>750</v>
      </c>
      <c r="B9" s="46" t="s">
        <v>1369</v>
      </c>
      <c r="F9" s="3" t="s">
        <v>1370</v>
      </c>
    </row>
    <row r="10" spans="1:13" ht="14.25" customHeight="1" x14ac:dyDescent="0.45">
      <c r="A10" s="46" t="s">
        <v>635</v>
      </c>
      <c r="B10" s="46" t="s">
        <v>1371</v>
      </c>
    </row>
    <row r="11" spans="1:13" ht="14.25" customHeight="1" x14ac:dyDescent="0.45">
      <c r="A11" s="46" t="s">
        <v>671</v>
      </c>
      <c r="B11" s="46" t="s">
        <v>1372</v>
      </c>
      <c r="F11" s="47" t="s">
        <v>1373</v>
      </c>
    </row>
    <row r="12" spans="1:13" ht="14.25" customHeight="1" x14ac:dyDescent="0.45">
      <c r="A12" s="46" t="s">
        <v>674</v>
      </c>
      <c r="B12" s="46" t="s">
        <v>1374</v>
      </c>
    </row>
    <row r="13" spans="1:13" ht="14.25" customHeight="1" x14ac:dyDescent="0.45">
      <c r="A13" s="46" t="s">
        <v>648</v>
      </c>
      <c r="B13" s="46" t="s">
        <v>1375</v>
      </c>
      <c r="F13" s="48" t="s">
        <v>1376</v>
      </c>
      <c r="G13" s="48" t="s">
        <v>1377</v>
      </c>
      <c r="H13" s="48" t="s">
        <v>1378</v>
      </c>
      <c r="I13" s="48" t="s">
        <v>1379</v>
      </c>
      <c r="K13" s="49" t="s">
        <v>1380</v>
      </c>
      <c r="L13" s="49" t="s">
        <v>1381</v>
      </c>
      <c r="M13" s="49" t="s">
        <v>1382</v>
      </c>
    </row>
    <row r="14" spans="1:13" ht="27.75" customHeight="1" x14ac:dyDescent="0.45">
      <c r="F14" s="50" t="s">
        <v>1383</v>
      </c>
      <c r="G14" s="50" t="s">
        <v>597</v>
      </c>
      <c r="H14" s="50" t="s">
        <v>598</v>
      </c>
      <c r="I14" s="50" t="s">
        <v>599</v>
      </c>
      <c r="K14" s="27" t="s">
        <v>509</v>
      </c>
      <c r="L14" s="27" t="s">
        <v>1384</v>
      </c>
      <c r="M14" s="27" t="s">
        <v>1385</v>
      </c>
    </row>
    <row r="15" spans="1:13" ht="14.25" customHeight="1" x14ac:dyDescent="0.45">
      <c r="A15" s="43" t="s">
        <v>1346</v>
      </c>
      <c r="B15" s="43" t="s">
        <v>1386</v>
      </c>
      <c r="C15" s="51" t="s">
        <v>1387</v>
      </c>
      <c r="D15" s="43" t="s">
        <v>1388</v>
      </c>
      <c r="F15" s="50" t="s">
        <v>1389</v>
      </c>
      <c r="G15" s="50" t="s">
        <v>1390</v>
      </c>
      <c r="H15" s="50" t="s">
        <v>1391</v>
      </c>
      <c r="I15" s="50" t="s">
        <v>1392</v>
      </c>
      <c r="K15" s="27" t="s">
        <v>509</v>
      </c>
      <c r="L15" s="27" t="s">
        <v>1393</v>
      </c>
      <c r="M15" s="27" t="s">
        <v>1394</v>
      </c>
    </row>
    <row r="16" spans="1:13" ht="27.75" customHeight="1" x14ac:dyDescent="0.45">
      <c r="A16" s="46" t="s">
        <v>1395</v>
      </c>
      <c r="B16" s="46" t="s">
        <v>689</v>
      </c>
      <c r="C16" s="52" t="s">
        <v>1396</v>
      </c>
      <c r="D16" s="46" t="s">
        <v>1397</v>
      </c>
      <c r="F16" s="50" t="s">
        <v>1398</v>
      </c>
      <c r="G16" s="50" t="s">
        <v>1399</v>
      </c>
      <c r="H16" s="50" t="s">
        <v>1400</v>
      </c>
      <c r="I16" s="50" t="s">
        <v>1401</v>
      </c>
      <c r="K16" s="27" t="s">
        <v>509</v>
      </c>
      <c r="L16" s="27" t="s">
        <v>1402</v>
      </c>
      <c r="M16" s="27" t="s">
        <v>1403</v>
      </c>
    </row>
    <row r="17" spans="1:13" ht="28.5" customHeight="1" x14ac:dyDescent="0.45">
      <c r="A17" s="46" t="s">
        <v>1395</v>
      </c>
      <c r="B17" s="46" t="s">
        <v>628</v>
      </c>
      <c r="C17" s="52" t="s">
        <v>1404</v>
      </c>
      <c r="D17" s="46" t="s">
        <v>1405</v>
      </c>
      <c r="F17" s="50" t="s">
        <v>523</v>
      </c>
      <c r="G17" s="50" t="s">
        <v>600</v>
      </c>
      <c r="H17" s="50" t="s">
        <v>601</v>
      </c>
      <c r="I17" s="50" t="s">
        <v>602</v>
      </c>
      <c r="K17" s="27" t="s">
        <v>509</v>
      </c>
      <c r="L17" s="27" t="s">
        <v>1406</v>
      </c>
      <c r="M17" s="27" t="s">
        <v>1407</v>
      </c>
    </row>
    <row r="18" spans="1:13" ht="14.25" customHeight="1" x14ac:dyDescent="0.45">
      <c r="A18" s="46" t="s">
        <v>1395</v>
      </c>
      <c r="B18" s="46" t="s">
        <v>1408</v>
      </c>
      <c r="C18" s="52" t="s">
        <v>1409</v>
      </c>
      <c r="D18" s="46" t="s">
        <v>1410</v>
      </c>
      <c r="F18" s="50" t="s">
        <v>1411</v>
      </c>
      <c r="G18" s="50" t="s">
        <v>1412</v>
      </c>
      <c r="H18" s="50" t="s">
        <v>1413</v>
      </c>
      <c r="I18" s="50" t="s">
        <v>1414</v>
      </c>
      <c r="K18" s="27" t="s">
        <v>509</v>
      </c>
      <c r="L18" s="27" t="s">
        <v>474</v>
      </c>
      <c r="M18" s="27" t="s">
        <v>1415</v>
      </c>
    </row>
    <row r="19" spans="1:13" ht="14.25" customHeight="1" x14ac:dyDescent="0.45">
      <c r="A19" s="46" t="s">
        <v>1395</v>
      </c>
      <c r="B19" s="46" t="s">
        <v>669</v>
      </c>
      <c r="C19" s="52" t="s">
        <v>1416</v>
      </c>
      <c r="D19" s="46" t="s">
        <v>1417</v>
      </c>
      <c r="F19" s="50" t="s">
        <v>592</v>
      </c>
      <c r="G19" s="50" t="s">
        <v>593</v>
      </c>
      <c r="H19" s="50" t="s">
        <v>594</v>
      </c>
      <c r="I19" s="50" t="s">
        <v>595</v>
      </c>
      <c r="K19" s="27" t="s">
        <v>509</v>
      </c>
      <c r="L19" s="27" t="s">
        <v>454</v>
      </c>
      <c r="M19" s="27" t="s">
        <v>1418</v>
      </c>
    </row>
    <row r="20" spans="1:13" ht="14.25" customHeight="1" x14ac:dyDescent="0.45">
      <c r="A20" s="46" t="s">
        <v>1395</v>
      </c>
      <c r="B20" s="46" t="s">
        <v>1419</v>
      </c>
      <c r="C20" s="52" t="s">
        <v>1420</v>
      </c>
      <c r="D20" s="46" t="s">
        <v>1421</v>
      </c>
      <c r="F20" s="50" t="s">
        <v>1422</v>
      </c>
      <c r="G20" s="50" t="s">
        <v>1423</v>
      </c>
      <c r="H20" s="50" t="s">
        <v>1424</v>
      </c>
      <c r="I20" s="50" t="s">
        <v>1425</v>
      </c>
      <c r="K20" s="27" t="s">
        <v>509</v>
      </c>
      <c r="L20" s="27" t="s">
        <v>1426</v>
      </c>
      <c r="M20" s="27" t="s">
        <v>1427</v>
      </c>
    </row>
    <row r="21" spans="1:13" ht="28.5" customHeight="1" x14ac:dyDescent="0.45">
      <c r="A21" s="46" t="s">
        <v>1395</v>
      </c>
      <c r="B21" s="46" t="s">
        <v>1428</v>
      </c>
      <c r="C21" s="52" t="s">
        <v>1429</v>
      </c>
      <c r="D21" s="46" t="s">
        <v>1430</v>
      </c>
      <c r="F21" s="50" t="s">
        <v>1431</v>
      </c>
      <c r="G21" s="50" t="s">
        <v>1432</v>
      </c>
      <c r="H21" s="50" t="s">
        <v>1433</v>
      </c>
      <c r="I21" s="50" t="s">
        <v>1434</v>
      </c>
      <c r="K21" s="27" t="s">
        <v>1359</v>
      </c>
      <c r="L21" s="27" t="s">
        <v>1435</v>
      </c>
      <c r="M21" s="27" t="s">
        <v>1436</v>
      </c>
    </row>
    <row r="22" spans="1:13" ht="14.25" customHeight="1" x14ac:dyDescent="0.45">
      <c r="A22" s="46" t="s">
        <v>1395</v>
      </c>
      <c r="B22" s="46" t="s">
        <v>666</v>
      </c>
      <c r="C22" s="52" t="s">
        <v>1437</v>
      </c>
      <c r="D22" s="46" t="s">
        <v>1438</v>
      </c>
      <c r="F22" s="50" t="s">
        <v>1439</v>
      </c>
      <c r="G22" s="50" t="s">
        <v>1440</v>
      </c>
      <c r="H22" s="50" t="s">
        <v>1441</v>
      </c>
      <c r="I22" s="50" t="s">
        <v>1442</v>
      </c>
      <c r="K22" s="27" t="s">
        <v>1359</v>
      </c>
      <c r="L22" s="27" t="s">
        <v>494</v>
      </c>
      <c r="M22" s="27" t="s">
        <v>1443</v>
      </c>
    </row>
    <row r="23" spans="1:13" ht="14.25" customHeight="1" x14ac:dyDescent="0.45">
      <c r="A23" s="46" t="s">
        <v>1395</v>
      </c>
      <c r="B23" s="46" t="s">
        <v>626</v>
      </c>
      <c r="C23" s="52" t="s">
        <v>1444</v>
      </c>
      <c r="D23" s="46" t="s">
        <v>1445</v>
      </c>
      <c r="F23" s="50" t="s">
        <v>1446</v>
      </c>
      <c r="G23" s="50" t="s">
        <v>1447</v>
      </c>
      <c r="H23" s="50" t="s">
        <v>1448</v>
      </c>
      <c r="I23" s="50" t="s">
        <v>1449</v>
      </c>
      <c r="K23" s="27" t="s">
        <v>1359</v>
      </c>
      <c r="L23" s="27" t="s">
        <v>457</v>
      </c>
      <c r="M23" s="27" t="s">
        <v>1450</v>
      </c>
    </row>
    <row r="24" spans="1:13" ht="14.25" customHeight="1" x14ac:dyDescent="0.45">
      <c r="A24" s="46" t="s">
        <v>1451</v>
      </c>
      <c r="B24" s="46" t="s">
        <v>661</v>
      </c>
      <c r="C24" s="52" t="s">
        <v>1452</v>
      </c>
      <c r="D24" s="46" t="s">
        <v>1453</v>
      </c>
      <c r="F24" s="50" t="s">
        <v>1454</v>
      </c>
      <c r="G24" s="50" t="s">
        <v>1455</v>
      </c>
      <c r="H24" s="50" t="s">
        <v>1456</v>
      </c>
      <c r="I24" s="50" t="s">
        <v>1457</v>
      </c>
      <c r="K24" s="27" t="s">
        <v>1359</v>
      </c>
      <c r="L24" s="27" t="s">
        <v>1458</v>
      </c>
      <c r="M24" s="27" t="s">
        <v>1459</v>
      </c>
    </row>
    <row r="25" spans="1:13" ht="14.25" customHeight="1" x14ac:dyDescent="0.45">
      <c r="A25" s="46" t="s">
        <v>1451</v>
      </c>
      <c r="B25" s="46" t="s">
        <v>1460</v>
      </c>
      <c r="C25" s="52" t="s">
        <v>1461</v>
      </c>
      <c r="D25" s="46" t="s">
        <v>1462</v>
      </c>
      <c r="F25" s="50" t="s">
        <v>1463</v>
      </c>
      <c r="G25" s="50" t="s">
        <v>1464</v>
      </c>
      <c r="H25" s="50" t="s">
        <v>1465</v>
      </c>
      <c r="I25" s="50" t="s">
        <v>1466</v>
      </c>
      <c r="K25" s="27" t="s">
        <v>1359</v>
      </c>
      <c r="L25" s="27" t="s">
        <v>1467</v>
      </c>
      <c r="M25" s="27" t="s">
        <v>1468</v>
      </c>
    </row>
    <row r="26" spans="1:13" ht="14.25" customHeight="1" x14ac:dyDescent="0.45">
      <c r="A26" s="46" t="s">
        <v>1451</v>
      </c>
      <c r="B26" s="46" t="s">
        <v>1469</v>
      </c>
      <c r="C26" s="52" t="s">
        <v>1470</v>
      </c>
      <c r="D26" s="46" t="s">
        <v>1471</v>
      </c>
      <c r="F26" s="50" t="s">
        <v>1472</v>
      </c>
      <c r="G26" s="50" t="s">
        <v>1473</v>
      </c>
      <c r="H26" s="50" t="s">
        <v>1474</v>
      </c>
      <c r="I26" s="50" t="s">
        <v>1475</v>
      </c>
      <c r="K26" s="27" t="s">
        <v>1359</v>
      </c>
      <c r="L26" s="27" t="s">
        <v>1476</v>
      </c>
      <c r="M26" s="27" t="s">
        <v>1477</v>
      </c>
    </row>
    <row r="27" spans="1:13" ht="27.75" customHeight="1" x14ac:dyDescent="0.45">
      <c r="A27" s="46" t="s">
        <v>1451</v>
      </c>
      <c r="B27" s="46" t="s">
        <v>652</v>
      </c>
      <c r="C27" s="52" t="s">
        <v>1478</v>
      </c>
      <c r="D27" s="46" t="s">
        <v>1479</v>
      </c>
      <c r="F27" s="50" t="s">
        <v>1480</v>
      </c>
      <c r="G27" s="50" t="s">
        <v>1481</v>
      </c>
      <c r="H27" s="50" t="s">
        <v>1482</v>
      </c>
      <c r="I27" s="50" t="s">
        <v>1483</v>
      </c>
      <c r="K27" s="27" t="s">
        <v>1359</v>
      </c>
      <c r="L27" s="27" t="s">
        <v>476</v>
      </c>
      <c r="M27" s="27" t="s">
        <v>1484</v>
      </c>
    </row>
    <row r="28" spans="1:13" ht="14.25" customHeight="1" x14ac:dyDescent="0.45">
      <c r="A28" s="46" t="s">
        <v>1451</v>
      </c>
      <c r="B28" s="46" t="s">
        <v>657</v>
      </c>
      <c r="C28" s="52" t="s">
        <v>1485</v>
      </c>
      <c r="D28" s="46" t="s">
        <v>1486</v>
      </c>
      <c r="F28" s="50" t="s">
        <v>1487</v>
      </c>
      <c r="G28" s="50" t="s">
        <v>1488</v>
      </c>
      <c r="H28" s="50" t="s">
        <v>1489</v>
      </c>
      <c r="I28" s="50" t="s">
        <v>1490</v>
      </c>
      <c r="K28" s="27" t="s">
        <v>1363</v>
      </c>
      <c r="L28" s="27" t="s">
        <v>460</v>
      </c>
      <c r="M28" s="27" t="s">
        <v>1491</v>
      </c>
    </row>
    <row r="29" spans="1:13" ht="14.25" customHeight="1" x14ac:dyDescent="0.45">
      <c r="A29" s="46" t="s">
        <v>1492</v>
      </c>
      <c r="B29" s="46" t="s">
        <v>623</v>
      </c>
      <c r="C29" s="52" t="s">
        <v>1493</v>
      </c>
      <c r="D29" s="46" t="s">
        <v>1494</v>
      </c>
      <c r="F29" s="50" t="s">
        <v>1495</v>
      </c>
      <c r="G29" s="50" t="s">
        <v>1496</v>
      </c>
      <c r="H29" s="50" t="s">
        <v>1497</v>
      </c>
      <c r="I29" s="50" t="s">
        <v>1498</v>
      </c>
      <c r="K29" s="27" t="s">
        <v>1363</v>
      </c>
      <c r="L29" s="27" t="s">
        <v>1499</v>
      </c>
      <c r="M29" s="27" t="s">
        <v>1500</v>
      </c>
    </row>
    <row r="30" spans="1:13" ht="14.25" customHeight="1" x14ac:dyDescent="0.45">
      <c r="A30" s="46" t="s">
        <v>1492</v>
      </c>
      <c r="B30" s="46" t="s">
        <v>1501</v>
      </c>
      <c r="C30" s="52" t="s">
        <v>1502</v>
      </c>
      <c r="D30" s="46" t="s">
        <v>1503</v>
      </c>
      <c r="F30" s="50" t="s">
        <v>1504</v>
      </c>
      <c r="G30" s="50" t="s">
        <v>1505</v>
      </c>
      <c r="H30" s="50" t="s">
        <v>1506</v>
      </c>
      <c r="I30" s="50" t="s">
        <v>1507</v>
      </c>
      <c r="K30" s="27" t="s">
        <v>1363</v>
      </c>
      <c r="L30" s="27" t="s">
        <v>1508</v>
      </c>
      <c r="M30" s="27" t="s">
        <v>1509</v>
      </c>
    </row>
    <row r="31" spans="1:13" ht="14.25" customHeight="1" x14ac:dyDescent="0.45">
      <c r="A31" s="46" t="s">
        <v>1492</v>
      </c>
      <c r="B31" s="46" t="s">
        <v>1510</v>
      </c>
      <c r="C31" s="52" t="s">
        <v>1511</v>
      </c>
      <c r="D31" s="46" t="s">
        <v>1512</v>
      </c>
      <c r="F31" s="50" t="s">
        <v>1513</v>
      </c>
      <c r="G31" s="50" t="s">
        <v>1514</v>
      </c>
      <c r="H31" s="50" t="s">
        <v>1413</v>
      </c>
      <c r="I31" s="50" t="s">
        <v>1515</v>
      </c>
      <c r="K31" s="27" t="s">
        <v>1363</v>
      </c>
      <c r="L31" s="27" t="s">
        <v>1516</v>
      </c>
      <c r="M31" s="27" t="s">
        <v>1517</v>
      </c>
    </row>
    <row r="32" spans="1:13" ht="14.25" customHeight="1" x14ac:dyDescent="0.45">
      <c r="A32" s="46" t="s">
        <v>1492</v>
      </c>
      <c r="B32" s="46" t="s">
        <v>633</v>
      </c>
      <c r="C32" s="52" t="s">
        <v>1518</v>
      </c>
      <c r="D32" s="46" t="s">
        <v>1519</v>
      </c>
      <c r="F32" s="50" t="s">
        <v>1520</v>
      </c>
      <c r="G32" s="50" t="s">
        <v>1521</v>
      </c>
      <c r="H32" s="50" t="s">
        <v>1522</v>
      </c>
      <c r="I32" s="50" t="s">
        <v>1523</v>
      </c>
      <c r="K32" s="27" t="s">
        <v>1363</v>
      </c>
      <c r="L32" s="27" t="s">
        <v>471</v>
      </c>
      <c r="M32" s="27" t="s">
        <v>1524</v>
      </c>
    </row>
    <row r="33" spans="1:13" ht="14.25" customHeight="1" x14ac:dyDescent="0.45">
      <c r="A33" s="46" t="s">
        <v>1492</v>
      </c>
      <c r="B33" s="46" t="s">
        <v>1525</v>
      </c>
      <c r="C33" s="52" t="s">
        <v>1526</v>
      </c>
      <c r="D33" s="46" t="s">
        <v>1527</v>
      </c>
      <c r="F33" s="50" t="s">
        <v>1528</v>
      </c>
      <c r="G33" s="50" t="s">
        <v>1529</v>
      </c>
      <c r="H33" s="50" t="s">
        <v>1530</v>
      </c>
      <c r="I33" s="50" t="s">
        <v>1531</v>
      </c>
      <c r="K33" s="27" t="s">
        <v>1367</v>
      </c>
      <c r="L33" s="27" t="s">
        <v>1532</v>
      </c>
      <c r="M33" s="27" t="s">
        <v>1533</v>
      </c>
    </row>
    <row r="34" spans="1:13" ht="14.25" customHeight="1" x14ac:dyDescent="0.45">
      <c r="A34" s="46" t="s">
        <v>1492</v>
      </c>
      <c r="B34" s="46" t="s">
        <v>1534</v>
      </c>
      <c r="C34" s="52" t="s">
        <v>1535</v>
      </c>
      <c r="D34" s="46" t="s">
        <v>1536</v>
      </c>
      <c r="F34" s="50" t="s">
        <v>1537</v>
      </c>
      <c r="G34" s="50" t="s">
        <v>1538</v>
      </c>
      <c r="H34" s="50" t="s">
        <v>1539</v>
      </c>
      <c r="I34" s="50" t="s">
        <v>1540</v>
      </c>
      <c r="K34" s="27" t="s">
        <v>1367</v>
      </c>
      <c r="L34" s="27" t="s">
        <v>479</v>
      </c>
      <c r="M34" s="27" t="s">
        <v>1541</v>
      </c>
    </row>
    <row r="35" spans="1:13" ht="14.25" customHeight="1" x14ac:dyDescent="0.45">
      <c r="A35" s="46" t="s">
        <v>1542</v>
      </c>
      <c r="B35" s="46" t="s">
        <v>641</v>
      </c>
      <c r="C35" s="52" t="s">
        <v>1543</v>
      </c>
      <c r="D35" s="46" t="s">
        <v>1544</v>
      </c>
      <c r="F35" s="50" t="s">
        <v>1545</v>
      </c>
      <c r="G35" s="50" t="s">
        <v>1546</v>
      </c>
      <c r="H35" s="50" t="s">
        <v>1547</v>
      </c>
      <c r="I35" s="50" t="s">
        <v>1548</v>
      </c>
      <c r="K35" s="27" t="s">
        <v>1367</v>
      </c>
      <c r="L35" s="27" t="s">
        <v>1549</v>
      </c>
      <c r="M35" s="27" t="s">
        <v>1550</v>
      </c>
    </row>
    <row r="36" spans="1:13" ht="14.25" customHeight="1" x14ac:dyDescent="0.45">
      <c r="A36" s="46" t="s">
        <v>1542</v>
      </c>
      <c r="B36" s="46" t="s">
        <v>643</v>
      </c>
      <c r="C36" s="52" t="s">
        <v>1551</v>
      </c>
      <c r="D36" s="46" t="s">
        <v>1552</v>
      </c>
      <c r="F36" s="50" t="s">
        <v>607</v>
      </c>
      <c r="G36" s="50" t="s">
        <v>608</v>
      </c>
      <c r="H36" s="50" t="s">
        <v>609</v>
      </c>
      <c r="I36" s="50" t="s">
        <v>610</v>
      </c>
      <c r="K36" s="27" t="s">
        <v>1367</v>
      </c>
      <c r="L36" s="27" t="s">
        <v>463</v>
      </c>
      <c r="M36" s="27" t="s">
        <v>1553</v>
      </c>
    </row>
    <row r="37" spans="1:13" ht="27.75" customHeight="1" x14ac:dyDescent="0.45">
      <c r="A37" s="46" t="s">
        <v>1542</v>
      </c>
      <c r="B37" s="46" t="s">
        <v>1554</v>
      </c>
      <c r="C37" s="52" t="s">
        <v>1555</v>
      </c>
      <c r="D37" s="46" t="s">
        <v>1556</v>
      </c>
      <c r="F37" s="50" t="s">
        <v>1557</v>
      </c>
      <c r="G37" s="50" t="s">
        <v>1558</v>
      </c>
      <c r="H37" s="50" t="s">
        <v>1559</v>
      </c>
      <c r="I37" s="50" t="s">
        <v>1560</v>
      </c>
      <c r="K37" s="27" t="s">
        <v>1367</v>
      </c>
      <c r="L37" s="27" t="s">
        <v>1561</v>
      </c>
      <c r="M37" s="27" t="s">
        <v>1562</v>
      </c>
    </row>
    <row r="38" spans="1:13" ht="14.25" customHeight="1" x14ac:dyDescent="0.45">
      <c r="A38" s="46" t="s">
        <v>1542</v>
      </c>
      <c r="B38" s="46" t="s">
        <v>742</v>
      </c>
      <c r="C38" s="52" t="s">
        <v>1563</v>
      </c>
      <c r="D38" s="46" t="s">
        <v>1564</v>
      </c>
      <c r="F38" s="50" t="s">
        <v>1565</v>
      </c>
      <c r="G38" s="50" t="s">
        <v>1566</v>
      </c>
      <c r="H38" s="50" t="s">
        <v>1567</v>
      </c>
      <c r="I38" s="50" t="s">
        <v>1568</v>
      </c>
    </row>
    <row r="39" spans="1:13" ht="14.25" customHeight="1" x14ac:dyDescent="0.45">
      <c r="A39" s="46" t="s">
        <v>1542</v>
      </c>
      <c r="B39" s="46" t="s">
        <v>687</v>
      </c>
      <c r="C39" s="52" t="s">
        <v>1569</v>
      </c>
      <c r="D39" s="46" t="s">
        <v>1570</v>
      </c>
      <c r="F39" s="50" t="s">
        <v>1571</v>
      </c>
      <c r="G39" s="50" t="s">
        <v>1572</v>
      </c>
      <c r="H39" s="50" t="s">
        <v>1573</v>
      </c>
      <c r="I39" s="50" t="s">
        <v>1574</v>
      </c>
    </row>
    <row r="40" spans="1:13" ht="14.25" customHeight="1" x14ac:dyDescent="0.45">
      <c r="A40" s="46" t="s">
        <v>1542</v>
      </c>
      <c r="B40" s="46" t="s">
        <v>663</v>
      </c>
      <c r="C40" s="52" t="s">
        <v>1575</v>
      </c>
      <c r="D40" s="46" t="s">
        <v>1576</v>
      </c>
      <c r="F40" s="50" t="s">
        <v>1577</v>
      </c>
      <c r="G40" s="50" t="s">
        <v>1578</v>
      </c>
      <c r="H40" s="50" t="s">
        <v>1579</v>
      </c>
      <c r="I40" s="50" t="s">
        <v>1580</v>
      </c>
    </row>
    <row r="41" spans="1:13" ht="14.25" customHeight="1" x14ac:dyDescent="0.45">
      <c r="A41" s="46" t="s">
        <v>1581</v>
      </c>
      <c r="B41" s="46" t="s">
        <v>659</v>
      </c>
      <c r="C41" s="52" t="s">
        <v>1582</v>
      </c>
      <c r="D41" s="46" t="s">
        <v>1583</v>
      </c>
      <c r="F41" s="50" t="s">
        <v>1584</v>
      </c>
      <c r="G41" s="50" t="s">
        <v>1585</v>
      </c>
      <c r="H41" s="50" t="s">
        <v>1586</v>
      </c>
      <c r="I41" s="50" t="s">
        <v>1587</v>
      </c>
    </row>
    <row r="42" spans="1:13" ht="14.25" customHeight="1" x14ac:dyDescent="0.45">
      <c r="A42" s="46" t="s">
        <v>1581</v>
      </c>
      <c r="B42" s="46" t="s">
        <v>631</v>
      </c>
      <c r="C42" s="52" t="s">
        <v>1588</v>
      </c>
      <c r="D42" s="46" t="s">
        <v>1589</v>
      </c>
      <c r="F42" s="50" t="s">
        <v>1590</v>
      </c>
      <c r="G42" s="50" t="s">
        <v>1591</v>
      </c>
      <c r="H42" s="50" t="s">
        <v>1592</v>
      </c>
      <c r="I42" s="50" t="s">
        <v>1593</v>
      </c>
    </row>
    <row r="43" spans="1:13" ht="14.25" customHeight="1" x14ac:dyDescent="0.45">
      <c r="A43" s="46" t="s">
        <v>1581</v>
      </c>
      <c r="B43" s="46" t="s">
        <v>740</v>
      </c>
      <c r="C43" s="52" t="s">
        <v>1594</v>
      </c>
      <c r="D43" s="46" t="s">
        <v>1595</v>
      </c>
      <c r="F43" s="50" t="s">
        <v>1596</v>
      </c>
      <c r="G43" s="50" t="s">
        <v>1597</v>
      </c>
      <c r="H43" s="50" t="s">
        <v>1598</v>
      </c>
      <c r="I43" s="50" t="s">
        <v>1599</v>
      </c>
    </row>
    <row r="44" spans="1:13" ht="14.25" customHeight="1" x14ac:dyDescent="0.45">
      <c r="A44" s="46" t="s">
        <v>1581</v>
      </c>
      <c r="B44" s="46" t="s">
        <v>655</v>
      </c>
      <c r="C44" s="52" t="s">
        <v>1600</v>
      </c>
      <c r="D44" s="46" t="s">
        <v>1601</v>
      </c>
      <c r="F44" s="50" t="s">
        <v>1602</v>
      </c>
      <c r="G44" s="50" t="s">
        <v>1603</v>
      </c>
      <c r="H44" s="50" t="s">
        <v>1604</v>
      </c>
      <c r="I44" s="50" t="s">
        <v>1605</v>
      </c>
    </row>
    <row r="45" spans="1:13" ht="14.25" customHeight="1" x14ac:dyDescent="0.45">
      <c r="A45" s="46" t="s">
        <v>1581</v>
      </c>
      <c r="B45" s="46" t="s">
        <v>770</v>
      </c>
      <c r="C45" s="52" t="s">
        <v>1606</v>
      </c>
      <c r="D45" s="46" t="s">
        <v>1607</v>
      </c>
      <c r="F45" s="50" t="s">
        <v>1608</v>
      </c>
      <c r="G45" s="50" t="s">
        <v>1609</v>
      </c>
      <c r="H45" s="50" t="s">
        <v>1539</v>
      </c>
      <c r="I45" s="50" t="s">
        <v>1610</v>
      </c>
    </row>
    <row r="46" spans="1:13" ht="14.25" customHeight="1" x14ac:dyDescent="0.45">
      <c r="A46" s="46" t="s">
        <v>1581</v>
      </c>
      <c r="B46" s="46" t="s">
        <v>784</v>
      </c>
      <c r="C46" s="52" t="s">
        <v>1611</v>
      </c>
      <c r="D46" s="46" t="s">
        <v>1612</v>
      </c>
      <c r="F46" s="50" t="s">
        <v>1613</v>
      </c>
      <c r="G46" s="50" t="s">
        <v>1614</v>
      </c>
      <c r="H46" s="50" t="s">
        <v>1615</v>
      </c>
      <c r="I46" s="50" t="s">
        <v>1616</v>
      </c>
    </row>
    <row r="47" spans="1:13" ht="14.25" customHeight="1" x14ac:dyDescent="0.45">
      <c r="A47" s="46" t="s">
        <v>1617</v>
      </c>
      <c r="B47" s="46" t="s">
        <v>751</v>
      </c>
      <c r="C47" s="52" t="s">
        <v>1618</v>
      </c>
      <c r="D47" s="46" t="s">
        <v>1619</v>
      </c>
      <c r="F47" s="50" t="s">
        <v>1620</v>
      </c>
      <c r="G47" s="50" t="s">
        <v>1621</v>
      </c>
      <c r="H47" s="50" t="s">
        <v>1539</v>
      </c>
      <c r="I47" s="50" t="s">
        <v>1622</v>
      </c>
    </row>
    <row r="48" spans="1:13" ht="14.25" customHeight="1" x14ac:dyDescent="0.45">
      <c r="A48" s="46" t="s">
        <v>1617</v>
      </c>
      <c r="B48" s="46" t="s">
        <v>1623</v>
      </c>
      <c r="C48" s="52" t="s">
        <v>1624</v>
      </c>
      <c r="D48" s="46" t="s">
        <v>1625</v>
      </c>
      <c r="F48" s="50" t="s">
        <v>1626</v>
      </c>
      <c r="G48" s="50" t="s">
        <v>1627</v>
      </c>
      <c r="H48" s="50" t="s">
        <v>1628</v>
      </c>
      <c r="I48" s="50" t="s">
        <v>1629</v>
      </c>
    </row>
    <row r="49" spans="1:9" ht="14.25" customHeight="1" x14ac:dyDescent="0.45">
      <c r="A49" s="46" t="s">
        <v>1617</v>
      </c>
      <c r="B49" s="46" t="s">
        <v>1630</v>
      </c>
      <c r="C49" s="52" t="s">
        <v>1631</v>
      </c>
      <c r="D49" s="46" t="s">
        <v>1632</v>
      </c>
      <c r="F49" s="50" t="s">
        <v>1633</v>
      </c>
      <c r="G49" s="50" t="s">
        <v>1634</v>
      </c>
      <c r="H49" s="50" t="s">
        <v>1635</v>
      </c>
      <c r="I49" s="50" t="s">
        <v>1636</v>
      </c>
    </row>
    <row r="50" spans="1:9" ht="14.25" customHeight="1" x14ac:dyDescent="0.45">
      <c r="A50" s="46" t="s">
        <v>1617</v>
      </c>
      <c r="B50" s="46" t="s">
        <v>1637</v>
      </c>
      <c r="C50" s="52" t="s">
        <v>1638</v>
      </c>
      <c r="D50" s="46" t="s">
        <v>1639</v>
      </c>
      <c r="F50" s="50" t="s">
        <v>1640</v>
      </c>
      <c r="G50" s="50" t="s">
        <v>1641</v>
      </c>
      <c r="H50" s="50" t="s">
        <v>1642</v>
      </c>
      <c r="I50" s="50" t="s">
        <v>1643</v>
      </c>
    </row>
    <row r="51" spans="1:9" ht="14.25" customHeight="1" x14ac:dyDescent="0.45">
      <c r="A51" s="46" t="s">
        <v>1617</v>
      </c>
      <c r="B51" s="46" t="s">
        <v>1644</v>
      </c>
      <c r="C51" s="52" t="s">
        <v>1645</v>
      </c>
      <c r="D51" s="46" t="s">
        <v>1646</v>
      </c>
      <c r="F51" s="50" t="s">
        <v>1647</v>
      </c>
      <c r="G51" s="50" t="s">
        <v>1648</v>
      </c>
      <c r="H51" s="50" t="s">
        <v>1649</v>
      </c>
      <c r="I51" s="50" t="s">
        <v>1650</v>
      </c>
    </row>
    <row r="52" spans="1:9" ht="14.25" customHeight="1" x14ac:dyDescent="0.45">
      <c r="A52" s="46" t="s">
        <v>1617</v>
      </c>
      <c r="B52" s="46" t="s">
        <v>1651</v>
      </c>
      <c r="C52" s="52" t="s">
        <v>1652</v>
      </c>
      <c r="D52" s="46" t="s">
        <v>1653</v>
      </c>
      <c r="F52" s="50" t="s">
        <v>1654</v>
      </c>
      <c r="G52" s="50" t="s">
        <v>1655</v>
      </c>
      <c r="H52" s="50" t="s">
        <v>1656</v>
      </c>
      <c r="I52" s="50" t="s">
        <v>1657</v>
      </c>
    </row>
    <row r="53" spans="1:9" ht="14.25" customHeight="1" x14ac:dyDescent="0.45">
      <c r="A53" s="46" t="s">
        <v>1658</v>
      </c>
      <c r="B53" s="46" t="s">
        <v>636</v>
      </c>
      <c r="C53" s="52" t="s">
        <v>1659</v>
      </c>
      <c r="D53" s="46" t="s">
        <v>1660</v>
      </c>
      <c r="F53" s="50" t="s">
        <v>1661</v>
      </c>
      <c r="G53" s="50" t="s">
        <v>1662</v>
      </c>
      <c r="H53" s="50" t="s">
        <v>1592</v>
      </c>
      <c r="I53" s="50" t="s">
        <v>1663</v>
      </c>
    </row>
    <row r="54" spans="1:9" ht="14.25" customHeight="1" x14ac:dyDescent="0.45">
      <c r="A54" s="46" t="s">
        <v>1658</v>
      </c>
      <c r="B54" s="46" t="s">
        <v>679</v>
      </c>
      <c r="C54" s="52" t="s">
        <v>1664</v>
      </c>
      <c r="D54" s="46" t="s">
        <v>1665</v>
      </c>
      <c r="F54" s="50" t="s">
        <v>1666</v>
      </c>
      <c r="G54" s="50" t="s">
        <v>1412</v>
      </c>
      <c r="H54" s="50" t="s">
        <v>1667</v>
      </c>
      <c r="I54" s="50" t="s">
        <v>1668</v>
      </c>
    </row>
    <row r="55" spans="1:9" ht="14.25" customHeight="1" x14ac:dyDescent="0.45">
      <c r="A55" s="46" t="s">
        <v>1658</v>
      </c>
      <c r="B55" s="46" t="s">
        <v>1669</v>
      </c>
      <c r="C55" s="52" t="s">
        <v>1670</v>
      </c>
      <c r="D55" s="46" t="s">
        <v>1671</v>
      </c>
      <c r="F55" s="50" t="s">
        <v>1672</v>
      </c>
      <c r="G55" s="50" t="s">
        <v>1673</v>
      </c>
      <c r="H55" s="50" t="s">
        <v>1674</v>
      </c>
      <c r="I55" s="50" t="s">
        <v>1675</v>
      </c>
    </row>
    <row r="56" spans="1:9" ht="14.25" customHeight="1" x14ac:dyDescent="0.45">
      <c r="A56" s="46" t="s">
        <v>1658</v>
      </c>
      <c r="B56" s="46" t="s">
        <v>677</v>
      </c>
      <c r="C56" s="52" t="s">
        <v>1676</v>
      </c>
      <c r="D56" s="46" t="s">
        <v>1677</v>
      </c>
      <c r="F56" s="50" t="s">
        <v>1678</v>
      </c>
      <c r="G56" s="50" t="s">
        <v>1679</v>
      </c>
      <c r="H56" s="50" t="s">
        <v>1628</v>
      </c>
      <c r="I56" s="50" t="s">
        <v>1680</v>
      </c>
    </row>
    <row r="57" spans="1:9" ht="14.25" customHeight="1" x14ac:dyDescent="0.45">
      <c r="A57" s="46" t="s">
        <v>1658</v>
      </c>
      <c r="B57" s="46" t="s">
        <v>638</v>
      </c>
      <c r="C57" s="52" t="s">
        <v>1681</v>
      </c>
      <c r="D57" s="46" t="s">
        <v>1682</v>
      </c>
      <c r="F57" s="50" t="s">
        <v>1683</v>
      </c>
      <c r="G57" s="50" t="s">
        <v>1684</v>
      </c>
      <c r="H57" s="50" t="s">
        <v>1685</v>
      </c>
      <c r="I57" s="50" t="s">
        <v>1686</v>
      </c>
    </row>
    <row r="58" spans="1:9" ht="14.25" customHeight="1" x14ac:dyDescent="0.45">
      <c r="A58" s="46" t="s">
        <v>1658</v>
      </c>
      <c r="B58" s="46" t="s">
        <v>660</v>
      </c>
      <c r="C58" s="52" t="s">
        <v>1687</v>
      </c>
      <c r="D58" s="46" t="s">
        <v>1688</v>
      </c>
      <c r="F58" s="50" t="s">
        <v>1689</v>
      </c>
      <c r="G58" s="50" t="s">
        <v>1690</v>
      </c>
      <c r="H58" s="50" t="s">
        <v>1691</v>
      </c>
      <c r="I58" s="50" t="s">
        <v>1692</v>
      </c>
    </row>
    <row r="59" spans="1:9" ht="14.25" customHeight="1" x14ac:dyDescent="0.45">
      <c r="A59" s="46" t="s">
        <v>1693</v>
      </c>
      <c r="B59" s="46" t="s">
        <v>672</v>
      </c>
      <c r="C59" s="52" t="s">
        <v>1694</v>
      </c>
      <c r="D59" s="46" t="s">
        <v>1695</v>
      </c>
      <c r="F59" s="50" t="s">
        <v>1696</v>
      </c>
      <c r="G59" s="50" t="s">
        <v>1697</v>
      </c>
      <c r="H59" s="50" t="s">
        <v>1698</v>
      </c>
      <c r="I59" s="50" t="s">
        <v>1699</v>
      </c>
    </row>
    <row r="60" spans="1:9" ht="14.25" customHeight="1" x14ac:dyDescent="0.45">
      <c r="A60" s="46" t="s">
        <v>1693</v>
      </c>
      <c r="B60" s="46" t="s">
        <v>1700</v>
      </c>
      <c r="C60" s="52" t="s">
        <v>1701</v>
      </c>
      <c r="D60" s="46" t="s">
        <v>1702</v>
      </c>
      <c r="F60" s="50" t="s">
        <v>1703</v>
      </c>
      <c r="G60" s="50" t="s">
        <v>1704</v>
      </c>
      <c r="H60" s="50" t="s">
        <v>1705</v>
      </c>
      <c r="I60" s="50" t="s">
        <v>1706</v>
      </c>
    </row>
    <row r="61" spans="1:9" ht="14.25" customHeight="1" x14ac:dyDescent="0.45">
      <c r="A61" s="46" t="s">
        <v>1693</v>
      </c>
      <c r="B61" s="46" t="s">
        <v>759</v>
      </c>
      <c r="C61" s="52" t="s">
        <v>1707</v>
      </c>
      <c r="D61" s="46" t="s">
        <v>1708</v>
      </c>
      <c r="F61" s="50" t="s">
        <v>1709</v>
      </c>
      <c r="G61" s="50" t="s">
        <v>1710</v>
      </c>
      <c r="H61" s="50" t="s">
        <v>1711</v>
      </c>
      <c r="I61" s="50" t="s">
        <v>1712</v>
      </c>
    </row>
    <row r="62" spans="1:9" ht="14.25" customHeight="1" x14ac:dyDescent="0.45">
      <c r="A62" s="46" t="s">
        <v>1693</v>
      </c>
      <c r="B62" s="46" t="s">
        <v>1713</v>
      </c>
      <c r="C62" s="52" t="s">
        <v>1714</v>
      </c>
      <c r="D62" s="46" t="s">
        <v>1715</v>
      </c>
      <c r="F62" s="50" t="s">
        <v>1716</v>
      </c>
      <c r="G62" s="50" t="s">
        <v>1717</v>
      </c>
      <c r="H62" s="50" t="s">
        <v>1718</v>
      </c>
      <c r="I62" s="50" t="s">
        <v>1719</v>
      </c>
    </row>
    <row r="63" spans="1:9" ht="14.25" customHeight="1" x14ac:dyDescent="0.45">
      <c r="A63" s="46" t="s">
        <v>1693</v>
      </c>
      <c r="B63" s="46" t="s">
        <v>865</v>
      </c>
      <c r="C63" s="52" t="s">
        <v>1720</v>
      </c>
      <c r="D63" s="46" t="s">
        <v>1721</v>
      </c>
      <c r="F63" s="50" t="s">
        <v>1722</v>
      </c>
      <c r="G63" s="50" t="s">
        <v>1723</v>
      </c>
      <c r="H63" s="50" t="s">
        <v>1724</v>
      </c>
      <c r="I63" s="50" t="s">
        <v>1725</v>
      </c>
    </row>
    <row r="64" spans="1:9" ht="14.25" customHeight="1" x14ac:dyDescent="0.45">
      <c r="A64" s="46" t="s">
        <v>1693</v>
      </c>
      <c r="B64" s="46" t="s">
        <v>1726</v>
      </c>
      <c r="C64" s="52" t="s">
        <v>1727</v>
      </c>
      <c r="D64" s="46" t="s">
        <v>1728</v>
      </c>
      <c r="F64" s="50" t="s">
        <v>1729</v>
      </c>
      <c r="G64" s="50" t="s">
        <v>1730</v>
      </c>
      <c r="H64" s="50" t="s">
        <v>1731</v>
      </c>
      <c r="I64" s="50" t="s">
        <v>1732</v>
      </c>
    </row>
    <row r="65" spans="1:9" ht="14.25" customHeight="1" x14ac:dyDescent="0.45">
      <c r="A65" s="46" t="s">
        <v>1733</v>
      </c>
      <c r="B65" s="46" t="s">
        <v>675</v>
      </c>
      <c r="C65" s="52" t="s">
        <v>1734</v>
      </c>
      <c r="D65" s="46" t="s">
        <v>1735</v>
      </c>
      <c r="F65" s="50" t="s">
        <v>1736</v>
      </c>
      <c r="G65" s="50" t="s">
        <v>1737</v>
      </c>
      <c r="H65" s="50" t="s">
        <v>1738</v>
      </c>
      <c r="I65" s="50" t="s">
        <v>1739</v>
      </c>
    </row>
    <row r="66" spans="1:9" ht="14.25" customHeight="1" x14ac:dyDescent="0.45">
      <c r="A66" s="46" t="s">
        <v>1733</v>
      </c>
      <c r="B66" s="46" t="s">
        <v>1740</v>
      </c>
      <c r="C66" s="52" t="s">
        <v>1741</v>
      </c>
      <c r="D66" s="46" t="s">
        <v>1742</v>
      </c>
      <c r="F66" s="50" t="s">
        <v>1743</v>
      </c>
      <c r="G66" s="50" t="s">
        <v>1744</v>
      </c>
      <c r="H66" s="50" t="s">
        <v>1745</v>
      </c>
      <c r="I66" s="50" t="s">
        <v>1746</v>
      </c>
    </row>
    <row r="67" spans="1:9" ht="14.25" customHeight="1" x14ac:dyDescent="0.45">
      <c r="A67" s="46" t="s">
        <v>1733</v>
      </c>
      <c r="B67" s="46" t="s">
        <v>1747</v>
      </c>
      <c r="C67" s="52" t="s">
        <v>1748</v>
      </c>
      <c r="D67" s="46" t="s">
        <v>1749</v>
      </c>
      <c r="F67" s="50" t="s">
        <v>1750</v>
      </c>
      <c r="G67" s="50" t="s">
        <v>1751</v>
      </c>
      <c r="H67" s="50" t="s">
        <v>1752</v>
      </c>
      <c r="I67" s="50" t="s">
        <v>1753</v>
      </c>
    </row>
    <row r="68" spans="1:9" ht="14.25" customHeight="1" x14ac:dyDescent="0.45">
      <c r="A68" s="46" t="s">
        <v>1733</v>
      </c>
      <c r="B68" s="46" t="s">
        <v>1754</v>
      </c>
      <c r="C68" s="52" t="s">
        <v>1755</v>
      </c>
      <c r="D68" s="46" t="s">
        <v>1756</v>
      </c>
      <c r="F68" s="50" t="s">
        <v>1757</v>
      </c>
      <c r="G68" s="50" t="s">
        <v>1758</v>
      </c>
      <c r="H68" s="50" t="s">
        <v>1506</v>
      </c>
      <c r="I68" s="50" t="s">
        <v>1759</v>
      </c>
    </row>
    <row r="69" spans="1:9" ht="14.25" customHeight="1" x14ac:dyDescent="0.45">
      <c r="A69" s="46" t="s">
        <v>1733</v>
      </c>
      <c r="B69" s="46" t="s">
        <v>1760</v>
      </c>
      <c r="C69" s="52" t="s">
        <v>1761</v>
      </c>
      <c r="D69" s="46" t="s">
        <v>1762</v>
      </c>
      <c r="F69" s="50" t="s">
        <v>1763</v>
      </c>
      <c r="G69" s="50" t="s">
        <v>1764</v>
      </c>
      <c r="H69" s="50" t="s">
        <v>1642</v>
      </c>
      <c r="I69" s="50" t="s">
        <v>1765</v>
      </c>
    </row>
    <row r="70" spans="1:9" ht="14.25" customHeight="1" x14ac:dyDescent="0.45">
      <c r="A70" s="46" t="s">
        <v>1733</v>
      </c>
      <c r="B70" s="46" t="s">
        <v>1766</v>
      </c>
      <c r="C70" s="52" t="s">
        <v>1767</v>
      </c>
      <c r="D70" s="46" t="s">
        <v>1768</v>
      </c>
      <c r="F70" s="50" t="s">
        <v>1769</v>
      </c>
      <c r="G70" s="50" t="s">
        <v>1770</v>
      </c>
      <c r="H70" s="50" t="s">
        <v>1771</v>
      </c>
      <c r="I70" s="50" t="s">
        <v>1772</v>
      </c>
    </row>
    <row r="71" spans="1:9" ht="14.25" customHeight="1" x14ac:dyDescent="0.45">
      <c r="A71" s="46" t="s">
        <v>1773</v>
      </c>
      <c r="B71" s="46" t="s">
        <v>757</v>
      </c>
      <c r="C71" s="52" t="s">
        <v>1774</v>
      </c>
      <c r="D71" s="46" t="s">
        <v>1775</v>
      </c>
      <c r="F71" s="50" t="s">
        <v>1776</v>
      </c>
      <c r="G71" s="50" t="s">
        <v>1777</v>
      </c>
      <c r="H71" s="50" t="s">
        <v>594</v>
      </c>
      <c r="I71" s="50" t="s">
        <v>1778</v>
      </c>
    </row>
    <row r="72" spans="1:9" ht="14.25" customHeight="1" x14ac:dyDescent="0.45">
      <c r="A72" s="46" t="s">
        <v>1773</v>
      </c>
      <c r="B72" s="46" t="s">
        <v>1779</v>
      </c>
      <c r="C72" s="52" t="s">
        <v>1780</v>
      </c>
      <c r="D72" s="46" t="s">
        <v>1781</v>
      </c>
      <c r="F72" s="50" t="s">
        <v>1782</v>
      </c>
      <c r="G72" s="50" t="s">
        <v>1783</v>
      </c>
      <c r="H72" s="50" t="s">
        <v>1691</v>
      </c>
      <c r="I72" s="50" t="s">
        <v>1784</v>
      </c>
    </row>
    <row r="73" spans="1:9" ht="14.25" customHeight="1" x14ac:dyDescent="0.45">
      <c r="A73" s="46" t="s">
        <v>1773</v>
      </c>
      <c r="B73" s="46" t="s">
        <v>1785</v>
      </c>
      <c r="C73" s="52" t="s">
        <v>1786</v>
      </c>
      <c r="D73" s="46" t="s">
        <v>1787</v>
      </c>
      <c r="F73" s="50" t="s">
        <v>1788</v>
      </c>
      <c r="G73" s="50" t="s">
        <v>1789</v>
      </c>
      <c r="H73" s="50" t="s">
        <v>1790</v>
      </c>
      <c r="I73" s="50" t="s">
        <v>1791</v>
      </c>
    </row>
    <row r="74" spans="1:9" ht="14.25" customHeight="1" x14ac:dyDescent="0.45">
      <c r="A74" s="46" t="s">
        <v>1773</v>
      </c>
      <c r="B74" s="46" t="s">
        <v>649</v>
      </c>
      <c r="C74" s="52" t="s">
        <v>1792</v>
      </c>
      <c r="D74" s="46" t="s">
        <v>1793</v>
      </c>
      <c r="F74" s="50" t="s">
        <v>1794</v>
      </c>
      <c r="G74" s="53" t="s">
        <v>1795</v>
      </c>
      <c r="H74" s="53" t="s">
        <v>1796</v>
      </c>
      <c r="I74" s="53" t="s">
        <v>1797</v>
      </c>
    </row>
    <row r="75" spans="1:9" ht="14.25" customHeight="1" x14ac:dyDescent="0.45">
      <c r="A75" s="46" t="s">
        <v>1773</v>
      </c>
      <c r="B75" s="46" t="s">
        <v>755</v>
      </c>
      <c r="C75" s="52" t="s">
        <v>1798</v>
      </c>
      <c r="D75" s="46" t="s">
        <v>1799</v>
      </c>
      <c r="F75" s="46" t="s">
        <v>1800</v>
      </c>
      <c r="G75" s="46" t="s">
        <v>1801</v>
      </c>
      <c r="H75" s="46" t="s">
        <v>1802</v>
      </c>
      <c r="I75" s="46" t="s">
        <v>1803</v>
      </c>
    </row>
    <row r="76" spans="1:9" ht="14.25" customHeight="1" x14ac:dyDescent="0.45">
      <c r="A76" s="46" t="s">
        <v>1773</v>
      </c>
      <c r="B76" s="46" t="s">
        <v>737</v>
      </c>
      <c r="C76" s="52" t="s">
        <v>1804</v>
      </c>
      <c r="D76" s="46" t="s">
        <v>1805</v>
      </c>
      <c r="F76" s="46" t="s">
        <v>1806</v>
      </c>
      <c r="G76" s="46" t="s">
        <v>1807</v>
      </c>
      <c r="H76" s="46" t="s">
        <v>1635</v>
      </c>
      <c r="I76" s="46" t="s">
        <v>1808</v>
      </c>
    </row>
    <row r="77" spans="1:9" ht="14.25" customHeight="1" x14ac:dyDescent="0.45">
      <c r="F77" s="46" t="s">
        <v>1809</v>
      </c>
      <c r="G77" s="46" t="s">
        <v>1810</v>
      </c>
      <c r="H77" s="46" t="s">
        <v>1811</v>
      </c>
      <c r="I77" s="46" t="s">
        <v>1812</v>
      </c>
    </row>
    <row r="78" spans="1:9" ht="30.75" customHeight="1" x14ac:dyDescent="0.45">
      <c r="A78" s="41" t="s">
        <v>1813</v>
      </c>
    </row>
    <row r="80" spans="1:9" ht="14.25" customHeight="1" x14ac:dyDescent="0.45">
      <c r="A80" s="43" t="s">
        <v>1814</v>
      </c>
      <c r="B80" s="43" t="s">
        <v>1815</v>
      </c>
    </row>
    <row r="81" spans="1:4" ht="14.25" customHeight="1" x14ac:dyDescent="0.45">
      <c r="A81" s="46" t="s">
        <v>794</v>
      </c>
      <c r="B81" s="46" t="s">
        <v>1816</v>
      </c>
    </row>
    <row r="82" spans="1:4" ht="14.25" customHeight="1" x14ac:dyDescent="0.45">
      <c r="A82" s="46" t="s">
        <v>801</v>
      </c>
      <c r="B82" s="46" t="s">
        <v>1817</v>
      </c>
    </row>
    <row r="83" spans="1:4" ht="14.25" customHeight="1" x14ac:dyDescent="0.45">
      <c r="A83" s="46" t="s">
        <v>810</v>
      </c>
      <c r="B83" s="46" t="s">
        <v>1818</v>
      </c>
    </row>
    <row r="84" spans="1:4" ht="14.25" customHeight="1" x14ac:dyDescent="0.45">
      <c r="A84" s="46" t="s">
        <v>816</v>
      </c>
      <c r="B84" s="46" t="s">
        <v>1819</v>
      </c>
    </row>
    <row r="85" spans="1:4" ht="14.25" customHeight="1" x14ac:dyDescent="0.45">
      <c r="A85" s="46" t="s">
        <v>823</v>
      </c>
      <c r="B85" s="46" t="s">
        <v>1820</v>
      </c>
    </row>
    <row r="88" spans="1:4" ht="14.25" customHeight="1" x14ac:dyDescent="0.45">
      <c r="A88" s="43" t="s">
        <v>1821</v>
      </c>
      <c r="B88" s="43" t="s">
        <v>1822</v>
      </c>
      <c r="C88" s="51" t="s">
        <v>1823</v>
      </c>
      <c r="D88" s="43" t="s">
        <v>1388</v>
      </c>
    </row>
    <row r="89" spans="1:4" ht="14.25" customHeight="1" x14ac:dyDescent="0.45">
      <c r="A89" s="46" t="s">
        <v>794</v>
      </c>
      <c r="B89" s="46" t="s">
        <v>841</v>
      </c>
      <c r="C89" s="52" t="s">
        <v>1824</v>
      </c>
      <c r="D89" s="46" t="s">
        <v>1825</v>
      </c>
    </row>
    <row r="90" spans="1:4" ht="14.25" customHeight="1" x14ac:dyDescent="0.45">
      <c r="A90" s="46" t="s">
        <v>794</v>
      </c>
      <c r="B90" s="46" t="s">
        <v>846</v>
      </c>
      <c r="C90" s="52" t="s">
        <v>1826</v>
      </c>
      <c r="D90" s="46" t="s">
        <v>1827</v>
      </c>
    </row>
    <row r="91" spans="1:4" ht="14.25" customHeight="1" x14ac:dyDescent="0.45">
      <c r="A91" s="46" t="s">
        <v>794</v>
      </c>
      <c r="B91" s="46" t="s">
        <v>854</v>
      </c>
      <c r="C91" s="52" t="s">
        <v>1828</v>
      </c>
      <c r="D91" s="46" t="s">
        <v>1829</v>
      </c>
    </row>
    <row r="92" spans="1:4" ht="14.25" customHeight="1" x14ac:dyDescent="0.45">
      <c r="A92" s="46" t="s">
        <v>794</v>
      </c>
      <c r="B92" s="46" t="s">
        <v>797</v>
      </c>
      <c r="C92" s="52" t="s">
        <v>1830</v>
      </c>
      <c r="D92" s="46" t="s">
        <v>1831</v>
      </c>
    </row>
    <row r="93" spans="1:4" ht="14.25" customHeight="1" x14ac:dyDescent="0.45">
      <c r="A93" s="46" t="s">
        <v>794</v>
      </c>
      <c r="B93" s="46" t="s">
        <v>858</v>
      </c>
      <c r="C93" s="52" t="s">
        <v>1832</v>
      </c>
      <c r="D93" s="46" t="s">
        <v>1833</v>
      </c>
    </row>
    <row r="94" spans="1:4" ht="14.25" customHeight="1" x14ac:dyDescent="0.45">
      <c r="A94" s="46" t="s">
        <v>794</v>
      </c>
      <c r="B94" s="46" t="s">
        <v>1834</v>
      </c>
      <c r="C94" s="52" t="s">
        <v>1835</v>
      </c>
      <c r="D94" s="46" t="s">
        <v>1836</v>
      </c>
    </row>
    <row r="95" spans="1:4" ht="14.25" customHeight="1" x14ac:dyDescent="0.45">
      <c r="A95" s="46" t="s">
        <v>794</v>
      </c>
      <c r="B95" s="46" t="s">
        <v>843</v>
      </c>
      <c r="C95" s="52" t="s">
        <v>1837</v>
      </c>
      <c r="D95" s="46" t="s">
        <v>1838</v>
      </c>
    </row>
    <row r="96" spans="1:4" ht="14.25" customHeight="1" x14ac:dyDescent="0.45">
      <c r="A96" s="46" t="s">
        <v>794</v>
      </c>
      <c r="B96" s="46" t="s">
        <v>828</v>
      </c>
      <c r="C96" s="52" t="s">
        <v>1839</v>
      </c>
      <c r="D96" s="46" t="s">
        <v>1840</v>
      </c>
    </row>
    <row r="97" spans="1:4" ht="14.25" customHeight="1" x14ac:dyDescent="0.45">
      <c r="A97" s="46" t="s">
        <v>794</v>
      </c>
      <c r="B97" s="46" t="s">
        <v>795</v>
      </c>
      <c r="C97" s="52" t="s">
        <v>1841</v>
      </c>
      <c r="D97" s="46" t="s">
        <v>1842</v>
      </c>
    </row>
    <row r="98" spans="1:4" ht="14.25" customHeight="1" x14ac:dyDescent="0.45">
      <c r="A98" s="46" t="s">
        <v>794</v>
      </c>
      <c r="B98" s="46" t="s">
        <v>1843</v>
      </c>
      <c r="C98" s="52" t="s">
        <v>1844</v>
      </c>
      <c r="D98" s="46" t="s">
        <v>1845</v>
      </c>
    </row>
    <row r="99" spans="1:4" ht="14.25" customHeight="1" x14ac:dyDescent="0.45">
      <c r="A99" s="46" t="s">
        <v>794</v>
      </c>
      <c r="B99" s="46" t="s">
        <v>830</v>
      </c>
      <c r="C99" s="52" t="s">
        <v>1846</v>
      </c>
      <c r="D99" s="46" t="s">
        <v>1847</v>
      </c>
    </row>
    <row r="100" spans="1:4" ht="14.25" customHeight="1" x14ac:dyDescent="0.45">
      <c r="A100" s="46" t="s">
        <v>794</v>
      </c>
      <c r="B100" s="46" t="s">
        <v>799</v>
      </c>
      <c r="C100" s="52" t="s">
        <v>1848</v>
      </c>
      <c r="D100" s="46" t="s">
        <v>1849</v>
      </c>
    </row>
    <row r="101" spans="1:4" ht="14.25" customHeight="1" x14ac:dyDescent="0.45">
      <c r="A101" s="46" t="s">
        <v>801</v>
      </c>
      <c r="B101" s="46" t="s">
        <v>1850</v>
      </c>
      <c r="C101" s="52" t="s">
        <v>1851</v>
      </c>
      <c r="D101" s="46" t="s">
        <v>1852</v>
      </c>
    </row>
    <row r="102" spans="1:4" ht="14.25" customHeight="1" x14ac:dyDescent="0.45">
      <c r="A102" s="46" t="s">
        <v>801</v>
      </c>
      <c r="B102" s="46" t="s">
        <v>802</v>
      </c>
      <c r="C102" s="52" t="s">
        <v>1853</v>
      </c>
      <c r="D102" s="46" t="s">
        <v>1854</v>
      </c>
    </row>
    <row r="103" spans="1:4" ht="14.25" customHeight="1" x14ac:dyDescent="0.45">
      <c r="A103" s="46" t="s">
        <v>801</v>
      </c>
      <c r="B103" s="46" t="s">
        <v>867</v>
      </c>
      <c r="C103" s="52" t="s">
        <v>1855</v>
      </c>
      <c r="D103" s="46" t="s">
        <v>1856</v>
      </c>
    </row>
    <row r="104" spans="1:4" ht="14.25" customHeight="1" x14ac:dyDescent="0.45">
      <c r="A104" s="46" t="s">
        <v>801</v>
      </c>
      <c r="B104" s="46" t="s">
        <v>804</v>
      </c>
      <c r="C104" s="52" t="s">
        <v>1857</v>
      </c>
      <c r="D104" s="46" t="s">
        <v>1858</v>
      </c>
    </row>
    <row r="105" spans="1:4" ht="14.25" customHeight="1" x14ac:dyDescent="0.45">
      <c r="A105" s="46" t="s">
        <v>801</v>
      </c>
      <c r="B105" s="46" t="s">
        <v>806</v>
      </c>
      <c r="C105" s="52" t="s">
        <v>1859</v>
      </c>
      <c r="D105" s="46" t="s">
        <v>1860</v>
      </c>
    </row>
    <row r="106" spans="1:4" ht="14.25" customHeight="1" x14ac:dyDescent="0.45">
      <c r="A106" s="46" t="s">
        <v>801</v>
      </c>
      <c r="B106" s="46" t="s">
        <v>851</v>
      </c>
      <c r="C106" s="52" t="s">
        <v>1861</v>
      </c>
      <c r="D106" s="46" t="s">
        <v>1862</v>
      </c>
    </row>
    <row r="107" spans="1:4" ht="14.25" customHeight="1" x14ac:dyDescent="0.45">
      <c r="A107" s="46" t="s">
        <v>801</v>
      </c>
      <c r="B107" s="46" t="s">
        <v>956</v>
      </c>
      <c r="C107" s="52" t="s">
        <v>1863</v>
      </c>
      <c r="D107" s="46" t="s">
        <v>1864</v>
      </c>
    </row>
    <row r="108" spans="1:4" ht="14.25" customHeight="1" x14ac:dyDescent="0.45">
      <c r="A108" s="46" t="s">
        <v>801</v>
      </c>
      <c r="B108" s="46" t="s">
        <v>848</v>
      </c>
      <c r="C108" s="52" t="s">
        <v>1865</v>
      </c>
      <c r="D108" s="46" t="s">
        <v>1866</v>
      </c>
    </row>
    <row r="109" spans="1:4" ht="14.25" customHeight="1" x14ac:dyDescent="0.45">
      <c r="A109" s="46" t="s">
        <v>801</v>
      </c>
      <c r="B109" s="46" t="s">
        <v>967</v>
      </c>
      <c r="C109" s="52" t="s">
        <v>1867</v>
      </c>
      <c r="D109" s="46" t="s">
        <v>1868</v>
      </c>
    </row>
    <row r="110" spans="1:4" ht="14.25" customHeight="1" x14ac:dyDescent="0.45">
      <c r="A110" s="46" t="s">
        <v>801</v>
      </c>
      <c r="B110" s="46" t="s">
        <v>1869</v>
      </c>
      <c r="C110" s="52" t="s">
        <v>1870</v>
      </c>
      <c r="D110" s="46" t="s">
        <v>1871</v>
      </c>
    </row>
    <row r="111" spans="1:4" ht="14.25" customHeight="1" x14ac:dyDescent="0.45">
      <c r="A111" s="46" t="s">
        <v>801</v>
      </c>
      <c r="B111" s="46" t="s">
        <v>808</v>
      </c>
      <c r="C111" s="52" t="s">
        <v>1872</v>
      </c>
      <c r="D111" s="46" t="s">
        <v>1873</v>
      </c>
    </row>
    <row r="112" spans="1:4" ht="14.25" customHeight="1" x14ac:dyDescent="0.45">
      <c r="A112" s="46" t="s">
        <v>810</v>
      </c>
      <c r="B112" s="46" t="s">
        <v>672</v>
      </c>
      <c r="C112" s="52" t="s">
        <v>1874</v>
      </c>
      <c r="D112" s="46" t="s">
        <v>1875</v>
      </c>
    </row>
    <row r="113" spans="1:4" ht="14.25" customHeight="1" x14ac:dyDescent="0.45">
      <c r="A113" s="46" t="s">
        <v>810</v>
      </c>
      <c r="B113" s="46" t="s">
        <v>812</v>
      </c>
      <c r="C113" s="52" t="s">
        <v>1876</v>
      </c>
      <c r="D113" s="46" t="s">
        <v>1877</v>
      </c>
    </row>
    <row r="114" spans="1:4" ht="14.25" customHeight="1" x14ac:dyDescent="0.45">
      <c r="A114" s="46" t="s">
        <v>810</v>
      </c>
      <c r="B114" s="46" t="s">
        <v>814</v>
      </c>
      <c r="C114" s="52" t="s">
        <v>1878</v>
      </c>
      <c r="D114" s="46" t="s">
        <v>1879</v>
      </c>
    </row>
    <row r="115" spans="1:4" ht="14.25" customHeight="1" x14ac:dyDescent="0.45">
      <c r="A115" s="46" t="s">
        <v>810</v>
      </c>
      <c r="B115" s="46" t="s">
        <v>1880</v>
      </c>
      <c r="C115" s="52" t="s">
        <v>1881</v>
      </c>
      <c r="D115" s="46" t="s">
        <v>1882</v>
      </c>
    </row>
    <row r="116" spans="1:4" ht="14.25" customHeight="1" x14ac:dyDescent="0.45">
      <c r="A116" s="46" t="s">
        <v>810</v>
      </c>
      <c r="B116" s="46" t="s">
        <v>865</v>
      </c>
      <c r="C116" s="52" t="s">
        <v>1883</v>
      </c>
      <c r="D116" s="46" t="s">
        <v>1884</v>
      </c>
    </row>
    <row r="117" spans="1:4" ht="14.25" customHeight="1" x14ac:dyDescent="0.45">
      <c r="A117" s="46" t="s">
        <v>810</v>
      </c>
      <c r="B117" s="46" t="s">
        <v>1885</v>
      </c>
      <c r="C117" s="52" t="s">
        <v>1886</v>
      </c>
      <c r="D117" s="46" t="s">
        <v>1887</v>
      </c>
    </row>
    <row r="118" spans="1:4" ht="14.25" customHeight="1" x14ac:dyDescent="0.45">
      <c r="A118" s="46" t="s">
        <v>810</v>
      </c>
      <c r="B118" s="46" t="s">
        <v>1888</v>
      </c>
      <c r="C118" s="52" t="s">
        <v>1889</v>
      </c>
      <c r="D118" s="46" t="s">
        <v>1890</v>
      </c>
    </row>
    <row r="119" spans="1:4" ht="14.25" customHeight="1" x14ac:dyDescent="0.45">
      <c r="A119" s="46" t="s">
        <v>810</v>
      </c>
      <c r="B119" s="46" t="s">
        <v>1891</v>
      </c>
      <c r="C119" s="52" t="s">
        <v>1892</v>
      </c>
      <c r="D119" s="46" t="s">
        <v>1893</v>
      </c>
    </row>
    <row r="120" spans="1:4" ht="14.25" customHeight="1" x14ac:dyDescent="0.45">
      <c r="A120" s="46" t="s">
        <v>810</v>
      </c>
      <c r="B120" s="46" t="s">
        <v>863</v>
      </c>
      <c r="C120" s="52" t="s">
        <v>1894</v>
      </c>
      <c r="D120" s="46" t="s">
        <v>1895</v>
      </c>
    </row>
    <row r="121" spans="1:4" ht="14.25" customHeight="1" x14ac:dyDescent="0.45">
      <c r="A121" s="46" t="s">
        <v>816</v>
      </c>
      <c r="B121" s="46" t="s">
        <v>837</v>
      </c>
      <c r="C121" s="52" t="s">
        <v>1896</v>
      </c>
      <c r="D121" s="46" t="s">
        <v>1897</v>
      </c>
    </row>
    <row r="122" spans="1:4" ht="14.25" customHeight="1" x14ac:dyDescent="0.45">
      <c r="A122" s="46" t="s">
        <v>816</v>
      </c>
      <c r="B122" s="46" t="s">
        <v>1898</v>
      </c>
      <c r="C122" s="52" t="s">
        <v>1899</v>
      </c>
      <c r="D122" s="46" t="s">
        <v>1900</v>
      </c>
    </row>
    <row r="123" spans="1:4" ht="14.25" customHeight="1" x14ac:dyDescent="0.45">
      <c r="A123" s="46" t="s">
        <v>816</v>
      </c>
      <c r="B123" s="46" t="s">
        <v>819</v>
      </c>
      <c r="C123" s="52" t="s">
        <v>1901</v>
      </c>
      <c r="D123" s="46" t="s">
        <v>1902</v>
      </c>
    </row>
    <row r="124" spans="1:4" ht="14.25" customHeight="1" x14ac:dyDescent="0.45">
      <c r="A124" s="46" t="s">
        <v>816</v>
      </c>
      <c r="B124" s="46" t="s">
        <v>1903</v>
      </c>
      <c r="C124" s="52" t="s">
        <v>1904</v>
      </c>
      <c r="D124" s="46" t="s">
        <v>1905</v>
      </c>
    </row>
    <row r="125" spans="1:4" ht="14.25" customHeight="1" x14ac:dyDescent="0.45">
      <c r="A125" s="46" t="s">
        <v>816</v>
      </c>
      <c r="B125" s="46" t="s">
        <v>871</v>
      </c>
      <c r="C125" s="52" t="s">
        <v>1906</v>
      </c>
      <c r="D125" s="46" t="s">
        <v>1907</v>
      </c>
    </row>
    <row r="126" spans="1:4" ht="14.25" customHeight="1" x14ac:dyDescent="0.45">
      <c r="A126" s="46" t="s">
        <v>816</v>
      </c>
      <c r="B126" s="46" t="s">
        <v>821</v>
      </c>
      <c r="C126" s="52" t="s">
        <v>1908</v>
      </c>
      <c r="D126" s="46" t="s">
        <v>1909</v>
      </c>
    </row>
    <row r="127" spans="1:4" ht="14.25" customHeight="1" x14ac:dyDescent="0.45">
      <c r="A127" s="46" t="s">
        <v>816</v>
      </c>
      <c r="B127" s="46" t="s">
        <v>932</v>
      </c>
      <c r="C127" s="52" t="s">
        <v>1910</v>
      </c>
      <c r="D127" s="46" t="s">
        <v>1911</v>
      </c>
    </row>
    <row r="128" spans="1:4" ht="14.25" customHeight="1" x14ac:dyDescent="0.45">
      <c r="A128" s="46" t="s">
        <v>816</v>
      </c>
      <c r="B128" s="46" t="s">
        <v>817</v>
      </c>
      <c r="C128" s="52" t="s">
        <v>1912</v>
      </c>
      <c r="D128" s="46" t="s">
        <v>1913</v>
      </c>
    </row>
    <row r="129" spans="1:4" ht="14.25" customHeight="1" x14ac:dyDescent="0.45">
      <c r="A129" s="46" t="s">
        <v>816</v>
      </c>
      <c r="B129" s="46" t="s">
        <v>875</v>
      </c>
      <c r="C129" s="52" t="s">
        <v>1914</v>
      </c>
      <c r="D129" s="46" t="s">
        <v>1915</v>
      </c>
    </row>
    <row r="130" spans="1:4" ht="14.25" customHeight="1" x14ac:dyDescent="0.45">
      <c r="A130" s="46" t="s">
        <v>823</v>
      </c>
      <c r="B130" s="46" t="s">
        <v>835</v>
      </c>
      <c r="C130" s="52" t="s">
        <v>1916</v>
      </c>
      <c r="D130" s="46" t="s">
        <v>1917</v>
      </c>
    </row>
    <row r="131" spans="1:4" ht="14.25" customHeight="1" x14ac:dyDescent="0.45">
      <c r="A131" s="46" t="s">
        <v>823</v>
      </c>
      <c r="B131" s="46" t="s">
        <v>1918</v>
      </c>
      <c r="C131" s="52" t="s">
        <v>1919</v>
      </c>
      <c r="D131" s="46" t="s">
        <v>1920</v>
      </c>
    </row>
    <row r="132" spans="1:4" ht="14.25" customHeight="1" x14ac:dyDescent="0.45">
      <c r="A132" s="46" t="s">
        <v>823</v>
      </c>
      <c r="B132" s="46" t="s">
        <v>824</v>
      </c>
      <c r="C132" s="52" t="s">
        <v>1921</v>
      </c>
      <c r="D132" s="46" t="s">
        <v>1922</v>
      </c>
    </row>
    <row r="133" spans="1:4" ht="14.25" customHeight="1" x14ac:dyDescent="0.45">
      <c r="A133" s="46" t="s">
        <v>823</v>
      </c>
      <c r="B133" s="46" t="s">
        <v>1923</v>
      </c>
      <c r="C133" s="52" t="s">
        <v>1924</v>
      </c>
      <c r="D133" s="46" t="s">
        <v>1925</v>
      </c>
    </row>
    <row r="134" spans="1:4" ht="14.25" customHeight="1" x14ac:dyDescent="0.45">
      <c r="A134" s="46" t="s">
        <v>823</v>
      </c>
      <c r="B134" s="46" t="s">
        <v>826</v>
      </c>
      <c r="C134" s="52" t="s">
        <v>1926</v>
      </c>
      <c r="D134" s="46" t="s">
        <v>1927</v>
      </c>
    </row>
    <row r="135" spans="1:4" ht="14.25" customHeight="1" x14ac:dyDescent="0.45">
      <c r="A135" s="46" t="s">
        <v>823</v>
      </c>
      <c r="B135" s="46" t="s">
        <v>832</v>
      </c>
      <c r="C135" s="52" t="s">
        <v>1928</v>
      </c>
      <c r="D135" s="46" t="s">
        <v>1929</v>
      </c>
    </row>
    <row r="136" spans="1:4" ht="14.25" customHeight="1" x14ac:dyDescent="0.45">
      <c r="A136" s="46" t="s">
        <v>823</v>
      </c>
      <c r="B136" s="46" t="s">
        <v>1930</v>
      </c>
      <c r="C136" s="52" t="s">
        <v>1931</v>
      </c>
      <c r="D136" s="46" t="s">
        <v>1932</v>
      </c>
    </row>
    <row r="137" spans="1:4" ht="14.25" customHeight="1" x14ac:dyDescent="0.45">
      <c r="A137" s="46" t="s">
        <v>823</v>
      </c>
      <c r="B137" s="46" t="s">
        <v>1933</v>
      </c>
      <c r="C137" s="52" t="s">
        <v>1934</v>
      </c>
      <c r="D137" s="46" t="s">
        <v>1935</v>
      </c>
    </row>
    <row r="142" spans="1:4" ht="14.25" customHeight="1" x14ac:dyDescent="0.45">
      <c r="A142" s="13" t="s">
        <v>450</v>
      </c>
      <c r="B142" s="13" t="s">
        <v>1936</v>
      </c>
    </row>
    <row r="143" spans="1:4" ht="14.25" customHeight="1" x14ac:dyDescent="0.45">
      <c r="A143" s="3" t="s">
        <v>450</v>
      </c>
      <c r="B143" s="3" t="s">
        <v>1936</v>
      </c>
    </row>
    <row r="144" spans="1:4" ht="14.25" customHeight="1" x14ac:dyDescent="0.45">
      <c r="A144" s="3" t="s">
        <v>423</v>
      </c>
      <c r="B144" s="3" t="s">
        <v>426</v>
      </c>
    </row>
    <row r="145" spans="1:2" ht="14.25" customHeight="1" x14ac:dyDescent="0.45">
      <c r="A145" s="3" t="s">
        <v>410</v>
      </c>
      <c r="B145" s="3" t="s">
        <v>154</v>
      </c>
    </row>
    <row r="146" spans="1:2" ht="14.25" customHeight="1" x14ac:dyDescent="0.45">
      <c r="A146" s="3" t="s">
        <v>292</v>
      </c>
      <c r="B146" s="3" t="s">
        <v>1008</v>
      </c>
    </row>
    <row r="147" spans="1:2" ht="14.25" customHeight="1" x14ac:dyDescent="0.45">
      <c r="A147" s="3" t="s">
        <v>207</v>
      </c>
      <c r="B147" s="3" t="s">
        <v>1017</v>
      </c>
    </row>
    <row r="148" spans="1:2" ht="14.25" customHeight="1" x14ac:dyDescent="0.45">
      <c r="A148" s="3" t="s">
        <v>92</v>
      </c>
      <c r="B148" s="3" t="s">
        <v>1937</v>
      </c>
    </row>
    <row r="149" spans="1:2" ht="14.25" customHeight="1" x14ac:dyDescent="0.45">
      <c r="A149" s="3" t="s">
        <v>1938</v>
      </c>
      <c r="B149" s="3" t="s">
        <v>1037</v>
      </c>
    </row>
    <row r="150" spans="1:2" ht="14.25" customHeight="1" x14ac:dyDescent="0.45">
      <c r="A150" s="3" t="s">
        <v>34</v>
      </c>
      <c r="B150" s="3" t="s">
        <v>1939</v>
      </c>
    </row>
    <row r="151" spans="1:2" ht="14.25" customHeight="1" x14ac:dyDescent="0.45">
      <c r="A151" s="3" t="s">
        <v>143</v>
      </c>
      <c r="B151" s="3" t="s">
        <v>1940</v>
      </c>
    </row>
    <row r="152" spans="1:2" ht="14.25" customHeight="1" x14ac:dyDescent="0.45">
      <c r="A152" s="3" t="s">
        <v>1941</v>
      </c>
      <c r="B152" s="3" t="s">
        <v>1087</v>
      </c>
    </row>
    <row r="153" spans="1:2" ht="14.25" customHeight="1" x14ac:dyDescent="0.45">
      <c r="A153" s="3" t="s">
        <v>1942</v>
      </c>
      <c r="B153" s="3" t="s">
        <v>1943</v>
      </c>
    </row>
    <row r="154" spans="1:2" ht="14.25" customHeight="1" x14ac:dyDescent="0.45">
      <c r="A154" s="3" t="s">
        <v>1233</v>
      </c>
      <c r="B154" s="3" t="s">
        <v>1944</v>
      </c>
    </row>
    <row r="155" spans="1:2" ht="14.25" customHeight="1" x14ac:dyDescent="0.45">
      <c r="A155" s="3" t="s">
        <v>1291</v>
      </c>
      <c r="B155" s="3" t="s">
        <v>1292</v>
      </c>
    </row>
    <row r="156" spans="1:2" ht="14.25" customHeight="1" x14ac:dyDescent="0.45">
      <c r="A156" s="3" t="s">
        <v>1213</v>
      </c>
      <c r="B156" s="3" t="s">
        <v>1214</v>
      </c>
    </row>
    <row r="157" spans="1:2" ht="14.25" customHeight="1" x14ac:dyDescent="0.45">
      <c r="A157" s="3" t="s">
        <v>1945</v>
      </c>
      <c r="B157" s="3" t="s">
        <v>1946</v>
      </c>
    </row>
    <row r="158" spans="1:2" ht="14.25" customHeight="1" x14ac:dyDescent="0.45">
      <c r="A158" s="3" t="s">
        <v>1947</v>
      </c>
      <c r="B158" s="3" t="s">
        <v>1948</v>
      </c>
    </row>
    <row r="159" spans="1:2" ht="14.25" customHeight="1" x14ac:dyDescent="0.45">
      <c r="A159" s="3" t="s">
        <v>1262</v>
      </c>
      <c r="B159" s="3" t="s">
        <v>1949</v>
      </c>
    </row>
    <row r="160" spans="1:2" ht="14.25" customHeight="1" x14ac:dyDescent="0.45">
      <c r="A160" s="3" t="s">
        <v>1950</v>
      </c>
      <c r="B160" s="3" t="s">
        <v>1324</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X100"/>
  <sheetViews>
    <sheetView zoomScale="85" zoomScaleNormal="85" workbookViewId="0">
      <selection activeCell="P26" sqref="P26"/>
    </sheetView>
  </sheetViews>
  <sheetFormatPr defaultColWidth="9.06640625" defaultRowHeight="14.25" customHeight="1" x14ac:dyDescent="0.45"/>
  <cols>
    <col min="1" max="1" width="14.6640625" style="1" customWidth="1"/>
    <col min="2" max="2" width="8.33203125" style="1" customWidth="1"/>
    <col min="3" max="3" width="25.86328125" style="3" customWidth="1"/>
    <col min="4" max="4" width="15.53125" style="1" customWidth="1"/>
    <col min="5" max="5" width="7.06640625" style="1" customWidth="1"/>
    <col min="6" max="6" width="24.796875" style="1" customWidth="1"/>
    <col min="7" max="7" width="62.06640625" style="3" hidden="1" customWidth="1"/>
    <col min="8" max="8" width="49.1328125" style="3" hidden="1" customWidth="1"/>
    <col min="9" max="9" width="38.19921875" style="1" hidden="1" customWidth="1"/>
    <col min="10" max="10" width="22" style="1" hidden="1" customWidth="1"/>
    <col min="11" max="11" width="30.9296875" style="3" hidden="1" customWidth="1"/>
    <col min="12" max="12" width="35" style="3" hidden="1" customWidth="1"/>
    <col min="13" max="13" width="8.73046875" style="1" customWidth="1"/>
    <col min="14" max="14" width="8.46484375" style="1" customWidth="1"/>
    <col min="15" max="15" width="8.3984375" style="1" customWidth="1"/>
    <col min="16" max="21" width="25.59765625" style="1" customWidth="1"/>
    <col min="22" max="24" width="32" style="1" customWidth="1"/>
    <col min="25" max="16384" width="9.06640625" style="1"/>
  </cols>
  <sheetData>
    <row r="1" spans="1:24" ht="28.5" customHeight="1" x14ac:dyDescent="0.45">
      <c r="A1" s="54" t="s">
        <v>0</v>
      </c>
      <c r="B1" s="54" t="s">
        <v>1951</v>
      </c>
      <c r="C1" s="54" t="s">
        <v>1952</v>
      </c>
      <c r="D1" s="54" t="s">
        <v>18</v>
      </c>
      <c r="E1" s="54" t="s">
        <v>21</v>
      </c>
      <c r="F1" s="54" t="s">
        <v>22</v>
      </c>
      <c r="G1" s="54" t="s">
        <v>23</v>
      </c>
      <c r="H1" s="54" t="s">
        <v>24</v>
      </c>
      <c r="I1" s="54" t="s">
        <v>25</v>
      </c>
      <c r="J1" s="54" t="s">
        <v>26</v>
      </c>
      <c r="K1" s="54" t="s">
        <v>27</v>
      </c>
      <c r="L1" s="54" t="s">
        <v>28</v>
      </c>
      <c r="M1" s="54" t="s">
        <v>1953</v>
      </c>
      <c r="N1" s="54" t="s">
        <v>1954</v>
      </c>
      <c r="O1" s="54" t="s">
        <v>1955</v>
      </c>
      <c r="P1" s="54" t="s">
        <v>1956</v>
      </c>
      <c r="Q1" s="54" t="s">
        <v>1</v>
      </c>
      <c r="R1" s="54" t="s">
        <v>2</v>
      </c>
      <c r="S1" s="54" t="s">
        <v>5</v>
      </c>
      <c r="T1" s="54" t="s">
        <v>6</v>
      </c>
      <c r="U1" s="54" t="s">
        <v>4</v>
      </c>
      <c r="V1" s="5"/>
      <c r="W1" s="5"/>
      <c r="X1" s="5"/>
    </row>
    <row r="2" spans="1:24" x14ac:dyDescent="0.45">
      <c r="A2" s="1" t="s">
        <v>32</v>
      </c>
      <c r="B2" s="1" t="str">
        <f>IF($A2="","",IFERROR(INDEX('INPUT-SIF_Questions'!$H$2:$H$1000,MATCH($A2,'INPUT-SIF_Questions'!$A$2:$A$1000,0)),""))</f>
        <v>WAH</v>
      </c>
      <c r="C2" s="3" t="str">
        <f>IF($A2="","",IFERROR(INDEX('INPUT-SIF_Questions'!$I$2:$I$1000,MATCH($A2,'INPUT-SIF_Questions'!$A$2:$A$1000,0)),""))</f>
        <v>Work at Height</v>
      </c>
      <c r="D2" s="55">
        <f>IF($A2="","",IFERROR(INDEX('INPUT-SIF_Questions'!$S$2:$S$1000,MATCH($A2,'INPUT-SIF_Questions'!$A$2:$A$1000,0)),""))</f>
        <v>46156</v>
      </c>
      <c r="E2" s="1">
        <f>IF($A2="","",IFERROR(INDEX('INPUT-SIF_Questions'!$V$2:$V$1000,MATCH($A2,'INPUT-SIF_Questions'!$A$2:$A$1000,0)),""))</f>
        <v>13</v>
      </c>
      <c r="F2" s="1" t="str">
        <f>IF($A2="","",IFERROR(INDEX('INPUT-SIF_Questions'!$W$2:$W$1000,MATCH($A2,'INPUT-SIF_Questions'!$A$2:$A$1000,0)),""))</f>
        <v>CPP MATINDOK</v>
      </c>
      <c r="G2" s="3" t="str">
        <f>IF($A2="","",IFERROR(INDEX('INPUT-SIF_Questions'!$X$2:$X$1000,MATCH($A2,'INPUT-SIF_Questions'!$A$2:$A$1000,0)),""))</f>
        <v>GTG Area</v>
      </c>
      <c r="H2" s="3" t="str">
        <f>IF($A2="","",IFERROR(INDEX('INPUT-SIF_Questions'!$Y$2:$Y$1000,MATCH($A2,'INPUT-SIF_Questions'!$A$2:$A$1000,0)),""))</f>
        <v>Scaffolding Dismantling</v>
      </c>
      <c r="I2" s="1" t="str">
        <f>IF($A2="","",IFERROR(INDEX('INPUT-SIF_Questions'!$Z$2:$Z$1000,MATCH($A2,'INPUT-SIF_Questions'!$A$2:$A$1000,0)),""))</f>
        <v>PT Petro Teknik Konstruksi</v>
      </c>
      <c r="J2" s="1" t="str">
        <f>IF($A2="","",IFERROR(INDEX('INPUT-SIF_Questions'!$AA$2:$AA$1000,MATCH($A2,'INPUT-SIF_Questions'!$A$2:$A$1000,0)),""))</f>
        <v>Iman Sudirman</v>
      </c>
      <c r="K2" s="3" t="str">
        <f>IF($A2="","",IFERROR(INDEX('INPUT-SIF_Questions'!$AB$2:$AB$1000,MATCH($A2,'INPUT-SIF_Questions'!$A$2:$A$1000,0)),""))</f>
        <v>Endong Darwilisan Yahya</v>
      </c>
      <c r="L2" s="3" t="str">
        <f>IF($A2="","",IFERROR(INDEX('INPUT-SIF_Questions'!$AC$2:$AC$1000,MATCH($A2,'INPUT-SIF_Questions'!$A$2:$A$1000,0)),""))</f>
        <v>Wayan Edi Wijaya</v>
      </c>
      <c r="M2" s="1">
        <f>IF($A2="","",COUNTIFS('INPUT-SIF_Questions'!$A$2:$A$1000,$A2,'INPUT-SIF_Questions'!$M$2:$M$1000,1))</f>
        <v>4</v>
      </c>
      <c r="N2" s="1">
        <f>IF($A2="","",COUNTIFS('INPUT-SIF_Questions'!$A$2:$A$1000,$A2,'INPUT-SIF_Questions'!$N$2:$N$1000,1))</f>
        <v>5</v>
      </c>
      <c r="O2" s="1">
        <f>IF($A2="","",COUNTIFS('INPUT-SIF_Questions'!$A$2:$A$1000,$A2,'INPUT-SIF_Questions'!$O$2:$O$1000,1))</f>
        <v>0</v>
      </c>
      <c r="P2" s="56">
        <f t="shared" ref="P2:P33" si="0">IF($A2="","",IFERROR(M2/(M2+N2),0))</f>
        <v>0.44444444444444442</v>
      </c>
      <c r="Q2" s="1">
        <f>IF($A2="","",IFERROR(INDEX('INPUT-SIF_Questions'!$B$2:$B$300,MATCH($A2,'INPUT-SIF_Questions'!$A$2:$A$300,0)),""))</f>
        <v>1</v>
      </c>
      <c r="R2" s="1" t="str">
        <f>IF($A2="","",IFERROR(INDEX('INPUT-SIF_Questions'!$C$2:$C$300,MATCH($A2,'INPUT-SIF_Questions'!$A$2:$A$300,0)),""))</f>
        <v>N</v>
      </c>
      <c r="S2" s="1" t="str">
        <f>IF($A2="","",IFERROR(INDEX('INPUT-SIF_Questions'!$F$2:$F$300,MATCH($A2,'INPUT-SIF_Questions'!$A$2:$A$300,0)),""))</f>
        <v>Baseline</v>
      </c>
      <c r="T2" s="1" t="str">
        <f>IF($A2="","",IFERROR(INDEX('INPUT-SIF_Questions'!$G$2:$G$300,MATCH($A2,'INPUT-SIF_Questions'!$A$2:$A$300,0)),""))</f>
        <v>Y</v>
      </c>
      <c r="U2" s="1">
        <f>IF($A2="","",IFERROR(INDEX('INPUT-SIF_Questions'!$E$2:$E$300,MATCH($A2,'INPUT-SIF_Questions'!$A$2:$A$300,0)),""))</f>
        <v>0</v>
      </c>
    </row>
    <row r="3" spans="1:24" x14ac:dyDescent="0.45">
      <c r="A3" s="1" t="s">
        <v>91</v>
      </c>
      <c r="B3" s="1" t="str">
        <f>IF($A3="","",IFERROR(INDEX('INPUT-SIF_Questions'!$H$2:$H$1000,MATCH($A3,'INPUT-SIF_Questions'!$A$2:$A$1000,0)),""))</f>
        <v>IHE</v>
      </c>
      <c r="C3" s="3" t="str">
        <f>IF($A3="","",IFERROR(INDEX('INPUT-SIF_Questions'!$I$2:$I$1000,MATCH($A3,'INPUT-SIF_Questions'!$A$2:$A$1000,0)),""))</f>
        <v>Powered System / Isolation of Hazardous Energy</v>
      </c>
      <c r="D3" s="55">
        <f>IF($A3="","",IFERROR(INDEX('INPUT-SIF_Questions'!$S$2:$S$1000,MATCH($A3,'INPUT-SIF_Questions'!$A$2:$A$1000,0)),""))</f>
        <v>46156</v>
      </c>
      <c r="E3" s="1">
        <f>IF($A3="","",IFERROR(INDEX('INPUT-SIF_Questions'!$V$2:$V$1000,MATCH($A3,'INPUT-SIF_Questions'!$A$2:$A$1000,0)),""))</f>
        <v>13</v>
      </c>
      <c r="F3" s="1" t="str">
        <f>IF($A3="","",IFERROR(INDEX('INPUT-SIF_Questions'!$W$2:$W$1000,MATCH($A3,'INPUT-SIF_Questions'!$A$2:$A$1000,0)),""))</f>
        <v>CPP MATINDOK</v>
      </c>
      <c r="G3" s="3" t="str">
        <f>IF($A3="","",IFERROR(INDEX('INPUT-SIF_Questions'!$X$2:$X$1000,MATCH($A3,'INPUT-SIF_Questions'!$A$2:$A$1000,0)),""))</f>
        <v>Condensate Transfer pump</v>
      </c>
      <c r="H3" s="3" t="str">
        <f>IF($A3="","",IFERROR(INDEX('INPUT-SIF_Questions'!$Y$2:$Y$1000,MATCH($A3,'INPUT-SIF_Questions'!$A$2:$A$1000,0)),""))</f>
        <v>Pump Overhaul Activity</v>
      </c>
      <c r="I3" s="1" t="str">
        <f>IF($A3="","",IFERROR(INDEX('INPUT-SIF_Questions'!$Z$2:$Z$1000,MATCH($A3,'INPUT-SIF_Questions'!$A$2:$A$1000,0)),""))</f>
        <v>PT Petro Teknik Konstruksi</v>
      </c>
      <c r="J3" s="1" t="str">
        <f>IF($A3="","",IFERROR(INDEX('INPUT-SIF_Questions'!$AA$2:$AA$1000,MATCH($A3,'INPUT-SIF_Questions'!$A$2:$A$1000,0)),""))</f>
        <v>Iman Sudirman</v>
      </c>
      <c r="K3" s="3" t="str">
        <f>IF($A3="","",IFERROR(INDEX('INPUT-SIF_Questions'!$AB$2:$AB$1000,MATCH($A3,'INPUT-SIF_Questions'!$A$2:$A$1000,0)),""))</f>
        <v>Endong Darwilisan Yahya</v>
      </c>
      <c r="L3" s="3" t="str">
        <f>IF($A3="","",IFERROR(INDEX('INPUT-SIF_Questions'!$AC$2:$AC$1000,MATCH($A3,'INPUT-SIF_Questions'!$A$2:$A$1000,0)),""))</f>
        <v>Wayan Edi Wijaya</v>
      </c>
      <c r="M3" s="1">
        <f>IF($A3="","",COUNTIFS('INPUT-SIF_Questions'!$A$2:$A$1000,$A3,'INPUT-SIF_Questions'!$M$2:$M$1000,1))</f>
        <v>5</v>
      </c>
      <c r="N3" s="1">
        <f>IF($A3="","",COUNTIFS('INPUT-SIF_Questions'!$A$2:$A$1000,$A3,'INPUT-SIF_Questions'!$N$2:$N$1000,1))</f>
        <v>3</v>
      </c>
      <c r="O3" s="1">
        <f>IF($A3="","",COUNTIFS('INPUT-SIF_Questions'!$A$2:$A$1000,$A3,'INPUT-SIF_Questions'!$O$2:$O$1000,1))</f>
        <v>1</v>
      </c>
      <c r="P3" s="56">
        <f t="shared" si="0"/>
        <v>0.625</v>
      </c>
      <c r="Q3" s="1">
        <f>IF($A3="","",IFERROR(INDEX('INPUT-SIF_Questions'!$B$2:$B$300,MATCH($A3,'INPUT-SIF_Questions'!$A$2:$A$300,0)),""))</f>
        <v>1</v>
      </c>
      <c r="R3" s="1" t="str">
        <f>IF($A3="","",IFERROR(INDEX('INPUT-SIF_Questions'!$C$2:$C$300,MATCH($A3,'INPUT-SIF_Questions'!$A$2:$A$300,0)),""))</f>
        <v>N</v>
      </c>
      <c r="S3" s="1" t="str">
        <f>IF($A3="","",IFERROR(INDEX('INPUT-SIF_Questions'!$F$2:$F$300,MATCH($A3,'INPUT-SIF_Questions'!$A$2:$A$300,0)),""))</f>
        <v>Baseline</v>
      </c>
      <c r="T3" s="1" t="str">
        <f>IF($A3="","",IFERROR(INDEX('INPUT-SIF_Questions'!$G$2:$G$300,MATCH($A3,'INPUT-SIF_Questions'!$A$2:$A$300,0)),""))</f>
        <v>Y</v>
      </c>
      <c r="U3" s="1">
        <f>IF($A3="","",IFERROR(INDEX('INPUT-SIF_Questions'!$E$2:$E$300,MATCH($A3,'INPUT-SIF_Questions'!$A$2:$A$300,0)),""))</f>
        <v>0</v>
      </c>
    </row>
    <row r="4" spans="1:24" x14ac:dyDescent="0.45">
      <c r="A4" s="1" t="s">
        <v>132</v>
      </c>
      <c r="B4" s="1" t="str">
        <f>IF($A4="","",IFERROR(INDEX('INPUT-SIF_Questions'!$H$2:$H$1000,MATCH($A4,'INPUT-SIF_Questions'!$A$2:$A$1000,0)),""))</f>
        <v>IHE</v>
      </c>
      <c r="C4" s="3" t="str">
        <f>IF($A4="","",IFERROR(INDEX('INPUT-SIF_Questions'!$I$2:$I$1000,MATCH($A4,'INPUT-SIF_Questions'!$A$2:$A$1000,0)),""))</f>
        <v>Powered System / Isolation of Hazardous Energy</v>
      </c>
      <c r="D4" s="55">
        <f>IF($A4="","",IFERROR(INDEX('INPUT-SIF_Questions'!$S$2:$S$1000,MATCH($A4,'INPUT-SIF_Questions'!$A$2:$A$1000,0)),""))</f>
        <v>46157</v>
      </c>
      <c r="E4" s="1">
        <f>IF($A4="","",IFERROR(INDEX('INPUT-SIF_Questions'!$V$2:$V$1000,MATCH($A4,'INPUT-SIF_Questions'!$A$2:$A$1000,0)),""))</f>
        <v>13</v>
      </c>
      <c r="F4" s="1" t="str">
        <f>IF($A4="","",IFERROR(INDEX('INPUT-SIF_Questions'!$W$2:$W$1000,MATCH($A4,'INPUT-SIF_Questions'!$A$2:$A$1000,0)),""))</f>
        <v>CPP DONGGI</v>
      </c>
      <c r="G4" s="3" t="str">
        <f>IF($A4="","",IFERROR(INDEX('INPUT-SIF_Questions'!$X$2:$X$1000,MATCH($A4,'INPUT-SIF_Questions'!$A$2:$A$1000,0)),""))</f>
        <v>Booster Compressor Area</v>
      </c>
      <c r="H4" s="3" t="str">
        <f>IF($A4="","",IFERROR(INDEX('INPUT-SIF_Questions'!$Y$2:$Y$1000,MATCH($A4,'INPUT-SIF_Questions'!$A$2:$A$1000,0)),""))</f>
        <v>Alignment Booster Compressor #A</v>
      </c>
      <c r="I4" s="1" t="str">
        <f>IF($A4="","",IFERROR(INDEX('INPUT-SIF_Questions'!$Z$2:$Z$1000,MATCH($A4,'INPUT-SIF_Questions'!$A$2:$A$1000,0)),""))</f>
        <v>PT Petro Teknik Konstruksi</v>
      </c>
      <c r="J4" s="1" t="str">
        <f>IF($A4="","",IFERROR(INDEX('INPUT-SIF_Questions'!$AA$2:$AA$1000,MATCH($A4,'INPUT-SIF_Questions'!$A$2:$A$1000,0)),""))</f>
        <v>Iman Sudirman</v>
      </c>
      <c r="K4" s="3" t="str">
        <f>IF($A4="","",IFERROR(INDEX('INPUT-SIF_Questions'!$AB$2:$AB$1000,MATCH($A4,'INPUT-SIF_Questions'!$A$2:$A$1000,0)),""))</f>
        <v>Yoga Swara Jeni Pratama</v>
      </c>
      <c r="L4" s="3" t="str">
        <f>IF($A4="","",IFERROR(INDEX('INPUT-SIF_Questions'!$AC$2:$AC$1000,MATCH($A4,'INPUT-SIF_Questions'!$A$2:$A$1000,0)),""))</f>
        <v>Thamar Thalib Mbau</v>
      </c>
      <c r="M4" s="1">
        <f>IF($A4="","",COUNTIFS('INPUT-SIF_Questions'!$A$2:$A$1000,$A4,'INPUT-SIF_Questions'!$M$2:$M$1000,1))</f>
        <v>5</v>
      </c>
      <c r="N4" s="1">
        <f>IF($A4="","",COUNTIFS('INPUT-SIF_Questions'!$A$2:$A$1000,$A4,'INPUT-SIF_Questions'!$N$2:$N$1000,1))</f>
        <v>3</v>
      </c>
      <c r="O4" s="1">
        <f>IF($A4="","",COUNTIFS('INPUT-SIF_Questions'!$A$2:$A$1000,$A4,'INPUT-SIF_Questions'!$O$2:$O$1000,1))</f>
        <v>1</v>
      </c>
      <c r="P4" s="56">
        <f t="shared" si="0"/>
        <v>0.625</v>
      </c>
      <c r="Q4" s="1">
        <f>IF($A4="","",IFERROR(INDEX('INPUT-SIF_Questions'!$B$2:$B$300,MATCH($A4,'INPUT-SIF_Questions'!$A$2:$A$300,0)),""))</f>
        <v>1</v>
      </c>
      <c r="R4" s="1" t="str">
        <f>IF($A4="","",IFERROR(INDEX('INPUT-SIF_Questions'!$C$2:$C$300,MATCH($A4,'INPUT-SIF_Questions'!$A$2:$A$300,0)),""))</f>
        <v>N</v>
      </c>
      <c r="S4" s="1" t="str">
        <f>IF($A4="","",IFERROR(INDEX('INPUT-SIF_Questions'!$F$2:$F$300,MATCH($A4,'INPUT-SIF_Questions'!$A$2:$A$300,0)),""))</f>
        <v>Baseline</v>
      </c>
      <c r="T4" s="1" t="str">
        <f>IF($A4="","",IFERROR(INDEX('INPUT-SIF_Questions'!$G$2:$G$300,MATCH($A4,'INPUT-SIF_Questions'!$A$2:$A$300,0)),""))</f>
        <v>Y</v>
      </c>
      <c r="U4" s="1">
        <f>IF($A4="","",IFERROR(INDEX('INPUT-SIF_Questions'!$E$2:$E$300,MATCH($A4,'INPUT-SIF_Questions'!$A$2:$A$300,0)),""))</f>
        <v>0</v>
      </c>
    </row>
    <row r="5" spans="1:24" x14ac:dyDescent="0.45">
      <c r="A5" s="1" t="s">
        <v>142</v>
      </c>
      <c r="B5" s="1" t="str">
        <f>IF($A5="","",IFERROR(INDEX('INPUT-SIF_Questions'!$H$2:$H$1000,MATCH($A5,'INPUT-SIF_Questions'!$A$2:$A$1000,0)),""))</f>
        <v>GD</v>
      </c>
      <c r="C5" s="3" t="str">
        <f>IF($A5="","",IFERROR(INDEX('INPUT-SIF_Questions'!$I$2:$I$1000,MATCH($A5,'INPUT-SIF_Questions'!$A$2:$A$1000,0)),""))</f>
        <v>Ground Disturbance or Excavation</v>
      </c>
      <c r="D5" s="55">
        <f>IF($A5="","",IFERROR(INDEX('INPUT-SIF_Questions'!$S$2:$S$1000,MATCH($A5,'INPUT-SIF_Questions'!$A$2:$A$1000,0)),""))</f>
        <v>46157</v>
      </c>
      <c r="E5" s="1">
        <f>IF($A5="","",IFERROR(INDEX('INPUT-SIF_Questions'!$V$2:$V$1000,MATCH($A5,'INPUT-SIF_Questions'!$A$2:$A$1000,0)),""))</f>
        <v>13</v>
      </c>
      <c r="F5" s="1" t="str">
        <f>IF($A5="","",IFERROR(INDEX('INPUT-SIF_Questions'!$W$2:$W$1000,MATCH($A5,'INPUT-SIF_Questions'!$A$2:$A$1000,0)),""))</f>
        <v>CPP DONGGI</v>
      </c>
      <c r="G5" s="3" t="str">
        <f>IF($A5="","",IFERROR(INDEX('INPUT-SIF_Questions'!$X$2:$X$1000,MATCH($A5,'INPUT-SIF_Questions'!$A$2:$A$1000,0)),""))</f>
        <v>Hydrant Line Area</v>
      </c>
      <c r="H5" s="3" t="str">
        <f>IF($A5="","",IFERROR(INDEX('INPUT-SIF_Questions'!$Y$2:$Y$1000,MATCH($A5,'INPUT-SIF_Questions'!$A$2:$A$1000,0)),""))</f>
        <v>Excavation for Hydrant Pipe Leak Repair</v>
      </c>
      <c r="I5" s="1" t="str">
        <f>IF($A5="","",IFERROR(INDEX('INPUT-SIF_Questions'!$Z$2:$Z$1000,MATCH($A5,'INPUT-SIF_Questions'!$A$2:$A$1000,0)),""))</f>
        <v>PT Petro Teknik Konstruksi</v>
      </c>
      <c r="J5" s="1" t="str">
        <f>IF($A5="","",IFERROR(INDEX('INPUT-SIF_Questions'!$AA$2:$AA$1000,MATCH($A5,'INPUT-SIF_Questions'!$A$2:$A$1000,0)),""))</f>
        <v>Iman Sudirman</v>
      </c>
      <c r="K5" s="3" t="str">
        <f>IF($A5="","",IFERROR(INDEX('INPUT-SIF_Questions'!$AB$2:$AB$1000,MATCH($A5,'INPUT-SIF_Questions'!$A$2:$A$1000,0)),""))</f>
        <v>Yoga Swara Jeni Pratama</v>
      </c>
      <c r="L5" s="3" t="str">
        <f>IF($A5="","",IFERROR(INDEX('INPUT-SIF_Questions'!$AC$2:$AC$1000,MATCH($A5,'INPUT-SIF_Questions'!$A$2:$A$1000,0)),""))</f>
        <v>Thamar Thalib Mbau</v>
      </c>
      <c r="M5" s="1">
        <f>IF($A5="","",COUNTIFS('INPUT-SIF_Questions'!$A$2:$A$1000,$A5,'INPUT-SIF_Questions'!$M$2:$M$1000,1))</f>
        <v>2</v>
      </c>
      <c r="N5" s="1">
        <f>IF($A5="","",COUNTIFS('INPUT-SIF_Questions'!$A$2:$A$1000,$A5,'INPUT-SIF_Questions'!$N$2:$N$1000,1))</f>
        <v>2</v>
      </c>
      <c r="O5" s="1">
        <f>IF($A5="","",COUNTIFS('INPUT-SIF_Questions'!$A$2:$A$1000,$A5,'INPUT-SIF_Questions'!$O$2:$O$1000,1))</f>
        <v>1</v>
      </c>
      <c r="P5" s="56">
        <f t="shared" si="0"/>
        <v>0.5</v>
      </c>
      <c r="Q5" s="1">
        <f>IF($A5="","",IFERROR(INDEX('INPUT-SIF_Questions'!$B$2:$B$300,MATCH($A5,'INPUT-SIF_Questions'!$A$2:$A$300,0)),""))</f>
        <v>1</v>
      </c>
      <c r="R5" s="1" t="str">
        <f>IF($A5="","",IFERROR(INDEX('INPUT-SIF_Questions'!$C$2:$C$300,MATCH($A5,'INPUT-SIF_Questions'!$A$2:$A$300,0)),""))</f>
        <v>N</v>
      </c>
      <c r="S5" s="1" t="str">
        <f>IF($A5="","",IFERROR(INDEX('INPUT-SIF_Questions'!$F$2:$F$300,MATCH($A5,'INPUT-SIF_Questions'!$A$2:$A$300,0)),""))</f>
        <v>Baseline</v>
      </c>
      <c r="T5" s="1" t="str">
        <f>IF($A5="","",IFERROR(INDEX('INPUT-SIF_Questions'!$G$2:$G$300,MATCH($A5,'INPUT-SIF_Questions'!$A$2:$A$300,0)),""))</f>
        <v>Y</v>
      </c>
      <c r="U5" s="1">
        <f>IF($A5="","",IFERROR(INDEX('INPUT-SIF_Questions'!$E$2:$E$300,MATCH($A5,'INPUT-SIF_Questions'!$A$2:$A$300,0)),""))</f>
        <v>0</v>
      </c>
    </row>
    <row r="6" spans="1:24" x14ac:dyDescent="0.45">
      <c r="A6" s="1" t="s">
        <v>170</v>
      </c>
      <c r="B6" s="1" t="str">
        <f>IF($A6="","",IFERROR(INDEX('INPUT-SIF_Questions'!$H$2:$H$1000,MATCH($A6,'INPUT-SIF_Questions'!$A$2:$A$1000,0)),""))</f>
        <v>WAH</v>
      </c>
      <c r="C6" s="3" t="str">
        <f>IF($A6="","",IFERROR(INDEX('INPUT-SIF_Questions'!$I$2:$I$1000,MATCH($A6,'INPUT-SIF_Questions'!$A$2:$A$1000,0)),""))</f>
        <v>Work at Height</v>
      </c>
      <c r="D6" s="55">
        <f>IF($A6="","",IFERROR(INDEX('INPUT-SIF_Questions'!$S$2:$S$1000,MATCH($A6,'INPUT-SIF_Questions'!$A$2:$A$1000,0)),""))</f>
        <v>46163</v>
      </c>
      <c r="E6" s="1">
        <f>IF($A6="","",IFERROR(INDEX('INPUT-SIF_Questions'!$V$2:$V$1000,MATCH($A6,'INPUT-SIF_Questions'!$A$2:$A$1000,0)),""))</f>
        <v>11</v>
      </c>
      <c r="F6" s="1" t="str">
        <f>IF($A6="","",IFERROR(INDEX('INPUT-SIF_Questions'!$W$2:$W$1000,MATCH($A6,'INPUT-SIF_Questions'!$A$2:$A$1000,0)),""))</f>
        <v>CPP GUNDIH</v>
      </c>
      <c r="G6" s="3" t="str">
        <f>IF($A6="","",IFERROR(INDEX('INPUT-SIF_Questions'!$X$2:$X$1000,MATCH($A6,'INPUT-SIF_Questions'!$A$2:$A$1000,0)),""))</f>
        <v>New GTG Area</v>
      </c>
      <c r="H6" s="3" t="str">
        <f>IF($A6="","",IFERROR(INDEX('INPUT-SIF_Questions'!$Y$2:$Y$1000,MATCH($A6,'INPUT-SIF_Questions'!$A$2:$A$1000,0)),""))</f>
        <v>Erection Struktur Shelter New GTG</v>
      </c>
      <c r="I6" s="1" t="str">
        <f>IF($A6="","",IFERROR(INDEX('INPUT-SIF_Questions'!$Z$2:$Z$1000,MATCH($A6,'INPUT-SIF_Questions'!$A$2:$A$1000,0)),""))</f>
        <v>PT Petrowell Energy</v>
      </c>
      <c r="J6" s="1" t="str">
        <f>IF($A6="","",IFERROR(INDEX('INPUT-SIF_Questions'!$AA$2:$AA$1000,MATCH($A6,'INPUT-SIF_Questions'!$A$2:$A$1000,0)),""))</f>
        <v>Iman Sudirman</v>
      </c>
      <c r="K6" s="3" t="str">
        <f>IF($A6="","",IFERROR(INDEX('INPUT-SIF_Questions'!$AB$2:$AB$1000,MATCH($A6,'INPUT-SIF_Questions'!$A$2:$A$1000,0)),""))</f>
        <v>Andy Kurniawan</v>
      </c>
      <c r="L6" s="3" t="str">
        <f>IF($A6="","",IFERROR(INDEX('INPUT-SIF_Questions'!$AC$2:$AC$1000,MATCH($A6,'INPUT-SIF_Questions'!$A$2:$A$1000,0)),""))</f>
        <v>Angga Saptya Pratama &amp; Aldila Faza Zulfah</v>
      </c>
      <c r="M6" s="1">
        <f>IF($A6="","",COUNTIFS('INPUT-SIF_Questions'!$A$2:$A$1000,$A6,'INPUT-SIF_Questions'!$M$2:$M$1000,1))</f>
        <v>3</v>
      </c>
      <c r="N6" s="1">
        <f>IF($A6="","",COUNTIFS('INPUT-SIF_Questions'!$A$2:$A$1000,$A6,'INPUT-SIF_Questions'!$N$2:$N$1000,1))</f>
        <v>6</v>
      </c>
      <c r="O6" s="1">
        <f>IF($A6="","",COUNTIFS('INPUT-SIF_Questions'!$A$2:$A$1000,$A6,'INPUT-SIF_Questions'!$O$2:$O$1000,1))</f>
        <v>0</v>
      </c>
      <c r="P6" s="56">
        <f t="shared" si="0"/>
        <v>0.33333333333333331</v>
      </c>
      <c r="Q6" s="1">
        <f>IF($A6="","",IFERROR(INDEX('INPUT-SIF_Questions'!$B$2:$B$300,MATCH($A6,'INPUT-SIF_Questions'!$A$2:$A$300,0)),""))</f>
        <v>1</v>
      </c>
      <c r="R6" s="1" t="str">
        <f>IF($A6="","",IFERROR(INDEX('INPUT-SIF_Questions'!$C$2:$C$300,MATCH($A6,'INPUT-SIF_Questions'!$A$2:$A$300,0)),""))</f>
        <v>N</v>
      </c>
      <c r="S6" s="1" t="str">
        <f>IF($A6="","",IFERROR(INDEX('INPUT-SIF_Questions'!$F$2:$F$300,MATCH($A6,'INPUT-SIF_Questions'!$A$2:$A$300,0)),""))</f>
        <v>Baseline</v>
      </c>
      <c r="T6" s="1" t="str">
        <f>IF($A6="","",IFERROR(INDEX('INPUT-SIF_Questions'!$G$2:$G$300,MATCH($A6,'INPUT-SIF_Questions'!$A$2:$A$300,0)),""))</f>
        <v>Y</v>
      </c>
      <c r="U6" s="1">
        <f>IF($A6="","",IFERROR(INDEX('INPUT-SIF_Questions'!$E$2:$E$300,MATCH($A6,'INPUT-SIF_Questions'!$A$2:$A$300,0)),""))</f>
        <v>0</v>
      </c>
    </row>
    <row r="7" spans="1:24" x14ac:dyDescent="0.45">
      <c r="A7" s="2" t="s">
        <v>189</v>
      </c>
      <c r="B7" s="2" t="str">
        <f>IF($A7="","",IFERROR(INDEX('INPUT-SIF_Questions'!$H$2:$H$1000,MATCH($A7,'INPUT-SIF_Questions'!$A$2:$A$1000,0)),""))</f>
        <v>WAH</v>
      </c>
      <c r="C7" s="18" t="str">
        <f>IF($A7="","",IFERROR(INDEX('INPUT-SIF_Questions'!$I$2:$I$1000,MATCH($A7,'INPUT-SIF_Questions'!$A$2:$A$1000,0)),""))</f>
        <v>Work at Height</v>
      </c>
      <c r="D7" s="57">
        <f>IF($A7="","",IFERROR(INDEX('INPUT-SIF_Questions'!$S$2:$S$1000,MATCH($A7,'INPUT-SIF_Questions'!$A$2:$A$1000,0)),""))</f>
        <v>46164</v>
      </c>
      <c r="E7" s="2">
        <f>IF($A7="","",IFERROR(INDEX('INPUT-SIF_Questions'!$V$2:$V$1000,MATCH($A7,'INPUT-SIF_Questions'!$A$2:$A$1000,0)),""))</f>
        <v>11</v>
      </c>
      <c r="F7" s="2" t="str">
        <f>IF($A7="","",IFERROR(INDEX('INPUT-SIF_Questions'!$W$2:$W$1000,MATCH($A7,'INPUT-SIF_Questions'!$A$2:$A$1000,0)),""))</f>
        <v>CPP GUNDIH</v>
      </c>
      <c r="G7" s="18" t="str">
        <f>IF($A7="","",IFERROR(INDEX('INPUT-SIF_Questions'!$X$2:$X$1000,MATCH($A7,'INPUT-SIF_Questions'!$A$2:$A$1000,0)),""))</f>
        <v>GSU / existing pipe rack near New Structure Heat Exchanger</v>
      </c>
      <c r="H7" s="18" t="str">
        <f>IF($A7="","",IFERROR(INDEX('INPUT-SIF_Questions'!$Y$2:$Y$1000,MATCH($A7,'INPUT-SIF_Questions'!$A$2:$A$1000,0)),""))</f>
        <v>Scaffolding / Work at Height at Heat Exchanger area</v>
      </c>
      <c r="I7" s="2" t="str">
        <f>IF($A7="","",IFERROR(INDEX('INPUT-SIF_Questions'!$Z$2:$Z$1000,MATCH($A7,'INPUT-SIF_Questions'!$A$2:$A$1000,0)),""))</f>
        <v>BUMDES (Subcont. PETROWELL ENERGY)</v>
      </c>
      <c r="J7" s="2" t="str">
        <f>IF($A7="","",IFERROR(INDEX('INPUT-SIF_Questions'!$AA$2:$AA$1000,MATCH($A7,'INPUT-SIF_Questions'!$A$2:$A$1000,0)),""))</f>
        <v>Andy Kurniawan</v>
      </c>
      <c r="K7" s="18" t="str">
        <f>IF($A7="","",IFERROR(INDEX('INPUT-SIF_Questions'!$AB$2:$AB$1000,MATCH($A7,'INPUT-SIF_Questions'!$A$2:$A$1000,0)),""))</f>
        <v>Iman Sudirman</v>
      </c>
      <c r="L7" s="18" t="str">
        <f>IF($A7="","",IFERROR(INDEX('INPUT-SIF_Questions'!$AC$2:$AC$1000,MATCH($A7,'INPUT-SIF_Questions'!$A$2:$A$1000,0)),""))</f>
        <v>Aldila Faza Zulfah</v>
      </c>
      <c r="M7" s="1">
        <f>IF($A7="","",COUNTIFS('INPUT-SIF_Questions'!$A$2:$A$1000,$A7,'INPUT-SIF_Questions'!$M$2:$M$1000,1))</f>
        <v>3</v>
      </c>
      <c r="N7" s="1">
        <f>IF($A7="","",COUNTIFS('INPUT-SIF_Questions'!$A$2:$A$1000,$A7,'INPUT-SIF_Questions'!$N$2:$N$1000,1))</f>
        <v>6</v>
      </c>
      <c r="O7" s="1">
        <f>IF($A7="","",COUNTIFS('INPUT-SIF_Questions'!$A$2:$A$1000,$A7,'INPUT-SIF_Questions'!$O$2:$O$1000,1))</f>
        <v>0</v>
      </c>
      <c r="P7" s="58">
        <f t="shared" si="0"/>
        <v>0.33333333333333331</v>
      </c>
      <c r="Q7" s="2">
        <f>IF($A7="","",IFERROR(INDEX('INPUT-SIF_Questions'!$B$2:$B$300,MATCH($A7,'INPUT-SIF_Questions'!$A$2:$A$300,0)),""))</f>
        <v>1</v>
      </c>
      <c r="R7" s="2" t="str">
        <f>IF($A7="","",IFERROR(INDEX('INPUT-SIF_Questions'!$C$2:$C$300,MATCH($A7,'INPUT-SIF_Questions'!$A$2:$A$300,0)),""))</f>
        <v>N</v>
      </c>
      <c r="S7" s="2" t="str">
        <f>IF($A7="","",IFERROR(INDEX('INPUT-SIF_Questions'!$F$2:$F$300,MATCH($A7,'INPUT-SIF_Questions'!$A$2:$A$300,0)),""))</f>
        <v>Baseline</v>
      </c>
      <c r="T7" s="1" t="str">
        <f>IF($A7="","",IFERROR(INDEX('INPUT-SIF_Questions'!$G$2:$G$300,MATCH($A7,'INPUT-SIF_Questions'!$A$2:$A$300,0)),""))</f>
        <v>Y</v>
      </c>
      <c r="U7" s="1">
        <f>IF($A7="","",IFERROR(INDEX('INPUT-SIF_Questions'!$E$2:$E$300,MATCH($A7,'INPUT-SIF_Questions'!$A$2:$A$300,0)),""))</f>
        <v>0</v>
      </c>
    </row>
    <row r="8" spans="1:24" x14ac:dyDescent="0.45">
      <c r="A8" s="2" t="s">
        <v>206</v>
      </c>
      <c r="B8" s="2" t="str">
        <f>IF($A8="","",IFERROR(INDEX('INPUT-SIF_Questions'!$H$2:$H$1000,MATCH($A8,'INPUT-SIF_Questions'!$A$2:$A$1000,0)),""))</f>
        <v>CSE</v>
      </c>
      <c r="C8" s="18" t="str">
        <f>IF($A8="","",IFERROR(INDEX('INPUT-SIF_Questions'!$I$2:$I$1000,MATCH($A8,'INPUT-SIF_Questions'!$A$2:$A$1000,0)),""))</f>
        <v>Confined Space Entry</v>
      </c>
      <c r="D8" s="57">
        <f>IF($A8="","",IFERROR(INDEX('INPUT-SIF_Questions'!$S$2:$S$1000,MATCH($A8,'INPUT-SIF_Questions'!$A$2:$A$1000,0)),""))</f>
        <v>46177</v>
      </c>
      <c r="E8" s="2">
        <f>IF($A8="","",IFERROR(INDEX('INPUT-SIF_Questions'!$V$2:$V$1000,MATCH($A8,'INPUT-SIF_Questions'!$A$2:$A$1000,0)),""))</f>
        <v>11</v>
      </c>
      <c r="F8" s="2" t="str">
        <f>IF($A8="","",IFERROR(INDEX('INPUT-SIF_Questions'!$W$2:$W$1000,MATCH($A8,'INPUT-SIF_Questions'!$A$2:$A$1000,0)),""))</f>
        <v>CPP GUNDIH</v>
      </c>
      <c r="G8" s="18" t="str">
        <f>IF($A8="","",IFERROR(INDEX('INPUT-SIF_Questions'!$X$2:$X$1000,MATCH($A8,'INPUT-SIF_Questions'!$A$2:$A$1000,0)),""))</f>
        <v>Sub Station Building (SSB) / cable tray below SSB</v>
      </c>
      <c r="H8" s="18" t="str">
        <f>IF($A8="","",IFERROR(INDEX('INPUT-SIF_Questions'!$Y$2:$Y$1000,MATCH($A8,'INPUT-SIF_Questions'!$A$2:$A$1000,0)),""))</f>
        <v>Cable pulling in confined space below SSB</v>
      </c>
      <c r="I8" s="2" t="str">
        <f>IF($A8="","",IFERROR(INDEX('INPUT-SIF_Questions'!$Z$2:$Z$1000,MATCH($A8,'INPUT-SIF_Questions'!$A$2:$A$1000,0)),""))</f>
        <v>PT. Indoturbine</v>
      </c>
      <c r="J8" s="2" t="str">
        <f>IF($A8="","",IFERROR(INDEX('INPUT-SIF_Questions'!$AA$2:$AA$1000,MATCH($A8,'INPUT-SIF_Questions'!$A$2:$A$1000,0)),""))</f>
        <v>Andy Kurniawan</v>
      </c>
      <c r="K8" s="18" t="str">
        <f>IF($A8="","",IFERROR(INDEX('INPUT-SIF_Questions'!$AB$2:$AB$1000,MATCH($A8,'INPUT-SIF_Questions'!$A$2:$A$1000,0)),""))</f>
        <v>Johan Evvryn</v>
      </c>
      <c r="L8" s="18">
        <f>IF($A8="","",IFERROR(INDEX('INPUT-SIF_Questions'!$AC$2:$AC$1000,MATCH($A8,'INPUT-SIF_Questions'!$A$2:$A$1000,0)),""))</f>
        <v>0</v>
      </c>
      <c r="M8" s="1">
        <f>IF($A8="","",COUNTIFS('INPUT-SIF_Questions'!$A$2:$A$1000,$A8,'INPUT-SIF_Questions'!$M$2:$M$1000,1))</f>
        <v>4</v>
      </c>
      <c r="N8" s="1">
        <f>IF($A8="","",COUNTIFS('INPUT-SIF_Questions'!$A$2:$A$1000,$A8,'INPUT-SIF_Questions'!$N$2:$N$1000,1))</f>
        <v>2</v>
      </c>
      <c r="O8" s="1">
        <f>IF($A8="","",COUNTIFS('INPUT-SIF_Questions'!$A$2:$A$1000,$A8,'INPUT-SIF_Questions'!$O$2:$O$1000,1))</f>
        <v>1</v>
      </c>
      <c r="P8" s="58">
        <f t="shared" si="0"/>
        <v>0.66666666666666663</v>
      </c>
      <c r="Q8" s="2">
        <f>IF($A8="","",IFERROR(INDEX('INPUT-SIF_Questions'!$B$2:$B$300,MATCH($A8,'INPUT-SIF_Questions'!$A$2:$A$300,0)),""))</f>
        <v>1</v>
      </c>
      <c r="R8" s="2" t="str">
        <f>IF($A8="","",IFERROR(INDEX('INPUT-SIF_Questions'!$C$2:$C$300,MATCH($A8,'INPUT-SIF_Questions'!$A$2:$A$300,0)),""))</f>
        <v>N</v>
      </c>
      <c r="S8" s="2" t="str">
        <f>IF($A8="","",IFERROR(INDEX('INPUT-SIF_Questions'!$F$2:$F$300,MATCH($A8,'INPUT-SIF_Questions'!$A$2:$A$300,0)),""))</f>
        <v>Baseline</v>
      </c>
      <c r="T8" s="1" t="str">
        <f>IF($A8="","",IFERROR(INDEX('INPUT-SIF_Questions'!$G$2:$G$300,MATCH($A8,'INPUT-SIF_Questions'!$A$2:$A$300,0)),""))</f>
        <v>Y</v>
      </c>
      <c r="U8" s="1">
        <f>IF($A8="","",IFERROR(INDEX('INPUT-SIF_Questions'!$E$2:$E$300,MATCH($A8,'INPUT-SIF_Questions'!$A$2:$A$300,0)),""))</f>
        <v>0</v>
      </c>
    </row>
    <row r="9" spans="1:24" x14ac:dyDescent="0.45">
      <c r="A9" s="2" t="s">
        <v>245</v>
      </c>
      <c r="B9" s="2" t="str">
        <f>IF($A9="","",IFERROR(INDEX('INPUT-SIF_Questions'!$H$2:$H$1000,MATCH($A9,'INPUT-SIF_Questions'!$A$2:$A$1000,0)),""))</f>
        <v>CSE</v>
      </c>
      <c r="C9" s="18" t="str">
        <f>IF($A9="","",IFERROR(INDEX('INPUT-SIF_Questions'!$I$2:$I$1000,MATCH($A9,'INPUT-SIF_Questions'!$A$2:$A$1000,0)),""))</f>
        <v>Confined Space Entry</v>
      </c>
      <c r="D9" s="57">
        <f>IF($A9="","",IFERROR(INDEX('INPUT-SIF_Questions'!$S$2:$S$1000,MATCH($A9,'INPUT-SIF_Questions'!$A$2:$A$1000,0)),""))</f>
        <v>46178</v>
      </c>
      <c r="E9" s="2">
        <f>IF($A9="","",IFERROR(INDEX('INPUT-SIF_Questions'!$V$2:$V$1000,MATCH($A9,'INPUT-SIF_Questions'!$A$2:$A$1000,0)),""))</f>
        <v>11</v>
      </c>
      <c r="F9" s="2" t="str">
        <f>IF($A9="","",IFERROR(INDEX('INPUT-SIF_Questions'!$W$2:$W$1000,MATCH($A9,'INPUT-SIF_Questions'!$A$2:$A$1000,0)),""))</f>
        <v>MOS MENGGUNG</v>
      </c>
      <c r="G9" s="18" t="str">
        <f>IF($A9="","",IFERROR(INDEX('INPUT-SIF_Questions'!$X$2:$X$1000,MATCH($A9,'INPUT-SIF_Questions'!$A$2:$A$1000,0)),""))</f>
        <v>Tank T-0006</v>
      </c>
      <c r="H9" s="18" t="str">
        <f>IF($A9="","",IFERROR(INDEX('INPUT-SIF_Questions'!$Y$2:$Y$1000,MATCH($A9,'INPUT-SIF_Questions'!$A$2:$A$1000,0)),""))</f>
        <v>Hot work repair bottom floor inside tank</v>
      </c>
      <c r="I9" s="2" t="str">
        <f>IF($A9="","",IFERROR(INDEX('INPUT-SIF_Questions'!$Z$2:$Z$1000,MATCH($A9,'INPUT-SIF_Questions'!$A$2:$A$1000,0)),""))</f>
        <v>PT. EJJV</v>
      </c>
      <c r="J9" s="2" t="str">
        <f>IF($A9="","",IFERROR(INDEX('INPUT-SIF_Questions'!$AA$2:$AA$1000,MATCH($A9,'INPUT-SIF_Questions'!$A$2:$A$1000,0)),""))</f>
        <v>Andy Kurniawan</v>
      </c>
      <c r="K9" s="18" t="str">
        <f>IF($A9="","",IFERROR(INDEX('INPUT-SIF_Questions'!$AB$2:$AB$1000,MATCH($A9,'INPUT-SIF_Questions'!$A$2:$A$1000,0)),""))</f>
        <v>Yoyok / Fahlevy</v>
      </c>
      <c r="L9" s="18" t="str">
        <f>IF($A9="","",IFERROR(INDEX('INPUT-SIF_Questions'!$AC$2:$AC$1000,MATCH($A9,'INPUT-SIF_Questions'!$A$2:$A$1000,0)),""))</f>
        <v>Budi Handoyo</v>
      </c>
      <c r="M9" s="1">
        <f>IF($A9="","",COUNTIFS('INPUT-SIF_Questions'!$A$2:$A$1000,$A9,'INPUT-SIF_Questions'!$M$2:$M$1000,1))</f>
        <v>4</v>
      </c>
      <c r="N9" s="1">
        <f>IF($A9="","",COUNTIFS('INPUT-SIF_Questions'!$A$2:$A$1000,$A9,'INPUT-SIF_Questions'!$N$2:$N$1000,1))</f>
        <v>3</v>
      </c>
      <c r="O9" s="1">
        <f>IF($A9="","",COUNTIFS('INPUT-SIF_Questions'!$A$2:$A$1000,$A9,'INPUT-SIF_Questions'!$O$2:$O$1000,1))</f>
        <v>0</v>
      </c>
      <c r="P9" s="58">
        <f t="shared" si="0"/>
        <v>0.5714285714285714</v>
      </c>
      <c r="Q9" s="2">
        <f>IF($A9="","",IFERROR(INDEX('INPUT-SIF_Questions'!$B$2:$B$300,MATCH($A9,'INPUT-SIF_Questions'!$A$2:$A$300,0)),""))</f>
        <v>1</v>
      </c>
      <c r="R9" s="2" t="str">
        <f>IF($A9="","",IFERROR(INDEX('INPUT-SIF_Questions'!$C$2:$C$300,MATCH($A9,'INPUT-SIF_Questions'!$A$2:$A$300,0)),""))</f>
        <v>N</v>
      </c>
      <c r="S9" s="2" t="str">
        <f>IF($A9="","",IFERROR(INDEX('INPUT-SIF_Questions'!$F$2:$F$300,MATCH($A9,'INPUT-SIF_Questions'!$A$2:$A$300,0)),""))</f>
        <v>Baseline</v>
      </c>
      <c r="T9" s="1" t="str">
        <f>IF($A9="","",IFERROR(INDEX('INPUT-SIF_Questions'!$G$2:$G$300,MATCH($A9,'INPUT-SIF_Questions'!$A$2:$A$300,0)),""))</f>
        <v>Y</v>
      </c>
      <c r="U9" s="1">
        <f>IF($A9="","",IFERROR(INDEX('INPUT-SIF_Questions'!$E$2:$E$300,MATCH($A9,'INPUT-SIF_Questions'!$A$2:$A$300,0)),""))</f>
        <v>0</v>
      </c>
    </row>
    <row r="10" spans="1:24" x14ac:dyDescent="0.45">
      <c r="A10" s="2" t="s">
        <v>264</v>
      </c>
      <c r="B10" s="2" t="str">
        <f>IF($A10="","",IFERROR(INDEX('INPUT-SIF_Questions'!$H$2:$H$1000,MATCH($A10,'INPUT-SIF_Questions'!$A$2:$A$1000,0)),""))</f>
        <v>CSE</v>
      </c>
      <c r="C10" s="18" t="str">
        <f>IF($A10="","",IFERROR(INDEX('INPUT-SIF_Questions'!$I$2:$I$1000,MATCH($A10,'INPUT-SIF_Questions'!$A$2:$A$1000,0)),""))</f>
        <v>Confined Space Entry</v>
      </c>
      <c r="D10" s="57">
        <f>IF($A10="","",IFERROR(INDEX('INPUT-SIF_Questions'!$S$2:$S$1000,MATCH($A10,'INPUT-SIF_Questions'!$A$2:$A$1000,0)),""))</f>
        <v>46178</v>
      </c>
      <c r="E10" s="2">
        <f>IF($A10="","",IFERROR(INDEX('INPUT-SIF_Questions'!$V$2:$V$1000,MATCH($A10,'INPUT-SIF_Questions'!$A$2:$A$1000,0)),""))</f>
        <v>11</v>
      </c>
      <c r="F10" s="2" t="str">
        <f>IF($A10="","",IFERROR(INDEX('INPUT-SIF_Questions'!$W$2:$W$1000,MATCH($A10,'INPUT-SIF_Questions'!$A$2:$A$1000,0)),""))</f>
        <v>Gas Plant Lengowangi</v>
      </c>
      <c r="G10" s="18" t="str">
        <f>IF($A10="","",IFERROR(INDEX('INPUT-SIF_Questions'!$X$2:$X$1000,MATCH($A10,'INPUT-SIF_Questions'!$A$2:$A$1000,0)),""))</f>
        <v>Condensate Tank TK-5600 A/B</v>
      </c>
      <c r="H10" s="18" t="str">
        <f>IF($A10="","",IFERROR(INDEX('INPUT-SIF_Questions'!$Y$2:$Y$1000,MATCH($A10,'INPUT-SIF_Questions'!$A$2:$A$1000,0)),""))</f>
        <v>Blasting painting inside condensate tank</v>
      </c>
      <c r="I10" s="2" t="str">
        <f>IF($A10="","",IFERROR(INDEX('INPUT-SIF_Questions'!$Z$2:$Z$1000,MATCH($A10,'INPUT-SIF_Questions'!$A$2:$A$1000,0)),""))</f>
        <v>PT. EJJV</v>
      </c>
      <c r="J10" s="2" t="str">
        <f>IF($A10="","",IFERROR(INDEX('INPUT-SIF_Questions'!$AA$2:$AA$1000,MATCH($A10,'INPUT-SIF_Questions'!$A$2:$A$1000,0)),""))</f>
        <v>Andy Kurniawan</v>
      </c>
      <c r="K10" s="18" t="str">
        <f>IF($A10="","",IFERROR(INDEX('INPUT-SIF_Questions'!$AB$2:$AB$1000,MATCH($A10,'INPUT-SIF_Questions'!$A$2:$A$1000,0)),""))</f>
        <v>Ghofur / Wisnu / Angga Wahyu</v>
      </c>
      <c r="L10" s="18" t="str">
        <f>IF($A10="","",IFERROR(INDEX('INPUT-SIF_Questions'!$AC$2:$AC$1000,MATCH($A10,'INPUT-SIF_Questions'!$A$2:$A$1000,0)),""))</f>
        <v>M. Sadad / Slamet</v>
      </c>
      <c r="M10" s="1">
        <f>IF($A10="","",COUNTIFS('INPUT-SIF_Questions'!$A$2:$A$1000,$A10,'INPUT-SIF_Questions'!$M$2:$M$1000,1))</f>
        <v>4</v>
      </c>
      <c r="N10" s="1">
        <f>IF($A10="","",COUNTIFS('INPUT-SIF_Questions'!$A$2:$A$1000,$A10,'INPUT-SIF_Questions'!$N$2:$N$1000,1))</f>
        <v>3</v>
      </c>
      <c r="O10" s="1">
        <f>IF($A10="","",COUNTIFS('INPUT-SIF_Questions'!$A$2:$A$1000,$A10,'INPUT-SIF_Questions'!$O$2:$O$1000,1))</f>
        <v>0</v>
      </c>
      <c r="P10" s="58">
        <f t="shared" si="0"/>
        <v>0.5714285714285714</v>
      </c>
      <c r="Q10" s="2">
        <f>IF($A10="","",IFERROR(INDEX('INPUT-SIF_Questions'!$B$2:$B$300,MATCH($A10,'INPUT-SIF_Questions'!$A$2:$A$300,0)),""))</f>
        <v>1</v>
      </c>
      <c r="R10" s="2" t="str">
        <f>IF($A10="","",IFERROR(INDEX('INPUT-SIF_Questions'!$C$2:$C$300,MATCH($A10,'INPUT-SIF_Questions'!$A$2:$A$300,0)),""))</f>
        <v>N</v>
      </c>
      <c r="S10" s="2" t="str">
        <f>IF($A10="","",IFERROR(INDEX('INPUT-SIF_Questions'!$F$2:$F$300,MATCH($A10,'INPUT-SIF_Questions'!$A$2:$A$300,0)),""))</f>
        <v>Baseline</v>
      </c>
      <c r="T10" s="1" t="str">
        <f>IF($A10="","",IFERROR(INDEX('INPUT-SIF_Questions'!$G$2:$G$300,MATCH($A10,'INPUT-SIF_Questions'!$A$2:$A$300,0)),""))</f>
        <v>Y</v>
      </c>
      <c r="U10" s="1">
        <f>IF($A10="","",IFERROR(INDEX('INPUT-SIF_Questions'!$E$2:$E$300,MATCH($A10,'INPUT-SIF_Questions'!$A$2:$A$300,0)),""))</f>
        <v>0</v>
      </c>
    </row>
    <row r="11" spans="1:24" x14ac:dyDescent="0.45">
      <c r="A11" s="2" t="s">
        <v>275</v>
      </c>
      <c r="B11" s="2" t="str">
        <f>IF($A11="","",IFERROR(INDEX('INPUT-SIF_Questions'!$H$2:$H$1000,MATCH($A11,'INPUT-SIF_Questions'!$A$2:$A$1000,0)),""))</f>
        <v>WAH</v>
      </c>
      <c r="C11" s="18" t="str">
        <f>IF($A11="","",IFERROR(INDEX('INPUT-SIF_Questions'!$I$2:$I$1000,MATCH($A11,'INPUT-SIF_Questions'!$A$2:$A$1000,0)),""))</f>
        <v>Work at Height</v>
      </c>
      <c r="D11" s="57">
        <f>IF($A11="","",IFERROR(INDEX('INPUT-SIF_Questions'!$S$2:$S$1000,MATCH($A11,'INPUT-SIF_Questions'!$A$2:$A$1000,0)),""))</f>
        <v>46177</v>
      </c>
      <c r="E11" s="2">
        <f>IF($A11="","",IFERROR(INDEX('INPUT-SIF_Questions'!$V$2:$V$1000,MATCH($A11,'INPUT-SIF_Questions'!$A$2:$A$1000,0)),""))</f>
        <v>11</v>
      </c>
      <c r="F11" s="2" t="str">
        <f>IF($A11="","",IFERROR(INDEX('INPUT-SIF_Questions'!$W$2:$W$1000,MATCH($A11,'INPUT-SIF_Questions'!$A$2:$A$1000,0)),""))</f>
        <v>CPP GUNDIH</v>
      </c>
      <c r="G11" s="18" t="str">
        <f>IF($A11="","",IFERROR(INDEX('INPUT-SIF_Questions'!$X$2:$X$1000,MATCH($A11,'INPUT-SIF_Questions'!$A$2:$A$1000,0)),""))</f>
        <v>New Heat Exchanger steel structure / scaffolding</v>
      </c>
      <c r="H11" s="18" t="str">
        <f>IF($A11="","",IFERROR(INDEX('INPUT-SIF_Questions'!$Y$2:$Y$1000,MATCH($A11,'INPUT-SIF_Questions'!$A$2:$A$1000,0)),""))</f>
        <v>Install steel structure new HE CPP Gundih</v>
      </c>
      <c r="I11" s="2" t="str">
        <f>IF($A11="","",IFERROR(INDEX('INPUT-SIF_Questions'!$Z$2:$Z$1000,MATCH($A11,'INPUT-SIF_Questions'!$A$2:$A$1000,0)),""))</f>
        <v>PT. PETROWELL ENERGY</v>
      </c>
      <c r="J11" s="2" t="str">
        <f>IF($A11="","",IFERROR(INDEX('INPUT-SIF_Questions'!$AA$2:$AA$1000,MATCH($A11,'INPUT-SIF_Questions'!$A$2:$A$1000,0)),""))</f>
        <v>Andy Kurniawan</v>
      </c>
      <c r="K11" s="18" t="str">
        <f>IF($A11="","",IFERROR(INDEX('INPUT-SIF_Questions'!$AB$2:$AB$1000,MATCH($A11,'INPUT-SIF_Questions'!$A$2:$A$1000,0)),""))</f>
        <v>Johan</v>
      </c>
      <c r="L11" s="18" t="str">
        <f>IF($A11="","",IFERROR(INDEX('INPUT-SIF_Questions'!$AC$2:$AC$1000,MATCH($A11,'INPUT-SIF_Questions'!$A$2:$A$1000,0)),""))</f>
        <v>Anwar</v>
      </c>
      <c r="M11" s="1">
        <f>IF($A11="","",COUNTIFS('INPUT-SIF_Questions'!$A$2:$A$1000,$A11,'INPUT-SIF_Questions'!$M$2:$M$1000,1))</f>
        <v>2</v>
      </c>
      <c r="N11" s="1">
        <f>IF($A11="","",COUNTIFS('INPUT-SIF_Questions'!$A$2:$A$1000,$A11,'INPUT-SIF_Questions'!$N$2:$N$1000,1))</f>
        <v>7</v>
      </c>
      <c r="O11" s="1">
        <f>IF($A11="","",COUNTIFS('INPUT-SIF_Questions'!$A$2:$A$1000,$A11,'INPUT-SIF_Questions'!$O$2:$O$1000,1))</f>
        <v>0</v>
      </c>
      <c r="P11" s="58">
        <f t="shared" si="0"/>
        <v>0.22222222222222221</v>
      </c>
      <c r="Q11" s="2">
        <f>IF($A11="","",IFERROR(INDEX('INPUT-SIF_Questions'!$B$2:$B$300,MATCH($A11,'INPUT-SIF_Questions'!$A$2:$A$300,0)),""))</f>
        <v>1</v>
      </c>
      <c r="R11" s="2" t="str">
        <f>IF($A11="","",IFERROR(INDEX('INPUT-SIF_Questions'!$C$2:$C$300,MATCH($A11,'INPUT-SIF_Questions'!$A$2:$A$300,0)),""))</f>
        <v>N</v>
      </c>
      <c r="S11" s="2" t="str">
        <f>IF($A11="","",IFERROR(INDEX('INPUT-SIF_Questions'!$F$2:$F$300,MATCH($A11,'INPUT-SIF_Questions'!$A$2:$A$300,0)),""))</f>
        <v>Baseline</v>
      </c>
      <c r="T11" s="1" t="str">
        <f>IF($A11="","",IFERROR(INDEX('INPUT-SIF_Questions'!$G$2:$G$300,MATCH($A11,'INPUT-SIF_Questions'!$A$2:$A$300,0)),""))</f>
        <v>Y</v>
      </c>
      <c r="U11" s="1">
        <f>IF($A11="","",IFERROR(INDEX('INPUT-SIF_Questions'!$E$2:$E$300,MATCH($A11,'INPUT-SIF_Questions'!$A$2:$A$300,0)),""))</f>
        <v>0</v>
      </c>
    </row>
    <row r="12" spans="1:24" x14ac:dyDescent="0.45">
      <c r="A12" s="2" t="s">
        <v>291</v>
      </c>
      <c r="B12" s="2" t="str">
        <f>IF($A12="","",IFERROR(INDEX('INPUT-SIF_Questions'!$H$2:$H$1000,MATCH($A12,'INPUT-SIF_Questions'!$A$2:$A$1000,0)),""))</f>
        <v>HW</v>
      </c>
      <c r="C12" s="18" t="str">
        <f>IF($A12="","",IFERROR(INDEX('INPUT-SIF_Questions'!$I$2:$I$1000,MATCH($A12,'INPUT-SIF_Questions'!$A$2:$A$1000,0)),""))</f>
        <v>Hot Work</v>
      </c>
      <c r="D12" s="57">
        <f>IF($A12="","",IFERROR(INDEX('INPUT-SIF_Questions'!$S$2:$S$1000,MATCH($A12,'INPUT-SIF_Questions'!$A$2:$A$1000,0)),""))</f>
        <v>46178</v>
      </c>
      <c r="E12" s="2">
        <f>IF($A12="","",IFERROR(INDEX('INPUT-SIF_Questions'!$V$2:$V$1000,MATCH($A12,'INPUT-SIF_Questions'!$A$2:$A$1000,0)),""))</f>
        <v>11</v>
      </c>
      <c r="F12" s="2" t="str">
        <f>IF($A12="","",IFERROR(INDEX('INPUT-SIF_Questions'!$W$2:$W$1000,MATCH($A12,'INPUT-SIF_Questions'!$A$2:$A$1000,0)),""))</f>
        <v>MOS MENGGUNG</v>
      </c>
      <c r="G12" s="18" t="str">
        <f>IF($A12="","",IFERROR(INDEX('INPUT-SIF_Questions'!$X$2:$X$1000,MATCH($A12,'INPUT-SIF_Questions'!$A$2:$A$1000,0)),""))</f>
        <v>Tank T-006</v>
      </c>
      <c r="H12" s="18" t="str">
        <f>IF($A12="","",IFERROR(INDEX('INPUT-SIF_Questions'!$Y$2:$Y$1000,MATCH($A12,'INPUT-SIF_Questions'!$A$2:$A$1000,0)),""))</f>
        <v>Hot work repair bottom floor inside Tank T-006</v>
      </c>
      <c r="I12" s="2" t="str">
        <f>IF($A12="","",IFERROR(INDEX('INPUT-SIF_Questions'!$Z$2:$Z$1000,MATCH($A12,'INPUT-SIF_Questions'!$A$2:$A$1000,0)),""))</f>
        <v>PT. EJJV</v>
      </c>
      <c r="J12" s="2" t="str">
        <f>IF($A12="","",IFERROR(INDEX('INPUT-SIF_Questions'!$AA$2:$AA$1000,MATCH($A12,'INPUT-SIF_Questions'!$A$2:$A$1000,0)),""))</f>
        <v>Andy Kurniawan</v>
      </c>
      <c r="K12" s="18" t="str">
        <f>IF($A12="","",IFERROR(INDEX('INPUT-SIF_Questions'!$AB$2:$AB$1000,MATCH($A12,'INPUT-SIF_Questions'!$A$2:$A$1000,0)),""))</f>
        <v>Yoyok / Fahlevy</v>
      </c>
      <c r="L12" s="18" t="str">
        <f>IF($A12="","",IFERROR(INDEX('INPUT-SIF_Questions'!$AC$2:$AC$1000,MATCH($A12,'INPUT-SIF_Questions'!$A$2:$A$1000,0)),""))</f>
        <v>Budi Handoyo</v>
      </c>
      <c r="M12" s="1">
        <f>IF($A12="","",COUNTIFS('INPUT-SIF_Questions'!$A$2:$A$1000,$A12,'INPUT-SIF_Questions'!$M$2:$M$1000,1))</f>
        <v>3</v>
      </c>
      <c r="N12" s="1">
        <f>IF($A12="","",COUNTIFS('INPUT-SIF_Questions'!$A$2:$A$1000,$A12,'INPUT-SIF_Questions'!$N$2:$N$1000,1))</f>
        <v>4</v>
      </c>
      <c r="O12" s="1">
        <f>IF($A12="","",COUNTIFS('INPUT-SIF_Questions'!$A$2:$A$1000,$A12,'INPUT-SIF_Questions'!$O$2:$O$1000,1))</f>
        <v>0</v>
      </c>
      <c r="P12" s="58">
        <f t="shared" si="0"/>
        <v>0.42857142857142855</v>
      </c>
      <c r="Q12" s="2">
        <f>IF($A12="","",IFERROR(INDEX('INPUT-SIF_Questions'!$B$2:$B$300,MATCH($A12,'INPUT-SIF_Questions'!$A$2:$A$300,0)),""))</f>
        <v>1</v>
      </c>
      <c r="R12" s="2" t="str">
        <f>IF($A12="","",IFERROR(INDEX('INPUT-SIF_Questions'!$C$2:$C$300,MATCH($A12,'INPUT-SIF_Questions'!$A$2:$A$300,0)),""))</f>
        <v>N</v>
      </c>
      <c r="S12" s="2" t="str">
        <f>IF($A12="","",IFERROR(INDEX('INPUT-SIF_Questions'!$F$2:$F$300,MATCH($A12,'INPUT-SIF_Questions'!$A$2:$A$300,0)),""))</f>
        <v>Baseline</v>
      </c>
      <c r="T12" s="1" t="str">
        <f>IF($A12="","",IFERROR(INDEX('INPUT-SIF_Questions'!$G$2:$G$300,MATCH($A12,'INPUT-SIF_Questions'!$A$2:$A$300,0)),""))</f>
        <v>Y</v>
      </c>
      <c r="U12" s="1">
        <f>IF($A12="","",IFERROR(INDEX('INPUT-SIF_Questions'!$E$2:$E$300,MATCH($A12,'INPUT-SIF_Questions'!$A$2:$A$300,0)),""))</f>
        <v>0</v>
      </c>
    </row>
    <row r="13" spans="1:24" ht="14.25" customHeight="1" x14ac:dyDescent="0.45">
      <c r="A13" s="2" t="s">
        <v>321</v>
      </c>
      <c r="B13" s="2" t="str">
        <f>IF($A13="","",IFERROR(INDEX('INPUT-SIF_Questions'!$H$2:$H$1000,MATCH($A13,'INPUT-SIF_Questions'!$A$2:$A$1000,0)),""))</f>
        <v>WAH</v>
      </c>
      <c r="C13" s="18" t="str">
        <f>IF($A13="","",IFERROR(INDEX('INPUT-SIF_Questions'!$I$2:$I$1000,MATCH($A13,'INPUT-SIF_Questions'!$A$2:$A$1000,0)),""))</f>
        <v>Work at Height</v>
      </c>
      <c r="D13" s="57">
        <f>IF($A13="","",IFERROR(INDEX('INPUT-SIF_Questions'!$S$2:$S$1000,MATCH($A13,'INPUT-SIF_Questions'!$A$2:$A$1000,0)),""))</f>
        <v>46209</v>
      </c>
      <c r="E13" s="2">
        <f>IF($A13="","",IFERROR(INDEX('INPUT-SIF_Questions'!$V$2:$V$1000,MATCH($A13,'INPUT-SIF_Questions'!$A$2:$A$1000,0)),""))</f>
        <v>12</v>
      </c>
      <c r="F13" s="2" t="str">
        <f>IF($A13="","",IFERROR(INDEX('INPUT-SIF_Questions'!$W$2:$W$1000,MATCH($A13,'INPUT-SIF_Questions'!$A$2:$A$1000,0)),""))</f>
        <v>JTB GPF</v>
      </c>
      <c r="G13" s="18" t="str">
        <f>IF($A13="","",IFERROR(INDEX('INPUT-SIF_Questions'!$X$2:$X$1000,MATCH($A13,'INPUT-SIF_Questions'!$A$2:$A$1000,0)),""))</f>
        <v>Unit 241 - H2S Removal / Flare Line Pipe Rack</v>
      </c>
      <c r="H13" s="18" t="str">
        <f>IF($A13="","",IFERROR(INDEX('INPUT-SIF_Questions'!$Y$2:$Y$1000,MATCH($A13,'INPUT-SIF_Questions'!$A$2:$A$1000,0)),""))</f>
        <v>Install &amp; dismantle scaffolding for NDT UT flare header 475-LF &amp; 470-HF 32" at ~10 m</v>
      </c>
      <c r="I13" s="2" t="str">
        <f>IF($A13="","",IFERROR(INDEX('INPUT-SIF_Questions'!$Z$2:$Z$1000,MATCH($A13,'INPUT-SIF_Questions'!$A$2:$A$1000,0)),""))</f>
        <v>PT Tripatra</v>
      </c>
      <c r="J13" s="2" t="str">
        <f>IF($A13="","",IFERROR(INDEX('INPUT-SIF_Questions'!$AA$2:$AA$1000,MATCH($A13,'INPUT-SIF_Questions'!$A$2:$A$1000,0)),""))</f>
        <v>Iman Sudirman</v>
      </c>
      <c r="K13" s="18" t="str">
        <f>IF($A13="","",IFERROR(INDEX('INPUT-SIF_Questions'!$AB$2:$AB$1000,MATCH($A13,'INPUT-SIF_Questions'!$A$2:$A$1000,0)),""))</f>
        <v>Yoseph Gunawan</v>
      </c>
      <c r="L13" s="18" t="str">
        <f>IF($A13="","",IFERROR(INDEX('INPUT-SIF_Questions'!$AC$2:$AC$1000,MATCH($A13,'INPUT-SIF_Questions'!$A$2:$A$1000,0)),""))</f>
        <v>Andy Kurniawan</v>
      </c>
      <c r="M13" s="1">
        <f>IF($A13="","",COUNTIFS('INPUT-SIF_Questions'!$A$2:$A$1000,$A13,'INPUT-SIF_Questions'!$M$2:$M$1000,1))</f>
        <v>3</v>
      </c>
      <c r="N13" s="1">
        <f>IF($A13="","",COUNTIFS('INPUT-SIF_Questions'!$A$2:$A$1000,$A13,'INPUT-SIF_Questions'!$N$2:$N$1000,1))</f>
        <v>6</v>
      </c>
      <c r="O13" s="1">
        <f>IF($A13="","",COUNTIFS('INPUT-SIF_Questions'!$A$2:$A$1000,$A13,'INPUT-SIF_Questions'!$O$2:$O$1000,1))</f>
        <v>0</v>
      </c>
      <c r="P13" s="58">
        <f t="shared" si="0"/>
        <v>0.33333333333333331</v>
      </c>
      <c r="Q13" s="2">
        <f>IF($A13="","",IFERROR(INDEX('INPUT-SIF_Questions'!$B$2:$B$300,MATCH($A13,'INPUT-SIF_Questions'!$A$2:$A$300,0)),""))</f>
        <v>1</v>
      </c>
      <c r="R13" s="2" t="str">
        <f>IF($A13="","",IFERROR(INDEX('INPUT-SIF_Questions'!$C$2:$C$300,MATCH($A13,'INPUT-SIF_Questions'!$A$2:$A$300,0)),""))</f>
        <v>N</v>
      </c>
      <c r="S13" s="2" t="str">
        <f>IF($A13="","",IFERROR(INDEX('INPUT-SIF_Questions'!$F$2:$F$300,MATCH($A13,'INPUT-SIF_Questions'!$A$2:$A$300,0)),""))</f>
        <v>Baseline</v>
      </c>
      <c r="T13" s="1" t="str">
        <f>IF($A13="","",IFERROR(INDEX('INPUT-SIF_Questions'!$G$2:$G$300,MATCH($A13,'INPUT-SIF_Questions'!$A$2:$A$300,0)),""))</f>
        <v>Y</v>
      </c>
      <c r="U13" s="1">
        <f>IF($A13="","",IFERROR(INDEX('INPUT-SIF_Questions'!$E$2:$E$300,MATCH($A13,'INPUT-SIF_Questions'!$A$2:$A$300,0)),""))</f>
        <v>0</v>
      </c>
    </row>
    <row r="14" spans="1:24" ht="14.25" customHeight="1" x14ac:dyDescent="0.45">
      <c r="A14" s="2" t="s">
        <v>333</v>
      </c>
      <c r="B14" s="2" t="str">
        <f>IF($A14="","",IFERROR(INDEX('INPUT-SIF_Questions'!$H$2:$H$1000,MATCH($A14,'INPUT-SIF_Questions'!$A$2:$A$1000,0)),""))</f>
        <v>GD</v>
      </c>
      <c r="C14" s="18" t="str">
        <f>IF($A14="","",IFERROR(INDEX('INPUT-SIF_Questions'!$I$2:$I$1000,MATCH($A14,'INPUT-SIF_Questions'!$A$2:$A$1000,0)),""))</f>
        <v>Ground Disturbance or Excavation</v>
      </c>
      <c r="D14" s="57">
        <f>IF($A14="","",IFERROR(INDEX('INPUT-SIF_Questions'!$S$2:$S$1000,MATCH($A14,'INPUT-SIF_Questions'!$A$2:$A$1000,0)),""))</f>
        <v>46211</v>
      </c>
      <c r="E14" s="2">
        <f>IF($A14="","",IFERROR(INDEX('INPUT-SIF_Questions'!$V$2:$V$1000,MATCH($A14,'INPUT-SIF_Questions'!$A$2:$A$1000,0)),""))</f>
        <v>12</v>
      </c>
      <c r="F14" s="2" t="str">
        <f>IF($A14="","",IFERROR(INDEX('INPUT-SIF_Questions'!$W$2:$W$1000,MATCH($A14,'INPUT-SIF_Questions'!$A$2:$A$1000,0)),""))</f>
        <v>JTB Gas Plant</v>
      </c>
      <c r="G14" s="18" t="str">
        <f>IF($A14="","",IFERROR(INDEX('INPUT-SIF_Questions'!$X$2:$X$1000,MATCH($A14,'INPUT-SIF_Questions'!$A$2:$A$1000,0)),""))</f>
        <v>Warehouse Atas JTB Gas Plant</v>
      </c>
      <c r="H14" s="18" t="str">
        <f>IF($A14="","",IFERROR(INDEX('INPUT-SIF_Questions'!$Y$2:$Y$1000,MATCH($A14,'INPUT-SIF_Questions'!$A$2:$A$1000,0)),""))</f>
        <v>Pembuatan Jalan Beton / Rigid Pavement &amp; Power Cable &amp; Pipe Crossing</v>
      </c>
      <c r="I14" s="2" t="str">
        <f>IF($A14="","",IFERROR(INDEX('INPUT-SIF_Questions'!$Z$2:$Z$1000,MATCH($A14,'INPUT-SIF_Questions'!$A$2:$A$1000,0)),""))</f>
        <v>PT. Metrindo</v>
      </c>
      <c r="J14" s="2" t="str">
        <f>IF($A14="","",IFERROR(INDEX('INPUT-SIF_Questions'!$AA$2:$AA$1000,MATCH($A14,'INPUT-SIF_Questions'!$A$2:$A$1000,0)),""))</f>
        <v>Andy Kurniawan</v>
      </c>
      <c r="K14" s="18" t="str">
        <f>IF($A14="","",IFERROR(INDEX('INPUT-SIF_Questions'!$AB$2:$AB$1000,MATCH($A14,'INPUT-SIF_Questions'!$A$2:$A$1000,0)),""))</f>
        <v>Tinoto</v>
      </c>
      <c r="L14" s="18">
        <f>IF($A14="","",IFERROR(INDEX('INPUT-SIF_Questions'!$AC$2:$AC$1000,MATCH($A14,'INPUT-SIF_Questions'!$A$2:$A$1000,0)),""))</f>
        <v>0</v>
      </c>
      <c r="M14" s="1">
        <f>IF($A14="","",COUNTIFS('INPUT-SIF_Questions'!$A$2:$A$1000,$A14,'INPUT-SIF_Questions'!$M$2:$M$1000,1))</f>
        <v>3</v>
      </c>
      <c r="N14" s="1">
        <f>IF($A14="","",COUNTIFS('INPUT-SIF_Questions'!$A$2:$A$1000,$A14,'INPUT-SIF_Questions'!$N$2:$N$1000,1))</f>
        <v>1</v>
      </c>
      <c r="O14" s="1">
        <f>IF($A14="","",COUNTIFS('INPUT-SIF_Questions'!$A$2:$A$1000,$A14,'INPUT-SIF_Questions'!$O$2:$O$1000,1))</f>
        <v>1</v>
      </c>
      <c r="P14" s="58">
        <f t="shared" si="0"/>
        <v>0.75</v>
      </c>
      <c r="Q14" s="2">
        <f>IF($A14="","",IFERROR(INDEX('INPUT-SIF_Questions'!$B$2:$B$300,MATCH($A14,'INPUT-SIF_Questions'!$A$2:$A$300,0)),""))</f>
        <v>1</v>
      </c>
      <c r="R14" s="2" t="str">
        <f>IF($A14="","",IFERROR(INDEX('INPUT-SIF_Questions'!$C$2:$C$300,MATCH($A14,'INPUT-SIF_Questions'!$A$2:$A$300,0)),""))</f>
        <v>N</v>
      </c>
      <c r="S14" s="2" t="str">
        <f>IF($A14="","",IFERROR(INDEX('INPUT-SIF_Questions'!$F$2:$F$300,MATCH($A14,'INPUT-SIF_Questions'!$A$2:$A$300,0)),""))</f>
        <v>Baseline</v>
      </c>
      <c r="T14" s="1" t="str">
        <f>IF($A14="","",IFERROR(INDEX('INPUT-SIF_Questions'!$G$2:$G$300,MATCH($A14,'INPUT-SIF_Questions'!$A$2:$A$300,0)),""))</f>
        <v>Y</v>
      </c>
      <c r="U14" s="1">
        <f>IF($A14="","",IFERROR(INDEX('INPUT-SIF_Questions'!$E$2:$E$300,MATCH($A14,'INPUT-SIF_Questions'!$A$2:$A$300,0)),""))</f>
        <v>0</v>
      </c>
    </row>
    <row r="15" spans="1:24" ht="14.25" customHeight="1" x14ac:dyDescent="0.45">
      <c r="A15" s="2" t="s">
        <v>348</v>
      </c>
      <c r="B15" s="2" t="str">
        <f>IF($A15="","",IFERROR(INDEX('INPUT-SIF_Questions'!$H$2:$H$1000,MATCH($A15,'INPUT-SIF_Questions'!$A$2:$A$1000,0)),""))</f>
        <v>WAH</v>
      </c>
      <c r="C15" s="18" t="str">
        <f>IF($A15="","",IFERROR(INDEX('INPUT-SIF_Questions'!$I$2:$I$1000,MATCH($A15,'INPUT-SIF_Questions'!$A$2:$A$1000,0)),""))</f>
        <v>Work at Height</v>
      </c>
      <c r="D15" s="57">
        <f>IF($A15="","",IFERROR(INDEX('INPUT-SIF_Questions'!$S$2:$S$1000,MATCH($A15,'INPUT-SIF_Questions'!$A$2:$A$1000,0)),""))</f>
        <v>46209</v>
      </c>
      <c r="E15" s="2">
        <f>IF($A15="","",IFERROR(INDEX('INPUT-SIF_Questions'!$V$2:$V$1000,MATCH($A15,'INPUT-SIF_Questions'!$A$2:$A$1000,0)),""))</f>
        <v>12</v>
      </c>
      <c r="F15" s="2" t="str">
        <f>IF($A15="","",IFERROR(INDEX('INPUT-SIF_Questions'!$W$2:$W$1000,MATCH($A15,'INPUT-SIF_Questions'!$A$2:$A$1000,0)),""))</f>
        <v>JTB GPF</v>
      </c>
      <c r="G15" s="18" t="str">
        <f>IF($A15="","",IFERROR(INDEX('INPUT-SIF_Questions'!$X$2:$X$1000,MATCH($A15,'INPUT-SIF_Questions'!$A$2:$A$1000,0)),""))</f>
        <v>Unit 241 - H2S / LP Flare System Removal</v>
      </c>
      <c r="H15" s="18" t="str">
        <f>IF($A15="","",IFERROR(INDEX('INPUT-SIF_Questions'!$Y$2:$Y$1000,MATCH($A15,'INPUT-SIF_Questions'!$A$2:$A$1000,0)),""))</f>
        <v>Robotic NDT pada sistem perpipaan menggunakan RMS/NAV 2 dengan MEWP/scaffolding beserta kamera AORO</v>
      </c>
      <c r="I15" s="2" t="str">
        <f>IF($A15="","",IFERROR(INDEX('INPUT-SIF_Questions'!$Z$2:$Z$1000,MATCH($A15,'INPUT-SIF_Questions'!$A$2:$A$1000,0)),""))</f>
        <v>PT Sucofindo &amp; PT. GTS</v>
      </c>
      <c r="J15" s="2" t="str">
        <f>IF($A15="","",IFERROR(INDEX('INPUT-SIF_Questions'!$AA$2:$AA$1000,MATCH($A15,'INPUT-SIF_Questions'!$A$2:$A$1000,0)),""))</f>
        <v>Iman Sudirman</v>
      </c>
      <c r="K15" s="18" t="str">
        <f>IF($A15="","",IFERROR(INDEX('INPUT-SIF_Questions'!$AB$2:$AB$1000,MATCH($A15,'INPUT-SIF_Questions'!$A$2:$A$1000,0)),""))</f>
        <v>Yoseph Gunawan</v>
      </c>
      <c r="L15" s="18" t="str">
        <f>IF($A15="","",IFERROR(INDEX('INPUT-SIF_Questions'!$AC$2:$AC$1000,MATCH($A15,'INPUT-SIF_Questions'!$A$2:$A$1000,0)),""))</f>
        <v>Andy Kurniawan</v>
      </c>
      <c r="M15" s="1">
        <f>IF($A15="","",COUNTIFS('INPUT-SIF_Questions'!$A$2:$A$1000,$A15,'INPUT-SIF_Questions'!$M$2:$M$1000,1))</f>
        <v>4</v>
      </c>
      <c r="N15" s="1">
        <f>IF($A15="","",COUNTIFS('INPUT-SIF_Questions'!$A$2:$A$1000,$A15,'INPUT-SIF_Questions'!$N$2:$N$1000,1))</f>
        <v>5</v>
      </c>
      <c r="O15" s="1">
        <f>IF($A15="","",COUNTIFS('INPUT-SIF_Questions'!$A$2:$A$1000,$A15,'INPUT-SIF_Questions'!$O$2:$O$1000,1))</f>
        <v>0</v>
      </c>
      <c r="P15" s="58">
        <f t="shared" si="0"/>
        <v>0.44444444444444442</v>
      </c>
      <c r="Q15" s="2">
        <f>IF($A15="","",IFERROR(INDEX('INPUT-SIF_Questions'!$B$2:$B$300,MATCH($A15,'INPUT-SIF_Questions'!$A$2:$A$300,0)),""))</f>
        <v>1</v>
      </c>
      <c r="R15" s="2" t="str">
        <f>IF($A15="","",IFERROR(INDEX('INPUT-SIF_Questions'!$C$2:$C$300,MATCH($A15,'INPUT-SIF_Questions'!$A$2:$A$300,0)),""))</f>
        <v>N</v>
      </c>
      <c r="S15" s="2" t="str">
        <f>IF($A15="","",IFERROR(INDEX('INPUT-SIF_Questions'!$F$2:$F$300,MATCH($A15,'INPUT-SIF_Questions'!$A$2:$A$300,0)),""))</f>
        <v>Baseline</v>
      </c>
      <c r="T15" s="1" t="str">
        <f>IF($A15="","",IFERROR(INDEX('INPUT-SIF_Questions'!$G$2:$G$300,MATCH($A15,'INPUT-SIF_Questions'!$A$2:$A$300,0)),""))</f>
        <v>Y</v>
      </c>
      <c r="U15" s="1">
        <f>IF($A15="","",IFERROR(INDEX('INPUT-SIF_Questions'!$E$2:$E$300,MATCH($A15,'INPUT-SIF_Questions'!$A$2:$A$300,0)),""))</f>
        <v>0</v>
      </c>
    </row>
    <row r="16" spans="1:24" ht="14.25" customHeight="1" x14ac:dyDescent="0.45">
      <c r="A16" s="2" t="s">
        <v>366</v>
      </c>
      <c r="B16" s="2" t="str">
        <f>IF($A16="","",IFERROR(INDEX('INPUT-SIF_Questions'!$H$2:$H$1000,MATCH($A16,'INPUT-SIF_Questions'!$A$2:$A$1000,0)),""))</f>
        <v>WAH</v>
      </c>
      <c r="C16" s="18" t="str">
        <f>IF($A16="","",IFERROR(INDEX('INPUT-SIF_Questions'!$I$2:$I$1000,MATCH($A16,'INPUT-SIF_Questions'!$A$2:$A$1000,0)),""))</f>
        <v>Work at Height</v>
      </c>
      <c r="D16" s="57">
        <f>IF($A16="","",IFERROR(INDEX('INPUT-SIF_Questions'!$S$2:$S$1000,MATCH($A16,'INPUT-SIF_Questions'!$A$2:$A$1000,0)),""))</f>
        <v>46209</v>
      </c>
      <c r="E16" s="2">
        <f>IF($A16="","",IFERROR(INDEX('INPUT-SIF_Questions'!$V$2:$V$1000,MATCH($A16,'INPUT-SIF_Questions'!$A$2:$A$1000,0)),""))</f>
        <v>12</v>
      </c>
      <c r="F16" s="2" t="str">
        <f>IF($A16="","",IFERROR(INDEX('INPUT-SIF_Questions'!$W$2:$W$1000,MATCH($A16,'INPUT-SIF_Questions'!$A$2:$A$1000,0)),""))</f>
        <v>JTB GPF</v>
      </c>
      <c r="G16" s="18" t="str">
        <f>IF($A16="","",IFERROR(INDEX('INPUT-SIF_Questions'!$X$2:$X$1000,MATCH($A16,'INPUT-SIF_Questions'!$A$2:$A$1000,0)),""))</f>
        <v>Unit 241 - H2S Removal / Flare Line Pipe Rack</v>
      </c>
      <c r="H16" s="18" t="str">
        <f>IF($A16="","",IFERROR(INDEX('INPUT-SIF_Questions'!$Y$2:$Y$1000,MATCH($A16,'INPUT-SIF_Questions'!$A$2:$A$1000,0)),""))</f>
        <v>Install &amp; Dismantle scaffolding for NDT UT flare header 475-LF &amp; 470-HF 32" at ~10 m</v>
      </c>
      <c r="I16" s="2" t="str">
        <f>IF($A16="","",IFERROR(INDEX('INPUT-SIF_Questions'!$Z$2:$Z$1000,MATCH($A16,'INPUT-SIF_Questions'!$A$2:$A$1000,0)),""))</f>
        <v>PT Tripatra</v>
      </c>
      <c r="J16" s="2" t="str">
        <f>IF($A16="","",IFERROR(INDEX('INPUT-SIF_Questions'!$AA$2:$AA$1000,MATCH($A16,'INPUT-SIF_Questions'!$A$2:$A$1000,0)),""))</f>
        <v>Iman Sudirman</v>
      </c>
      <c r="K16" s="18" t="str">
        <f>IF($A16="","",IFERROR(INDEX('INPUT-SIF_Questions'!$AB$2:$AB$1000,MATCH($A16,'INPUT-SIF_Questions'!$A$2:$A$1000,0)),""))</f>
        <v>Yoseph Gunawan</v>
      </c>
      <c r="L16" s="18" t="str">
        <f>IF($A16="","",IFERROR(INDEX('INPUT-SIF_Questions'!$AC$2:$AC$1000,MATCH($A16,'INPUT-SIF_Questions'!$A$2:$A$1000,0)),""))</f>
        <v>Andy Kurniawan</v>
      </c>
      <c r="M16" s="1">
        <f>IF($A16="","",COUNTIFS('INPUT-SIF_Questions'!$A$2:$A$1000,$A16,'INPUT-SIF_Questions'!$M$2:$M$1000,1))</f>
        <v>5</v>
      </c>
      <c r="N16" s="1">
        <f>IF($A16="","",COUNTIFS('INPUT-SIF_Questions'!$A$2:$A$1000,$A16,'INPUT-SIF_Questions'!$N$2:$N$1000,1))</f>
        <v>4</v>
      </c>
      <c r="O16" s="1">
        <f>IF($A16="","",COUNTIFS('INPUT-SIF_Questions'!$A$2:$A$1000,$A16,'INPUT-SIF_Questions'!$O$2:$O$1000,1))</f>
        <v>0</v>
      </c>
      <c r="P16" s="58">
        <f t="shared" si="0"/>
        <v>0.55555555555555558</v>
      </c>
      <c r="Q16" s="2">
        <f>IF($A16="","",IFERROR(INDEX('INPUT-SIF_Questions'!$B$2:$B$300,MATCH($A16,'INPUT-SIF_Questions'!$A$2:$A$300,0)),""))</f>
        <v>1</v>
      </c>
      <c r="R16" s="2" t="str">
        <f>IF($A16="","",IFERROR(INDEX('INPUT-SIF_Questions'!$C$2:$C$300,MATCH($A16,'INPUT-SIF_Questions'!$A$2:$A$300,0)),""))</f>
        <v>N</v>
      </c>
      <c r="S16" s="2" t="str">
        <f>IF($A16="","",IFERROR(INDEX('INPUT-SIF_Questions'!$F$2:$F$300,MATCH($A16,'INPUT-SIF_Questions'!$A$2:$A$300,0)),""))</f>
        <v>Baseline</v>
      </c>
      <c r="T16" s="1" t="str">
        <f>IF($A16="","",IFERROR(INDEX('INPUT-SIF_Questions'!$G$2:$G$300,MATCH($A16,'INPUT-SIF_Questions'!$A$2:$A$300,0)),""))</f>
        <v>Y</v>
      </c>
      <c r="U16" s="1">
        <f>IF($A16="","",IFERROR(INDEX('INPUT-SIF_Questions'!$E$2:$E$300,MATCH($A16,'INPUT-SIF_Questions'!$A$2:$A$300,0)),""))</f>
        <v>0</v>
      </c>
    </row>
    <row r="17" spans="1:21" ht="14.25" customHeight="1" x14ac:dyDescent="0.45">
      <c r="A17" s="2" t="s">
        <v>370</v>
      </c>
      <c r="B17" s="2" t="str">
        <f>IF($A17="","",IFERROR(INDEX('INPUT-SIF_Questions'!$H$2:$H$1000,MATCH($A17,'INPUT-SIF_Questions'!$A$2:$A$1000,0)),""))</f>
        <v>GD</v>
      </c>
      <c r="C17" s="18" t="str">
        <f>IF($A17="","",IFERROR(INDEX('INPUT-SIF_Questions'!$I$2:$I$1000,MATCH($A17,'INPUT-SIF_Questions'!$A$2:$A$1000,0)),""))</f>
        <v>Ground Disturbance or Excavation</v>
      </c>
      <c r="D17" s="57">
        <f>IF($A17="","",IFERROR(INDEX('INPUT-SIF_Questions'!$S$2:$S$1000,MATCH($A17,'INPUT-SIF_Questions'!$A$2:$A$1000,0)),""))</f>
        <v>46210</v>
      </c>
      <c r="E17" s="2">
        <f>IF($A17="","",IFERROR(INDEX('INPUT-SIF_Questions'!$V$2:$V$1000,MATCH($A17,'INPUT-SIF_Questions'!$A$2:$A$1000,0)),""))</f>
        <v>12</v>
      </c>
      <c r="F17" s="2" t="str">
        <f>IF($A17="","",IFERROR(INDEX('INPUT-SIF_Questions'!$W$2:$W$1000,MATCH($A17,'INPUT-SIF_Questions'!$A$2:$A$1000,0)),""))</f>
        <v>JTB Klinik</v>
      </c>
      <c r="G17" s="18" t="str">
        <f>IF($A17="","",IFERROR(INDEX('INPUT-SIF_Questions'!$X$2:$X$1000,MATCH($A17,'INPUT-SIF_Questions'!$A$2:$A$1000,0)),""))</f>
        <v>Klinik JTB</v>
      </c>
      <c r="H17" s="18" t="str">
        <f>IF($A17="","",IFERROR(INDEX('INPUT-SIF_Questions'!$Y$2:$Y$1000,MATCH($A17,'INPUT-SIF_Questions'!$A$2:$A$1000,0)),""))</f>
        <v>Renovasi perluasan klinik: chipping beton, pondasi kanopi, plester/acian, plumbing, wastafel &amp; jendela, housekeeping</v>
      </c>
      <c r="I17" s="2" t="str">
        <f>IF($A17="","",IFERROR(INDEX('INPUT-SIF_Questions'!$Z$2:$Z$1000,MATCH($A17,'INPUT-SIF_Questions'!$A$2:$A$1000,0)),""))</f>
        <v>SCM</v>
      </c>
      <c r="J17" s="2" t="str">
        <f>IF($A17="","",IFERROR(INDEX('INPUT-SIF_Questions'!$AA$2:$AA$1000,MATCH($A17,'INPUT-SIF_Questions'!$A$2:$A$1000,0)),""))</f>
        <v>Yoseph Gunawan</v>
      </c>
      <c r="K17" s="18" t="str">
        <f>IF($A17="","",IFERROR(INDEX('INPUT-SIF_Questions'!$AB$2:$AB$1000,MATCH($A17,'INPUT-SIF_Questions'!$A$2:$A$1000,0)),""))</f>
        <v>Iman Sudirman</v>
      </c>
      <c r="L17" s="18" t="str">
        <f>IF($A17="","",IFERROR(INDEX('INPUT-SIF_Questions'!$AC$2:$AC$1000,MATCH($A17,'INPUT-SIF_Questions'!$A$2:$A$1000,0)),""))</f>
        <v>Mulyadi</v>
      </c>
      <c r="M17" s="1">
        <f>IF($A17="","",COUNTIFS('INPUT-SIF_Questions'!$A$2:$A$1000,$A17,'INPUT-SIF_Questions'!$M$2:$M$1000,1))</f>
        <v>4</v>
      </c>
      <c r="N17" s="1">
        <f>IF($A17="","",COUNTIFS('INPUT-SIF_Questions'!$A$2:$A$1000,$A17,'INPUT-SIF_Questions'!$N$2:$N$1000,1))</f>
        <v>1</v>
      </c>
      <c r="O17" s="1">
        <f>IF($A17="","",COUNTIFS('INPUT-SIF_Questions'!$A$2:$A$1000,$A17,'INPUT-SIF_Questions'!$O$2:$O$1000,1))</f>
        <v>0</v>
      </c>
      <c r="P17" s="58">
        <f t="shared" si="0"/>
        <v>0.8</v>
      </c>
      <c r="Q17" s="2">
        <f>IF($A17="","",IFERROR(INDEX('INPUT-SIF_Questions'!$B$2:$B$300,MATCH($A17,'INPUT-SIF_Questions'!$A$2:$A$300,0)),""))</f>
        <v>1</v>
      </c>
      <c r="R17" s="2" t="str">
        <f>IF($A17="","",IFERROR(INDEX('INPUT-SIF_Questions'!$C$2:$C$300,MATCH($A17,'INPUT-SIF_Questions'!$A$2:$A$300,0)),""))</f>
        <v>N</v>
      </c>
      <c r="S17" s="2" t="str">
        <f>IF($A17="","",IFERROR(INDEX('INPUT-SIF_Questions'!$F$2:$F$300,MATCH($A17,'INPUT-SIF_Questions'!$A$2:$A$300,0)),""))</f>
        <v>Baseline</v>
      </c>
      <c r="T17" s="1" t="str">
        <f>IF($A17="","",IFERROR(INDEX('INPUT-SIF_Questions'!$G$2:$G$300,MATCH($A17,'INPUT-SIF_Questions'!$A$2:$A$300,0)),""))</f>
        <v>Y</v>
      </c>
      <c r="U17" s="1">
        <f>IF($A17="","",IFERROR(INDEX('INPUT-SIF_Questions'!$E$2:$E$300,MATCH($A17,'INPUT-SIF_Questions'!$A$2:$A$300,0)),""))</f>
        <v>0</v>
      </c>
    </row>
    <row r="18" spans="1:21" ht="14.25" customHeight="1" x14ac:dyDescent="0.45">
      <c r="A18" s="2" t="s">
        <v>378</v>
      </c>
      <c r="B18" s="2" t="str">
        <f>IF($A18="","",IFERROR(INDEX('INPUT-SIF_Questions'!$H$2:$H$1000,MATCH($A18,'INPUT-SIF_Questions'!$A$2:$A$1000,0)),""))</f>
        <v>CSE</v>
      </c>
      <c r="C18" s="18" t="str">
        <f>IF($A18="","",IFERROR(INDEX('INPUT-SIF_Questions'!$I$2:$I$1000,MATCH($A18,'INPUT-SIF_Questions'!$A$2:$A$1000,0)),""))</f>
        <v>Confined Space Entry</v>
      </c>
      <c r="D18" s="57">
        <f>IF($A18="","",IFERROR(INDEX('INPUT-SIF_Questions'!$S$2:$S$1000,MATCH($A18,'INPUT-SIF_Questions'!$A$2:$A$1000,0)),""))</f>
        <v>46212</v>
      </c>
      <c r="E18" s="2">
        <f>IF($A18="","",IFERROR(INDEX('INPUT-SIF_Questions'!$V$2:$V$1000,MATCH($A18,'INPUT-SIF_Questions'!$A$2:$A$1000,0)),""))</f>
        <v>12</v>
      </c>
      <c r="F18" s="2" t="str">
        <f>IF($A18="","",IFERROR(INDEX('INPUT-SIF_Questions'!$W$2:$W$1000,MATCH($A18,'INPUT-SIF_Questions'!$A$2:$A$1000,0)),""))</f>
        <v>JTB GPF</v>
      </c>
      <c r="G18" s="18" t="str">
        <f>IF($A18="","",IFERROR(INDEX('INPUT-SIF_Questions'!$X$2:$X$1000,MATCH($A18,'INPUT-SIF_Questions'!$A$2:$A$1000,0)),""))</f>
        <v>Area 2 GPF - 242 CO2 Removal / Equipment 242-E9007B-1A</v>
      </c>
      <c r="H18" s="18" t="str">
        <f>IF($A18="","",IFERROR(INDEX('INPUT-SIF_Questions'!$Y$2:$Y$1000,MATCH($A18,'INPUT-SIF_Questions'!$A$2:$A$1000,0)),""))</f>
        <v>PM fin fan cooler</v>
      </c>
      <c r="I18" s="2" t="str">
        <f>IF($A18="","",IFERROR(INDEX('INPUT-SIF_Questions'!$Z$2:$Z$1000,MATCH($A18,'INPUT-SIF_Questions'!$A$2:$A$1000,0)),""))</f>
        <v>PT. TRIPATRA</v>
      </c>
      <c r="J18" s="2" t="str">
        <f>IF($A18="","",IFERROR(INDEX('INPUT-SIF_Questions'!$AA$2:$AA$1000,MATCH($A18,'INPUT-SIF_Questions'!$A$2:$A$1000,0)),""))</f>
        <v>Iman Sudirman</v>
      </c>
      <c r="K18" s="18" t="str">
        <f>IF($A18="","",IFERROR(INDEX('INPUT-SIF_Questions'!$AB$2:$AB$1000,MATCH($A18,'INPUT-SIF_Questions'!$A$2:$A$1000,0)),""))</f>
        <v>Yoseph Gunawan</v>
      </c>
      <c r="L18" s="18" t="str">
        <f>IF($A18="","",IFERROR(INDEX('INPUT-SIF_Questions'!$AC$2:$AC$1000,MATCH($A18,'INPUT-SIF_Questions'!$A$2:$A$1000,0)),""))</f>
        <v>Heni Kusniati (PTW controller JTB field)</v>
      </c>
      <c r="M18" s="1">
        <f>IF($A18="","",COUNTIFS('INPUT-SIF_Questions'!$A$2:$A$1000,$A18,'INPUT-SIF_Questions'!$M$2:$M$1000,1))</f>
        <v>3</v>
      </c>
      <c r="N18" s="1">
        <f>IF($A18="","",COUNTIFS('INPUT-SIF_Questions'!$A$2:$A$1000,$A18,'INPUT-SIF_Questions'!$N$2:$N$1000,1))</f>
        <v>3</v>
      </c>
      <c r="O18" s="1">
        <f>IF($A18="","",COUNTIFS('INPUT-SIF_Questions'!$A$2:$A$1000,$A18,'INPUT-SIF_Questions'!$O$2:$O$1000,1))</f>
        <v>1</v>
      </c>
      <c r="P18" s="58">
        <f t="shared" si="0"/>
        <v>0.5</v>
      </c>
      <c r="Q18" s="2">
        <f>IF($A18="","",IFERROR(INDEX('INPUT-SIF_Questions'!$B$2:$B$300,MATCH($A18,'INPUT-SIF_Questions'!$A$2:$A$300,0)),""))</f>
        <v>1</v>
      </c>
      <c r="R18" s="2" t="str">
        <f>IF($A18="","",IFERROR(INDEX('INPUT-SIF_Questions'!$C$2:$C$300,MATCH($A18,'INPUT-SIF_Questions'!$A$2:$A$300,0)),""))</f>
        <v>N</v>
      </c>
      <c r="S18" s="2" t="str">
        <f>IF($A18="","",IFERROR(INDEX('INPUT-SIF_Questions'!$F$2:$F$300,MATCH($A18,'INPUT-SIF_Questions'!$A$2:$A$300,0)),""))</f>
        <v>Baseline</v>
      </c>
      <c r="T18" s="1" t="str">
        <f>IF($A18="","",IFERROR(INDEX('INPUT-SIF_Questions'!$G$2:$G$300,MATCH($A18,'INPUT-SIF_Questions'!$A$2:$A$300,0)),""))</f>
        <v>Y</v>
      </c>
      <c r="U18" s="1">
        <f>IF($A18="","",IFERROR(INDEX('INPUT-SIF_Questions'!$E$2:$E$300,MATCH($A18,'INPUT-SIF_Questions'!$A$2:$A$300,0)),""))</f>
        <v>0</v>
      </c>
    </row>
    <row r="19" spans="1:21" ht="14.25" customHeight="1" x14ac:dyDescent="0.45">
      <c r="A19" s="2" t="s">
        <v>394</v>
      </c>
      <c r="B19" s="2" t="str">
        <f>IF($A19="","",IFERROR(INDEX('INPUT-SIF_Questions'!$H$2:$H$1000,MATCH($A19,'INPUT-SIF_Questions'!$A$2:$A$1000,0)),""))</f>
        <v>IHE</v>
      </c>
      <c r="C19" s="18" t="str">
        <f>IF($A19="","",IFERROR(INDEX('INPUT-SIF_Questions'!$I$2:$I$1000,MATCH($A19,'INPUT-SIF_Questions'!$A$2:$A$1000,0)),""))</f>
        <v>Powered System / Isolation of Hazardous Energy</v>
      </c>
      <c r="D19" s="57">
        <f>IF($A19="","",IFERROR(INDEX('INPUT-SIF_Questions'!$S$2:$S$1000,MATCH($A19,'INPUT-SIF_Questions'!$A$2:$A$1000,0)),""))</f>
        <v>46212</v>
      </c>
      <c r="E19" s="2">
        <f>IF($A19="","",IFERROR(INDEX('INPUT-SIF_Questions'!$V$2:$V$1000,MATCH($A19,'INPUT-SIF_Questions'!$A$2:$A$1000,0)),""))</f>
        <v>12</v>
      </c>
      <c r="F19" s="2" t="str">
        <f>IF($A19="","",IFERROR(INDEX('INPUT-SIF_Questions'!$W$2:$W$1000,MATCH($A19,'INPUT-SIF_Questions'!$A$2:$A$1000,0)),""))</f>
        <v>JTB GPF</v>
      </c>
      <c r="G19" s="18" t="str">
        <f>IF($A19="","",IFERROR(INDEX('INPUT-SIF_Questions'!$X$2:$X$1000,MATCH($A19,'INPUT-SIF_Questions'!$A$2:$A$1000,0)),""))</f>
        <v>Area 2 GPF - 242 CO2 Removal / Equipment 242-E9007B-1A</v>
      </c>
      <c r="H19" s="18" t="str">
        <f>IF($A19="","",IFERROR(INDEX('INPUT-SIF_Questions'!$Y$2:$Y$1000,MATCH($A19,'INPUT-SIF_Questions'!$A$2:$A$1000,0)),""))</f>
        <v>PM fin fan cooler</v>
      </c>
      <c r="I19" s="2" t="str">
        <f>IF($A19="","",IFERROR(INDEX('INPUT-SIF_Questions'!$Z$2:$Z$1000,MATCH($A19,'INPUT-SIF_Questions'!$A$2:$A$1000,0)),""))</f>
        <v>PT. TRIPATRA</v>
      </c>
      <c r="J19" s="2" t="str">
        <f>IF($A19="","",IFERROR(INDEX('INPUT-SIF_Questions'!$AA$2:$AA$1000,MATCH($A19,'INPUT-SIF_Questions'!$A$2:$A$1000,0)),""))</f>
        <v>Iman Sudirman</v>
      </c>
      <c r="K19" s="18" t="str">
        <f>IF($A19="","",IFERROR(INDEX('INPUT-SIF_Questions'!$AB$2:$AB$1000,MATCH($A19,'INPUT-SIF_Questions'!$A$2:$A$1000,0)),""))</f>
        <v>Yoseph Gunawan</v>
      </c>
      <c r="L19" s="18" t="str">
        <f>IF($A19="","",IFERROR(INDEX('INPUT-SIF_Questions'!$AC$2:$AC$1000,MATCH($A19,'INPUT-SIF_Questions'!$A$2:$A$1000,0)),""))</f>
        <v>Heni Kusniati (PTW controller JTB field)</v>
      </c>
      <c r="M19" s="1">
        <f>IF($A19="","",COUNTIFS('INPUT-SIF_Questions'!$A$2:$A$1000,$A19,'INPUT-SIF_Questions'!$M$2:$M$1000,1))</f>
        <v>6</v>
      </c>
      <c r="N19" s="1">
        <f>IF($A19="","",COUNTIFS('INPUT-SIF_Questions'!$A$2:$A$1000,$A19,'INPUT-SIF_Questions'!$N$2:$N$1000,1))</f>
        <v>1</v>
      </c>
      <c r="O19" s="1">
        <f>IF($A19="","",COUNTIFS('INPUT-SIF_Questions'!$A$2:$A$1000,$A19,'INPUT-SIF_Questions'!$O$2:$O$1000,1))</f>
        <v>2</v>
      </c>
      <c r="P19" s="58">
        <f t="shared" si="0"/>
        <v>0.8571428571428571</v>
      </c>
      <c r="Q19" s="2">
        <f>IF($A19="","",IFERROR(INDEX('INPUT-SIF_Questions'!$B$2:$B$300,MATCH($A19,'INPUT-SIF_Questions'!$A$2:$A$300,0)),""))</f>
        <v>1</v>
      </c>
      <c r="R19" s="2" t="str">
        <f>IF($A19="","",IFERROR(INDEX('INPUT-SIF_Questions'!$C$2:$C$300,MATCH($A19,'INPUT-SIF_Questions'!$A$2:$A$300,0)),""))</f>
        <v>N</v>
      </c>
      <c r="S19" s="2" t="str">
        <f>IF($A19="","",IFERROR(INDEX('INPUT-SIF_Questions'!$F$2:$F$300,MATCH($A19,'INPUT-SIF_Questions'!$A$2:$A$300,0)),""))</f>
        <v>Baseline</v>
      </c>
      <c r="T19" s="1" t="str">
        <f>IF($A19="","",IFERROR(INDEX('INPUT-SIF_Questions'!$G$2:$G$300,MATCH($A19,'INPUT-SIF_Questions'!$A$2:$A$300,0)),""))</f>
        <v>Y</v>
      </c>
      <c r="U19" s="1">
        <f>IF($A19="","",IFERROR(INDEX('INPUT-SIF_Questions'!$E$2:$E$300,MATCH($A19,'INPUT-SIF_Questions'!$A$2:$A$300,0)),""))</f>
        <v>0</v>
      </c>
    </row>
    <row r="20" spans="1:21" ht="14.25" customHeight="1" x14ac:dyDescent="0.45">
      <c r="A20" s="2" t="s">
        <v>402</v>
      </c>
      <c r="B20" s="2" t="str">
        <f>IF($A20="","",IFERROR(INDEX('INPUT-SIF_Questions'!$H$2:$H$1000,MATCH($A20,'INPUT-SIF_Questions'!$A$2:$A$1000,0)),""))</f>
        <v>WAH</v>
      </c>
      <c r="C20" s="18" t="str">
        <f>IF($A20="","",IFERROR(INDEX('INPUT-SIF_Questions'!$I$2:$I$1000,MATCH($A20,'INPUT-SIF_Questions'!$A$2:$A$1000,0)),""))</f>
        <v>Work at Height</v>
      </c>
      <c r="D20" s="57">
        <f>IF($A20="","",IFERROR(INDEX('INPUT-SIF_Questions'!$S$2:$S$1000,MATCH($A20,'INPUT-SIF_Questions'!$A$2:$A$1000,0)),""))</f>
        <v>46212</v>
      </c>
      <c r="E20" s="2">
        <f>IF($A20="","",IFERROR(INDEX('INPUT-SIF_Questions'!$V$2:$V$1000,MATCH($A20,'INPUT-SIF_Questions'!$A$2:$A$1000,0)),""))</f>
        <v>12</v>
      </c>
      <c r="F20" s="2" t="str">
        <f>IF($A20="","",IFERROR(INDEX('INPUT-SIF_Questions'!$W$2:$W$1000,MATCH($A20,'INPUT-SIF_Questions'!$A$2:$A$1000,0)),""))</f>
        <v>JTB GPF</v>
      </c>
      <c r="G20" s="18" t="str">
        <f>IF($A20="","",IFERROR(INDEX('INPUT-SIF_Questions'!$X$2:$X$1000,MATCH($A20,'INPUT-SIF_Questions'!$A$2:$A$1000,0)),""))</f>
        <v>Area 2 GPF - 242 CO2 Removal / Equipment 242-E9007B-1A</v>
      </c>
      <c r="H20" s="18" t="str">
        <f>IF($A20="","",IFERROR(INDEX('INPUT-SIF_Questions'!$Y$2:$Y$1000,MATCH($A20,'INPUT-SIF_Questions'!$A$2:$A$1000,0)),""))</f>
        <v>PM fin fan cooler</v>
      </c>
      <c r="I20" s="2" t="str">
        <f>IF($A20="","",IFERROR(INDEX('INPUT-SIF_Questions'!$Z$2:$Z$1000,MATCH($A20,'INPUT-SIF_Questions'!$A$2:$A$1000,0)),""))</f>
        <v>PT. TRIPATRA</v>
      </c>
      <c r="J20" s="2" t="str">
        <f>IF($A20="","",IFERROR(INDEX('INPUT-SIF_Questions'!$AA$2:$AA$1000,MATCH($A20,'INPUT-SIF_Questions'!$A$2:$A$1000,0)),""))</f>
        <v>Iman Sudirman</v>
      </c>
      <c r="K20" s="18" t="str">
        <f>IF($A20="","",IFERROR(INDEX('INPUT-SIF_Questions'!$AB$2:$AB$1000,MATCH($A20,'INPUT-SIF_Questions'!$A$2:$A$1000,0)),""))</f>
        <v>Yoseph Gunawan</v>
      </c>
      <c r="L20" s="18" t="str">
        <f>IF($A20="","",IFERROR(INDEX('INPUT-SIF_Questions'!$AC$2:$AC$1000,MATCH($A20,'INPUT-SIF_Questions'!$A$2:$A$1000,0)),""))</f>
        <v>Heni Kusniati (PTW controller JTB field)</v>
      </c>
      <c r="M20" s="1">
        <f>IF($A20="","",COUNTIFS('INPUT-SIF_Questions'!$A$2:$A$1000,$A20,'INPUT-SIF_Questions'!$M$2:$M$1000,1))</f>
        <v>3</v>
      </c>
      <c r="N20" s="1">
        <f>IF($A20="","",COUNTIFS('INPUT-SIF_Questions'!$A$2:$A$1000,$A20,'INPUT-SIF_Questions'!$N$2:$N$1000,1))</f>
        <v>6</v>
      </c>
      <c r="O20" s="1">
        <f>IF($A20="","",COUNTIFS('INPUT-SIF_Questions'!$A$2:$A$1000,$A20,'INPUT-SIF_Questions'!$O$2:$O$1000,1))</f>
        <v>0</v>
      </c>
      <c r="P20" s="58">
        <f t="shared" si="0"/>
        <v>0.33333333333333331</v>
      </c>
      <c r="Q20" s="2">
        <f>IF($A20="","",IFERROR(INDEX('INPUT-SIF_Questions'!$B$2:$B$300,MATCH($A20,'INPUT-SIF_Questions'!$A$2:$A$300,0)),""))</f>
        <v>1</v>
      </c>
      <c r="R20" s="2" t="str">
        <f>IF($A20="","",IFERROR(INDEX('INPUT-SIF_Questions'!$C$2:$C$300,MATCH($A20,'INPUT-SIF_Questions'!$A$2:$A$300,0)),""))</f>
        <v>N</v>
      </c>
      <c r="S20" s="2" t="str">
        <f>IF($A20="","",IFERROR(INDEX('INPUT-SIF_Questions'!$F$2:$F$300,MATCH($A20,'INPUT-SIF_Questions'!$A$2:$A$300,0)),""))</f>
        <v>Baseline</v>
      </c>
      <c r="T20" s="1" t="str">
        <f>IF($A20="","",IFERROR(INDEX('INPUT-SIF_Questions'!$G$2:$G$300,MATCH($A20,'INPUT-SIF_Questions'!$A$2:$A$300,0)),""))</f>
        <v>Y</v>
      </c>
      <c r="U20" s="1">
        <f>IF($A20="","",IFERROR(INDEX('INPUT-SIF_Questions'!$E$2:$E$300,MATCH($A20,'INPUT-SIF_Questions'!$A$2:$A$300,0)),""))</f>
        <v>0</v>
      </c>
    </row>
    <row r="21" spans="1:21" ht="14.25" customHeight="1" x14ac:dyDescent="0.45">
      <c r="A21" s="2" t="s">
        <v>409</v>
      </c>
      <c r="B21" s="2" t="str">
        <f>IF($A21="","",IFERROR(INDEX('INPUT-SIF_Questions'!$H$2:$H$1000,MATCH($A21,'INPUT-SIF_Questions'!$A$2:$A$1000,0)),""))</f>
        <v>LoF</v>
      </c>
      <c r="C21" s="18" t="str">
        <f>IF($A21="","",IFERROR(INDEX('INPUT-SIF_Questions'!$I$2:$I$1000,MATCH($A21,'INPUT-SIF_Questions'!$A$2:$A$1000,0)),""))</f>
        <v>Line of Fire</v>
      </c>
      <c r="D21" s="57">
        <f>IF($A21="","",IFERROR(INDEX('INPUT-SIF_Questions'!$S$2:$S$1000,MATCH($A21,'INPUT-SIF_Questions'!$A$2:$A$1000,0)),""))</f>
        <v>46209</v>
      </c>
      <c r="E21" s="2">
        <f>IF($A21="","",IFERROR(INDEX('INPUT-SIF_Questions'!$V$2:$V$1000,MATCH($A21,'INPUT-SIF_Questions'!$A$2:$A$1000,0)),""))</f>
        <v>12</v>
      </c>
      <c r="F21" s="2" t="str">
        <f>IF($A21="","",IFERROR(INDEX('INPUT-SIF_Questions'!$W$2:$W$1000,MATCH($A21,'INPUT-SIF_Questions'!$A$2:$A$1000,0)),""))</f>
        <v>JTB GPF</v>
      </c>
      <c r="G21" s="18" t="str">
        <f>IF($A21="","",IFERROR(INDEX('INPUT-SIF_Questions'!$X$2:$X$1000,MATCH($A21,'INPUT-SIF_Questions'!$A$2:$A$1000,0)),""))</f>
        <v>Unit 241 - H2S / LP Flare System Removal</v>
      </c>
      <c r="H21" s="18" t="str">
        <f>IF($A21="","",IFERROR(INDEX('INPUT-SIF_Questions'!$Y$2:$Y$1000,MATCH($A21,'INPUT-SIF_Questions'!$A$2:$A$1000,0)),""))</f>
        <v>Robotic NDT pada sistem perpipaan menggunakan RMS/NAV 2 dengan MEWP/scaffolding beserta kamera AORO</v>
      </c>
      <c r="I21" s="2" t="str">
        <f>IF($A21="","",IFERROR(INDEX('INPUT-SIF_Questions'!$Z$2:$Z$1000,MATCH($A21,'INPUT-SIF_Questions'!$A$2:$A$1000,0)),""))</f>
        <v>PT. Sucofindo &amp; PT. GTS</v>
      </c>
      <c r="J21" s="2" t="str">
        <f>IF($A21="","",IFERROR(INDEX('INPUT-SIF_Questions'!$AA$2:$AA$1000,MATCH($A21,'INPUT-SIF_Questions'!$A$2:$A$1000,0)),""))</f>
        <v>Iman Sudirman</v>
      </c>
      <c r="K21" s="18" t="str">
        <f>IF($A21="","",IFERROR(INDEX('INPUT-SIF_Questions'!$AB$2:$AB$1000,MATCH($A21,'INPUT-SIF_Questions'!$A$2:$A$1000,0)),""))</f>
        <v>Yoseph Gunawan</v>
      </c>
      <c r="L21" s="18" t="str">
        <f>IF($A21="","",IFERROR(INDEX('INPUT-SIF_Questions'!$AC$2:$AC$1000,MATCH($A21,'INPUT-SIF_Questions'!$A$2:$A$1000,0)),""))</f>
        <v>Andy Kurniawan</v>
      </c>
      <c r="M21" s="1">
        <f>IF($A21="","",COUNTIFS('INPUT-SIF_Questions'!$A$2:$A$1000,$A21,'INPUT-SIF_Questions'!$M$2:$M$1000,1))</f>
        <v>1</v>
      </c>
      <c r="N21" s="1">
        <f>IF($A21="","",COUNTIFS('INPUT-SIF_Questions'!$A$2:$A$1000,$A21,'INPUT-SIF_Questions'!$N$2:$N$1000,1))</f>
        <v>2</v>
      </c>
      <c r="O21" s="1">
        <f>IF($A21="","",COUNTIFS('INPUT-SIF_Questions'!$A$2:$A$1000,$A21,'INPUT-SIF_Questions'!$O$2:$O$1000,1))</f>
        <v>1</v>
      </c>
      <c r="P21" s="58">
        <f t="shared" si="0"/>
        <v>0.33333333333333331</v>
      </c>
      <c r="Q21" s="2">
        <f>IF($A21="","",IFERROR(INDEX('INPUT-SIF_Questions'!$B$2:$B$300,MATCH($A21,'INPUT-SIF_Questions'!$A$2:$A$300,0)),""))</f>
        <v>1</v>
      </c>
      <c r="R21" s="2" t="str">
        <f>IF($A21="","",IFERROR(INDEX('INPUT-SIF_Questions'!$C$2:$C$300,MATCH($A21,'INPUT-SIF_Questions'!$A$2:$A$300,0)),""))</f>
        <v>N</v>
      </c>
      <c r="S21" s="2" t="str">
        <f>IF($A21="","",IFERROR(INDEX('INPUT-SIF_Questions'!$F$2:$F$300,MATCH($A21,'INPUT-SIF_Questions'!$A$2:$A$300,0)),""))</f>
        <v>Baseline</v>
      </c>
      <c r="T21" s="1" t="str">
        <f>IF($A21="","",IFERROR(INDEX('INPUT-SIF_Questions'!$G$2:$G$300,MATCH($A21,'INPUT-SIF_Questions'!$A$2:$A$300,0)),""))</f>
        <v>Y</v>
      </c>
      <c r="U21" s="1">
        <f>IF($A21="","",IFERROR(INDEX('INPUT-SIF_Questions'!$E$2:$E$300,MATCH($A21,'INPUT-SIF_Questions'!$A$2:$A$300,0)),""))</f>
        <v>0</v>
      </c>
    </row>
    <row r="22" spans="1:21" ht="14.25" customHeight="1" x14ac:dyDescent="0.45">
      <c r="A22" s="2" t="s">
        <v>422</v>
      </c>
      <c r="B22" s="2" t="str">
        <f>IF($A22="","",IFERROR(INDEX('INPUT-SIF_Questions'!$H$2:$H$1000,MATCH($A22,'INPUT-SIF_Questions'!$A$2:$A$1000,0)),""))</f>
        <v>T&amp;E</v>
      </c>
      <c r="C22" s="18" t="str">
        <f>IF($A22="","",IFERROR(INDEX('INPUT-SIF_Questions'!$I$2:$I$1000,MATCH($A22,'INPUT-SIF_Questions'!$A$2:$A$1000,0)),""))</f>
        <v>Tools &amp; Equipment</v>
      </c>
      <c r="D22" s="57">
        <f>IF($A22="","",IFERROR(INDEX('INPUT-SIF_Questions'!$S$2:$S$1000,MATCH($A22,'INPUT-SIF_Questions'!$A$2:$A$1000,0)),""))</f>
        <v>46209</v>
      </c>
      <c r="E22" s="2">
        <f>IF($A22="","",IFERROR(INDEX('INPUT-SIF_Questions'!$V$2:$V$1000,MATCH($A22,'INPUT-SIF_Questions'!$A$2:$A$1000,0)),""))</f>
        <v>12</v>
      </c>
      <c r="F22" s="2" t="str">
        <f>IF($A22="","",IFERROR(INDEX('INPUT-SIF_Questions'!$W$2:$W$1000,MATCH($A22,'INPUT-SIF_Questions'!$A$2:$A$1000,0)),""))</f>
        <v>JTB</v>
      </c>
      <c r="G22" s="18" t="str">
        <f>IF($A22="","",IFERROR(INDEX('INPUT-SIF_Questions'!$X$2:$X$1000,MATCH($A22,'INPUT-SIF_Questions'!$A$2:$A$1000,0)),""))</f>
        <v>Not specified in source</v>
      </c>
      <c r="H22" s="18" t="str">
        <f>IF($A22="","",IFERROR(INDEX('INPUT-SIF_Questions'!$Y$2:$Y$1000,MATCH($A22,'INPUT-SIF_Questions'!$A$2:$A$1000,0)),""))</f>
        <v>Penggantian 4 buah stud bolts yang galvanized corrosion</v>
      </c>
      <c r="I22" s="2">
        <f>IF($A22="","",IFERROR(INDEX('INPUT-SIF_Questions'!$Z$2:$Z$1000,MATCH($A22,'INPUT-SIF_Questions'!$A$2:$A$1000,0)),""))</f>
        <v>0</v>
      </c>
      <c r="J22" s="2" t="str">
        <f>IF($A22="","",IFERROR(INDEX('INPUT-SIF_Questions'!$AA$2:$AA$1000,MATCH($A22,'INPUT-SIF_Questions'!$A$2:$A$1000,0)),""))</f>
        <v>Iman Sudirman</v>
      </c>
      <c r="K22" s="18" t="str">
        <f>IF($A22="","",IFERROR(INDEX('INPUT-SIF_Questions'!$AB$2:$AB$1000,MATCH($A22,'INPUT-SIF_Questions'!$A$2:$A$1000,0)),""))</f>
        <v>Yoseph Gunawan</v>
      </c>
      <c r="L22" s="18" t="str">
        <f>IF($A22="","",IFERROR(INDEX('INPUT-SIF_Questions'!$AC$2:$AC$1000,MATCH($A22,'INPUT-SIF_Questions'!$A$2:$A$1000,0)),""))</f>
        <v>Heni Kusniati</v>
      </c>
      <c r="M22" s="1">
        <f>IF($A22="","",COUNTIFS('INPUT-SIF_Questions'!$A$2:$A$1000,$A22,'INPUT-SIF_Questions'!$M$2:$M$1000,1))</f>
        <v>4</v>
      </c>
      <c r="N22" s="1">
        <f>IF($A22="","",COUNTIFS('INPUT-SIF_Questions'!$A$2:$A$1000,$A22,'INPUT-SIF_Questions'!$N$2:$N$1000,1))</f>
        <v>0</v>
      </c>
      <c r="O22" s="1">
        <f>IF($A22="","",COUNTIFS('INPUT-SIF_Questions'!$A$2:$A$1000,$A22,'INPUT-SIF_Questions'!$O$2:$O$1000,1))</f>
        <v>0</v>
      </c>
      <c r="P22" s="58">
        <f t="shared" si="0"/>
        <v>1</v>
      </c>
      <c r="Q22" s="2">
        <f>IF($A22="","",IFERROR(INDEX('INPUT-SIF_Questions'!$B$2:$B$300,MATCH($A22,'INPUT-SIF_Questions'!$A$2:$A$300,0)),""))</f>
        <v>1</v>
      </c>
      <c r="R22" s="2" t="str">
        <f>IF($A22="","",IFERROR(INDEX('INPUT-SIF_Questions'!$C$2:$C$300,MATCH($A22,'INPUT-SIF_Questions'!$A$2:$A$300,0)),""))</f>
        <v>N</v>
      </c>
      <c r="S22" s="2" t="str">
        <f>IF($A22="","",IFERROR(INDEX('INPUT-SIF_Questions'!$F$2:$F$300,MATCH($A22,'INPUT-SIF_Questions'!$A$2:$A$300,0)),""))</f>
        <v>Baseline</v>
      </c>
      <c r="T22" s="1" t="str">
        <f>IF($A22="","",IFERROR(INDEX('INPUT-SIF_Questions'!$G$2:$G$300,MATCH($A22,'INPUT-SIF_Questions'!$A$2:$A$300,0)),""))</f>
        <v>Y</v>
      </c>
      <c r="U22" s="1">
        <f>IF($A22="","",IFERROR(INDEX('INPUT-SIF_Questions'!$E$2:$E$300,MATCH($A22,'INPUT-SIF_Questions'!$A$2:$A$300,0)),""))</f>
        <v>0</v>
      </c>
    </row>
    <row r="23" spans="1:21" ht="14.25" customHeight="1" x14ac:dyDescent="0.45">
      <c r="A23" s="2" t="s">
        <v>437</v>
      </c>
      <c r="B23" s="2" t="str">
        <f>IF($A23="","",IFERROR(INDEX('INPUT-SIF_Questions'!$H$2:$H$1000,MATCH($A23,'INPUT-SIF_Questions'!$A$2:$A$1000,0)),""))</f>
        <v>HW</v>
      </c>
      <c r="C23" s="18" t="str">
        <f>IF($A23="","",IFERROR(INDEX('INPUT-SIF_Questions'!$I$2:$I$1000,MATCH($A23,'INPUT-SIF_Questions'!$A$2:$A$1000,0)),""))</f>
        <v>Hot Work</v>
      </c>
      <c r="D23" s="57">
        <f>IF($A23="","",IFERROR(INDEX('INPUT-SIF_Questions'!$S$2:$S$1000,MATCH($A23,'INPUT-SIF_Questions'!$A$2:$A$1000,0)),""))</f>
        <v>46209</v>
      </c>
      <c r="E23" s="2">
        <f>IF($A23="","",IFERROR(INDEX('INPUT-SIF_Questions'!$V$2:$V$1000,MATCH($A23,'INPUT-SIF_Questions'!$A$2:$A$1000,0)),""))</f>
        <v>12</v>
      </c>
      <c r="F23" s="2" t="str">
        <f>IF($A23="","",IFERROR(INDEX('INPUT-SIF_Questions'!$W$2:$W$1000,MATCH($A23,'INPUT-SIF_Questions'!$A$2:$A$1000,0)),""))</f>
        <v>JTB</v>
      </c>
      <c r="G23" s="18" t="str">
        <f>IF($A23="","",IFERROR(INDEX('INPUT-SIF_Questions'!$X$2:$X$1000,MATCH($A23,'INPUT-SIF_Questions'!$A$2:$A$1000,0)),""))</f>
        <v>MACP</v>
      </c>
      <c r="H23" s="18" t="str">
        <f>IF($A23="","",IFERROR(INDEX('INPUT-SIF_Questions'!$Y$2:$Y$1000,MATCH($A23,'INPUT-SIF_Questions'!$A$2:$A$1000,0)),""))</f>
        <v>PM Semi Annually MACP</v>
      </c>
      <c r="I23" s="2" t="str">
        <f>IF($A23="","",IFERROR(INDEX('INPUT-SIF_Questions'!$Z$2:$Z$1000,MATCH($A23,'INPUT-SIF_Questions'!$A$2:$A$1000,0)),""))</f>
        <v>JTB ZONA 12</v>
      </c>
      <c r="J23" s="2" t="str">
        <f>IF($A23="","",IFERROR(INDEX('INPUT-SIF_Questions'!$AA$2:$AA$1000,MATCH($A23,'INPUT-SIF_Questions'!$A$2:$A$1000,0)),""))</f>
        <v>Iman Sudirman</v>
      </c>
      <c r="K23" s="18" t="str">
        <f>IF($A23="","",IFERROR(INDEX('INPUT-SIF_Questions'!$AB$2:$AB$1000,MATCH($A23,'INPUT-SIF_Questions'!$A$2:$A$1000,0)),""))</f>
        <v>Yoseph Gunawan</v>
      </c>
      <c r="L23" s="18" t="str">
        <f>IF($A23="","",IFERROR(INDEX('INPUT-SIF_Questions'!$AC$2:$AC$1000,MATCH($A23,'INPUT-SIF_Questions'!$A$2:$A$1000,0)),""))</f>
        <v>Heni Kusniati</v>
      </c>
      <c r="M23" s="1">
        <f>IF($A23="","",COUNTIFS('INPUT-SIF_Questions'!$A$2:$A$1000,$A23,'INPUT-SIF_Questions'!$M$2:$M$1000,1))</f>
        <v>3</v>
      </c>
      <c r="N23" s="1">
        <f>IF($A23="","",COUNTIFS('INPUT-SIF_Questions'!$A$2:$A$1000,$A23,'INPUT-SIF_Questions'!$N$2:$N$1000,1))</f>
        <v>1</v>
      </c>
      <c r="O23" s="1">
        <f>IF($A23="","",COUNTIFS('INPUT-SIF_Questions'!$A$2:$A$1000,$A23,'INPUT-SIF_Questions'!$O$2:$O$1000,1))</f>
        <v>3</v>
      </c>
      <c r="P23" s="58">
        <f t="shared" si="0"/>
        <v>0.75</v>
      </c>
      <c r="Q23" s="2">
        <f>IF($A23="","",IFERROR(INDEX('INPUT-SIF_Questions'!$B$2:$B$300,MATCH($A23,'INPUT-SIF_Questions'!$A$2:$A$300,0)),""))</f>
        <v>1</v>
      </c>
      <c r="R23" s="2" t="str">
        <f>IF($A23="","",IFERROR(INDEX('INPUT-SIF_Questions'!$C$2:$C$300,MATCH($A23,'INPUT-SIF_Questions'!$A$2:$A$300,0)),""))</f>
        <v>N</v>
      </c>
      <c r="S23" s="2" t="str">
        <f>IF($A23="","",IFERROR(INDEX('INPUT-SIF_Questions'!$F$2:$F$300,MATCH($A23,'INPUT-SIF_Questions'!$A$2:$A$300,0)),""))</f>
        <v>Baseline</v>
      </c>
      <c r="T23" s="1" t="str">
        <f>IF($A23="","",IFERROR(INDEX('INPUT-SIF_Questions'!$G$2:$G$300,MATCH($A23,'INPUT-SIF_Questions'!$A$2:$A$300,0)),""))</f>
        <v>Y</v>
      </c>
      <c r="U23" s="1">
        <f>IF($A23="","",IFERROR(INDEX('INPUT-SIF_Questions'!$E$2:$E$300,MATCH($A23,'INPUT-SIF_Questions'!$A$2:$A$300,0)),""))</f>
        <v>0</v>
      </c>
    </row>
    <row r="24" spans="1:21" ht="14.25" customHeight="1" x14ac:dyDescent="0.45">
      <c r="A24" s="2" t="s">
        <v>443</v>
      </c>
      <c r="B24" s="2" t="str">
        <f>IF($A24="","",IFERROR(INDEX('INPUT-SIF_Questions'!$H$2:$H$1000,MATCH($A24,'INPUT-SIF_Questions'!$A$2:$A$1000,0)),""))</f>
        <v>IHE</v>
      </c>
      <c r="C24" s="18" t="str">
        <f>IF($A24="","",IFERROR(INDEX('INPUT-SIF_Questions'!$I$2:$I$1000,MATCH($A24,'INPUT-SIF_Questions'!$A$2:$A$1000,0)),""))</f>
        <v>Powered System / Isolation of Hazardous Energy</v>
      </c>
      <c r="D24" s="57">
        <f>IF($A24="","",IFERROR(INDEX('INPUT-SIF_Questions'!$S$2:$S$1000,MATCH($A24,'INPUT-SIF_Questions'!$A$2:$A$1000,0)),""))</f>
        <v>46212</v>
      </c>
      <c r="E24" s="2">
        <f>IF($A24="","",IFERROR(INDEX('INPUT-SIF_Questions'!$V$2:$V$1000,MATCH($A24,'INPUT-SIF_Questions'!$A$2:$A$1000,0)),""))</f>
        <v>12</v>
      </c>
      <c r="F24" s="2" t="str">
        <f>IF($A24="","",IFERROR(INDEX('INPUT-SIF_Questions'!$W$2:$W$1000,MATCH($A24,'INPUT-SIF_Questions'!$A$2:$A$1000,0)),""))</f>
        <v>JTB GPF</v>
      </c>
      <c r="G24" s="18" t="str">
        <f>IF($A24="","",IFERROR(INDEX('INPUT-SIF_Questions'!$X$2:$X$1000,MATCH($A24,'INPUT-SIF_Questions'!$A$2:$A$1000,0)),""))</f>
        <v>420 - Power Generator System</v>
      </c>
      <c r="H24" s="18" t="str">
        <f>IF($A24="","",IFERROR(INDEX('INPUT-SIF_Questions'!$Y$2:$Y$1000,MATCH($A24,'INPUT-SIF_Questions'!$A$2:$A$1000,0)),""))</f>
        <v>PM 8000 HRS 420V9200</v>
      </c>
      <c r="I24" s="2" t="str">
        <f>IF($A24="","",IFERROR(INDEX('INPUT-SIF_Questions'!$Z$2:$Z$1000,MATCH($A24,'INPUT-SIF_Questions'!$A$2:$A$1000,0)),""))</f>
        <v>PT. PLN INDONESIA POWER SERVICES</v>
      </c>
      <c r="J24" s="2" t="str">
        <f>IF($A24="","",IFERROR(INDEX('INPUT-SIF_Questions'!$AA$2:$AA$1000,MATCH($A24,'INPUT-SIF_Questions'!$A$2:$A$1000,0)),""))</f>
        <v>Iman Sudirman</v>
      </c>
      <c r="K24" s="18" t="str">
        <f>IF($A24="","",IFERROR(INDEX('INPUT-SIF_Questions'!$AB$2:$AB$1000,MATCH($A24,'INPUT-SIF_Questions'!$A$2:$A$1000,0)),""))</f>
        <v>Yoseph Gunawan</v>
      </c>
      <c r="L24" s="18" t="str">
        <f>IF($A24="","",IFERROR(INDEX('INPUT-SIF_Questions'!$AC$2:$AC$1000,MATCH($A24,'INPUT-SIF_Questions'!$A$2:$A$1000,0)),""))</f>
        <v>Heni Kusniati (PTW controller JTB field)</v>
      </c>
      <c r="M24" s="1">
        <f>IF($A24="","",COUNTIFS('INPUT-SIF_Questions'!$A$2:$A$1000,$A24,'INPUT-SIF_Questions'!$M$2:$M$1000,1))</f>
        <v>5</v>
      </c>
      <c r="N24" s="1">
        <f>IF($A24="","",COUNTIFS('INPUT-SIF_Questions'!$A$2:$A$1000,$A24,'INPUT-SIF_Questions'!$N$2:$N$1000,1))</f>
        <v>3</v>
      </c>
      <c r="O24" s="1">
        <f>IF($A24="","",COUNTIFS('INPUT-SIF_Questions'!$A$2:$A$1000,$A24,'INPUT-SIF_Questions'!$O$2:$O$1000,1))</f>
        <v>1</v>
      </c>
      <c r="P24" s="58">
        <f t="shared" si="0"/>
        <v>0.625</v>
      </c>
      <c r="Q24" s="2">
        <f>IF($A24="","",IFERROR(INDEX('INPUT-SIF_Questions'!$B$2:$B$300,MATCH($A24,'INPUT-SIF_Questions'!$A$2:$A$300,0)),""))</f>
        <v>1</v>
      </c>
      <c r="R24" s="2" t="str">
        <f>IF($A24="","",IFERROR(INDEX('INPUT-SIF_Questions'!$C$2:$C$300,MATCH($A24,'INPUT-SIF_Questions'!$A$2:$A$300,0)),""))</f>
        <v>N</v>
      </c>
      <c r="S24" s="2" t="str">
        <f>IF($A24="","",IFERROR(INDEX('INPUT-SIF_Questions'!$F$2:$F$300,MATCH($A24,'INPUT-SIF_Questions'!$A$2:$A$300,0)),""))</f>
        <v>Baseline</v>
      </c>
      <c r="T24" s="1" t="str">
        <f>IF($A24="","",IFERROR(INDEX('INPUT-SIF_Questions'!$G$2:$G$300,MATCH($A24,'INPUT-SIF_Questions'!$A$2:$A$300,0)),""))</f>
        <v>Y</v>
      </c>
      <c r="U24" s="1">
        <f>IF($A24="","",IFERROR(INDEX('INPUT-SIF_Questions'!$E$2:$E$300,MATCH($A24,'INPUT-SIF_Questions'!$A$2:$A$300,0)),""))</f>
        <v>0</v>
      </c>
    </row>
    <row r="25" spans="1:21" ht="14.25" customHeight="1" x14ac:dyDescent="0.45">
      <c r="B25" s="1" t="str">
        <f>IF($A25="","",IFERROR(INDEX('INPUT-SIF_Questions'!$H$2:$H$1000,MATCH($A25,'INPUT-SIF_Questions'!$A$2:$A$1000,0)),""))</f>
        <v/>
      </c>
      <c r="C25" s="3" t="str">
        <f>IF($A25="","",IFERROR(INDEX('INPUT-SIF_Questions'!$I$2:$I$1000,MATCH($A25,'INPUT-SIF_Questions'!$A$2:$A$1000,0)),""))</f>
        <v/>
      </c>
      <c r="D25" s="59" t="str">
        <f>IF($A25="","",IFERROR(INDEX('INPUT-SIF_Questions'!$S$2:$S$1000,MATCH($A25,'INPUT-SIF_Questions'!$A$2:$A$1000,0)),""))</f>
        <v/>
      </c>
      <c r="E25" s="1" t="str">
        <f>IF($A25="","",IFERROR(INDEX('INPUT-SIF_Questions'!$V$2:$V$1000,MATCH($A25,'INPUT-SIF_Questions'!$A$2:$A$1000,0)),""))</f>
        <v/>
      </c>
      <c r="F25" s="1" t="str">
        <f>IF($A25="","",IFERROR(INDEX('INPUT-SIF_Questions'!$W$2:$W$1000,MATCH($A25,'INPUT-SIF_Questions'!$A$2:$A$1000,0)),""))</f>
        <v/>
      </c>
      <c r="G25" s="3" t="str">
        <f>IF($A25="","",IFERROR(INDEX('INPUT-SIF_Questions'!$X$2:$X$1000,MATCH($A25,'INPUT-SIF_Questions'!$A$2:$A$1000,0)),""))</f>
        <v/>
      </c>
      <c r="H25" s="3" t="str">
        <f>IF($A25="","",IFERROR(INDEX('INPUT-SIF_Questions'!$Y$2:$Y$1000,MATCH($A25,'INPUT-SIF_Questions'!$A$2:$A$1000,0)),""))</f>
        <v/>
      </c>
      <c r="I25" s="1" t="str">
        <f>IF($A25="","",IFERROR(INDEX('INPUT-SIF_Questions'!$Z$2:$Z$1000,MATCH($A25,'INPUT-SIF_Questions'!$A$2:$A$1000,0)),""))</f>
        <v/>
      </c>
      <c r="J25" s="1" t="str">
        <f>IF($A25="","",IFERROR(INDEX('INPUT-SIF_Questions'!$AA$2:$AA$1000,MATCH($A25,'INPUT-SIF_Questions'!$A$2:$A$1000,0)),""))</f>
        <v/>
      </c>
      <c r="K25" s="3" t="str">
        <f>IF($A25="","",IFERROR(INDEX('INPUT-SIF_Questions'!$AB$2:$AB$1000,MATCH($A25,'INPUT-SIF_Questions'!$A$2:$A$1000,0)),""))</f>
        <v/>
      </c>
      <c r="L25" s="3" t="str">
        <f>IF($A25="","",IFERROR(INDEX('INPUT-SIF_Questions'!$AC$2:$AC$1000,MATCH($A25,'INPUT-SIF_Questions'!$A$2:$A$1000,0)),""))</f>
        <v/>
      </c>
      <c r="M25" s="1" t="str">
        <f>IF($A25="","",COUNTIFS('INPUT-SIF_Questions'!$A$2:$A$1000,$A25,'INPUT-SIF_Questions'!$M$2:$M$1000,1))</f>
        <v/>
      </c>
      <c r="N25" s="1" t="str">
        <f>IF($A25="","",COUNTIFS('INPUT-SIF_Questions'!$A$2:$A$1000,$A25,'INPUT-SIF_Questions'!$N$2:$N$1000,1))</f>
        <v/>
      </c>
      <c r="O25" s="1" t="str">
        <f>IF($A25="","",COUNTIFS('INPUT-SIF_Questions'!$A$2:$A$1000,$A25,'INPUT-SIF_Questions'!$O$2:$O$1000,1))</f>
        <v/>
      </c>
      <c r="P25" s="60" t="str">
        <f t="shared" si="0"/>
        <v/>
      </c>
      <c r="Q25" s="1" t="str">
        <f>IF($A25="","",IFERROR(INDEX('INPUT-SIF_Questions'!$B$2:$B$300,MATCH($A25,'INPUT-SIF_Questions'!$A$2:$A$300,0)),""))</f>
        <v/>
      </c>
      <c r="R25" s="1" t="str">
        <f>IF($A25="","",IFERROR(INDEX('INPUT-SIF_Questions'!$C$2:$C$300,MATCH($A25,'INPUT-SIF_Questions'!$A$2:$A$300,0)),""))</f>
        <v/>
      </c>
      <c r="S25" s="1" t="str">
        <f>IF($A25="","",IFERROR(INDEX('INPUT-SIF_Questions'!$F$2:$F$300,MATCH($A25,'INPUT-SIF_Questions'!$A$2:$A$300,0)),""))</f>
        <v/>
      </c>
      <c r="T25" s="1" t="str">
        <f>IF($A25="","",IFERROR(INDEX('INPUT-SIF_Questions'!$G$2:$G$300,MATCH($A25,'INPUT-SIF_Questions'!$A$2:$A$300,0)),""))</f>
        <v/>
      </c>
      <c r="U25" s="1" t="str">
        <f>IF($A25="","",IFERROR(INDEX('INPUT-SIF_Questions'!$E$2:$E$300,MATCH($A25,'INPUT-SIF_Questions'!$A$2:$A$300,0)),""))</f>
        <v/>
      </c>
    </row>
    <row r="26" spans="1:21" ht="14.25" customHeight="1" x14ac:dyDescent="0.45">
      <c r="B26" s="1" t="str">
        <f>IF($A26="","",IFERROR(INDEX('INPUT-SIF_Questions'!$H$2:$H$1000,MATCH($A26,'INPUT-SIF_Questions'!$A$2:$A$1000,0)),""))</f>
        <v/>
      </c>
      <c r="C26" s="3" t="str">
        <f>IF($A26="","",IFERROR(INDEX('INPUT-SIF_Questions'!$I$2:$I$1000,MATCH($A26,'INPUT-SIF_Questions'!$A$2:$A$1000,0)),""))</f>
        <v/>
      </c>
      <c r="D26" s="59" t="str">
        <f>IF($A26="","",IFERROR(INDEX('INPUT-SIF_Questions'!$S$2:$S$1000,MATCH($A26,'INPUT-SIF_Questions'!$A$2:$A$1000,0)),""))</f>
        <v/>
      </c>
      <c r="E26" s="1" t="str">
        <f>IF($A26="","",IFERROR(INDEX('INPUT-SIF_Questions'!$V$2:$V$1000,MATCH($A26,'INPUT-SIF_Questions'!$A$2:$A$1000,0)),""))</f>
        <v/>
      </c>
      <c r="F26" s="1" t="str">
        <f>IF($A26="","",IFERROR(INDEX('INPUT-SIF_Questions'!$W$2:$W$1000,MATCH($A26,'INPUT-SIF_Questions'!$A$2:$A$1000,0)),""))</f>
        <v/>
      </c>
      <c r="G26" s="3" t="str">
        <f>IF($A26="","",IFERROR(INDEX('INPUT-SIF_Questions'!$X$2:$X$1000,MATCH($A26,'INPUT-SIF_Questions'!$A$2:$A$1000,0)),""))</f>
        <v/>
      </c>
      <c r="H26" s="3" t="str">
        <f>IF($A26="","",IFERROR(INDEX('INPUT-SIF_Questions'!$Y$2:$Y$1000,MATCH($A26,'INPUT-SIF_Questions'!$A$2:$A$1000,0)),""))</f>
        <v/>
      </c>
      <c r="I26" s="1" t="str">
        <f>IF($A26="","",IFERROR(INDEX('INPUT-SIF_Questions'!$Z$2:$Z$1000,MATCH($A26,'INPUT-SIF_Questions'!$A$2:$A$1000,0)),""))</f>
        <v/>
      </c>
      <c r="J26" s="1" t="str">
        <f>IF($A26="","",IFERROR(INDEX('INPUT-SIF_Questions'!$AA$2:$AA$1000,MATCH($A26,'INPUT-SIF_Questions'!$A$2:$A$1000,0)),""))</f>
        <v/>
      </c>
      <c r="K26" s="3" t="str">
        <f>IF($A26="","",IFERROR(INDEX('INPUT-SIF_Questions'!$AB$2:$AB$1000,MATCH($A26,'INPUT-SIF_Questions'!$A$2:$A$1000,0)),""))</f>
        <v/>
      </c>
      <c r="L26" s="3" t="str">
        <f>IF($A26="","",IFERROR(INDEX('INPUT-SIF_Questions'!$AC$2:$AC$1000,MATCH($A26,'INPUT-SIF_Questions'!$A$2:$A$1000,0)),""))</f>
        <v/>
      </c>
      <c r="M26" s="1" t="str">
        <f>IF($A26="","",COUNTIFS('INPUT-SIF_Questions'!$A$2:$A$1000,$A26,'INPUT-SIF_Questions'!$M$2:$M$1000,1))</f>
        <v/>
      </c>
      <c r="N26" s="1" t="str">
        <f>IF($A26="","",COUNTIFS('INPUT-SIF_Questions'!$A$2:$A$1000,$A26,'INPUT-SIF_Questions'!$N$2:$N$1000,1))</f>
        <v/>
      </c>
      <c r="O26" s="1" t="str">
        <f>IF($A26="","",COUNTIFS('INPUT-SIF_Questions'!$A$2:$A$1000,$A26,'INPUT-SIF_Questions'!$O$2:$O$1000,1))</f>
        <v/>
      </c>
      <c r="P26" s="60" t="str">
        <f t="shared" si="0"/>
        <v/>
      </c>
      <c r="Q26" s="1" t="str">
        <f>IF($A26="","",IFERROR(INDEX('INPUT-SIF_Questions'!$B$2:$B$300,MATCH($A26,'INPUT-SIF_Questions'!$A$2:$A$300,0)),""))</f>
        <v/>
      </c>
      <c r="R26" s="1" t="str">
        <f>IF($A26="","",IFERROR(INDEX('INPUT-SIF_Questions'!$C$2:$C$300,MATCH($A26,'INPUT-SIF_Questions'!$A$2:$A$300,0)),""))</f>
        <v/>
      </c>
      <c r="S26" s="1" t="str">
        <f>IF($A26="","",IFERROR(INDEX('INPUT-SIF_Questions'!$F$2:$F$300,MATCH($A26,'INPUT-SIF_Questions'!$A$2:$A$300,0)),""))</f>
        <v/>
      </c>
      <c r="T26" s="1" t="str">
        <f>IF($A26="","",IFERROR(INDEX('INPUT-SIF_Questions'!$G$2:$G$300,MATCH($A26,'INPUT-SIF_Questions'!$A$2:$A$300,0)),""))</f>
        <v/>
      </c>
      <c r="U26" s="1" t="str">
        <f>IF($A26="","",IFERROR(INDEX('INPUT-SIF_Questions'!$E$2:$E$300,MATCH($A26,'INPUT-SIF_Questions'!$A$2:$A$300,0)),""))</f>
        <v/>
      </c>
    </row>
    <row r="27" spans="1:21" ht="14.25" customHeight="1" x14ac:dyDescent="0.45">
      <c r="B27" s="1" t="str">
        <f>IF($A27="","",IFERROR(INDEX('INPUT-SIF_Questions'!$H$2:$H$1000,MATCH($A27,'INPUT-SIF_Questions'!$A$2:$A$1000,0)),""))</f>
        <v/>
      </c>
      <c r="C27" s="3" t="str">
        <f>IF($A27="","",IFERROR(INDEX('INPUT-SIF_Questions'!$I$2:$I$1000,MATCH($A27,'INPUT-SIF_Questions'!$A$2:$A$1000,0)),""))</f>
        <v/>
      </c>
      <c r="D27" s="59" t="str">
        <f>IF($A27="","",IFERROR(INDEX('INPUT-SIF_Questions'!$S$2:$S$1000,MATCH($A27,'INPUT-SIF_Questions'!$A$2:$A$1000,0)),""))</f>
        <v/>
      </c>
      <c r="E27" s="1" t="str">
        <f>IF($A27="","",IFERROR(INDEX('INPUT-SIF_Questions'!$V$2:$V$1000,MATCH($A27,'INPUT-SIF_Questions'!$A$2:$A$1000,0)),""))</f>
        <v/>
      </c>
      <c r="F27" s="1" t="str">
        <f>IF($A27="","",IFERROR(INDEX('INPUT-SIF_Questions'!$W$2:$W$1000,MATCH($A27,'INPUT-SIF_Questions'!$A$2:$A$1000,0)),""))</f>
        <v/>
      </c>
      <c r="G27" s="3" t="str">
        <f>IF($A27="","",IFERROR(INDEX('INPUT-SIF_Questions'!$X$2:$X$1000,MATCH($A27,'INPUT-SIF_Questions'!$A$2:$A$1000,0)),""))</f>
        <v/>
      </c>
      <c r="H27" s="3" t="str">
        <f>IF($A27="","",IFERROR(INDEX('INPUT-SIF_Questions'!$Y$2:$Y$1000,MATCH($A27,'INPUT-SIF_Questions'!$A$2:$A$1000,0)),""))</f>
        <v/>
      </c>
      <c r="I27" s="1" t="str">
        <f>IF($A27="","",IFERROR(INDEX('INPUT-SIF_Questions'!$Z$2:$Z$1000,MATCH($A27,'INPUT-SIF_Questions'!$A$2:$A$1000,0)),""))</f>
        <v/>
      </c>
      <c r="J27" s="1" t="str">
        <f>IF($A27="","",IFERROR(INDEX('INPUT-SIF_Questions'!$AA$2:$AA$1000,MATCH($A27,'INPUT-SIF_Questions'!$A$2:$A$1000,0)),""))</f>
        <v/>
      </c>
      <c r="K27" s="3" t="str">
        <f>IF($A27="","",IFERROR(INDEX('INPUT-SIF_Questions'!$AB$2:$AB$1000,MATCH($A27,'INPUT-SIF_Questions'!$A$2:$A$1000,0)),""))</f>
        <v/>
      </c>
      <c r="L27" s="3" t="str">
        <f>IF($A27="","",IFERROR(INDEX('INPUT-SIF_Questions'!$AC$2:$AC$1000,MATCH($A27,'INPUT-SIF_Questions'!$A$2:$A$1000,0)),""))</f>
        <v/>
      </c>
      <c r="M27" s="1" t="str">
        <f>IF($A27="","",COUNTIFS('INPUT-SIF_Questions'!$A$2:$A$1000,$A27,'INPUT-SIF_Questions'!$M$2:$M$1000,1))</f>
        <v/>
      </c>
      <c r="N27" s="1" t="str">
        <f>IF($A27="","",COUNTIFS('INPUT-SIF_Questions'!$A$2:$A$1000,$A27,'INPUT-SIF_Questions'!$N$2:$N$1000,1))</f>
        <v/>
      </c>
      <c r="O27" s="1" t="str">
        <f>IF($A27="","",COUNTIFS('INPUT-SIF_Questions'!$A$2:$A$1000,$A27,'INPUT-SIF_Questions'!$O$2:$O$1000,1))</f>
        <v/>
      </c>
      <c r="P27" s="60" t="str">
        <f t="shared" si="0"/>
        <v/>
      </c>
      <c r="Q27" s="1" t="str">
        <f>IF($A27="","",IFERROR(INDEX('INPUT-SIF_Questions'!$B$2:$B$300,MATCH($A27,'INPUT-SIF_Questions'!$A$2:$A$300,0)),""))</f>
        <v/>
      </c>
      <c r="R27" s="1" t="str">
        <f>IF($A27="","",IFERROR(INDEX('INPUT-SIF_Questions'!$C$2:$C$300,MATCH($A27,'INPUT-SIF_Questions'!$A$2:$A$300,0)),""))</f>
        <v/>
      </c>
      <c r="S27" s="1" t="str">
        <f>IF($A27="","",IFERROR(INDEX('INPUT-SIF_Questions'!$F$2:$F$300,MATCH($A27,'INPUT-SIF_Questions'!$A$2:$A$300,0)),""))</f>
        <v/>
      </c>
      <c r="T27" s="1" t="str">
        <f>IF($A27="","",IFERROR(INDEX('INPUT-SIF_Questions'!$G$2:$G$300,MATCH($A27,'INPUT-SIF_Questions'!$A$2:$A$300,0)),""))</f>
        <v/>
      </c>
      <c r="U27" s="1" t="str">
        <f>IF($A27="","",IFERROR(INDEX('INPUT-SIF_Questions'!$E$2:$E$300,MATCH($A27,'INPUT-SIF_Questions'!$A$2:$A$300,0)),""))</f>
        <v/>
      </c>
    </row>
    <row r="28" spans="1:21" ht="14.25" customHeight="1" x14ac:dyDescent="0.45">
      <c r="B28" s="1" t="str">
        <f>IF($A28="","",IFERROR(INDEX('INPUT-SIF_Questions'!$H$2:$H$1000,MATCH($A28,'INPUT-SIF_Questions'!$A$2:$A$1000,0)),""))</f>
        <v/>
      </c>
      <c r="C28" s="3" t="str">
        <f>IF($A28="","",IFERROR(INDEX('INPUT-SIF_Questions'!$I$2:$I$1000,MATCH($A28,'INPUT-SIF_Questions'!$A$2:$A$1000,0)),""))</f>
        <v/>
      </c>
      <c r="D28" s="59" t="str">
        <f>IF($A28="","",IFERROR(INDEX('INPUT-SIF_Questions'!$S$2:$S$1000,MATCH($A28,'INPUT-SIF_Questions'!$A$2:$A$1000,0)),""))</f>
        <v/>
      </c>
      <c r="E28" s="1" t="str">
        <f>IF($A28="","",IFERROR(INDEX('INPUT-SIF_Questions'!$V$2:$V$1000,MATCH($A28,'INPUT-SIF_Questions'!$A$2:$A$1000,0)),""))</f>
        <v/>
      </c>
      <c r="F28" s="1" t="str">
        <f>IF($A28="","",IFERROR(INDEX('INPUT-SIF_Questions'!$W$2:$W$1000,MATCH($A28,'INPUT-SIF_Questions'!$A$2:$A$1000,0)),""))</f>
        <v/>
      </c>
      <c r="G28" s="3" t="str">
        <f>IF($A28="","",IFERROR(INDEX('INPUT-SIF_Questions'!$X$2:$X$1000,MATCH($A28,'INPUT-SIF_Questions'!$A$2:$A$1000,0)),""))</f>
        <v/>
      </c>
      <c r="H28" s="3" t="str">
        <f>IF($A28="","",IFERROR(INDEX('INPUT-SIF_Questions'!$Y$2:$Y$1000,MATCH($A28,'INPUT-SIF_Questions'!$A$2:$A$1000,0)),""))</f>
        <v/>
      </c>
      <c r="I28" s="1" t="str">
        <f>IF($A28="","",IFERROR(INDEX('INPUT-SIF_Questions'!$Z$2:$Z$1000,MATCH($A28,'INPUT-SIF_Questions'!$A$2:$A$1000,0)),""))</f>
        <v/>
      </c>
      <c r="J28" s="1" t="str">
        <f>IF($A28="","",IFERROR(INDEX('INPUT-SIF_Questions'!$AA$2:$AA$1000,MATCH($A28,'INPUT-SIF_Questions'!$A$2:$A$1000,0)),""))</f>
        <v/>
      </c>
      <c r="K28" s="3" t="str">
        <f>IF($A28="","",IFERROR(INDEX('INPUT-SIF_Questions'!$AB$2:$AB$1000,MATCH($A28,'INPUT-SIF_Questions'!$A$2:$A$1000,0)),""))</f>
        <v/>
      </c>
      <c r="L28" s="3" t="str">
        <f>IF($A28="","",IFERROR(INDEX('INPUT-SIF_Questions'!$AC$2:$AC$1000,MATCH($A28,'INPUT-SIF_Questions'!$A$2:$A$1000,0)),""))</f>
        <v/>
      </c>
      <c r="M28" s="1" t="str">
        <f>IF($A28="","",COUNTIFS('INPUT-SIF_Questions'!$A$2:$A$1000,$A28,'INPUT-SIF_Questions'!$M$2:$M$1000,1))</f>
        <v/>
      </c>
      <c r="N28" s="1" t="str">
        <f>IF($A28="","",COUNTIFS('INPUT-SIF_Questions'!$A$2:$A$1000,$A28,'INPUT-SIF_Questions'!$N$2:$N$1000,1))</f>
        <v/>
      </c>
      <c r="O28" s="1" t="str">
        <f>IF($A28="","",COUNTIFS('INPUT-SIF_Questions'!$A$2:$A$1000,$A28,'INPUT-SIF_Questions'!$O$2:$O$1000,1))</f>
        <v/>
      </c>
      <c r="P28" s="60" t="str">
        <f t="shared" si="0"/>
        <v/>
      </c>
      <c r="Q28" s="1" t="str">
        <f>IF($A28="","",IFERROR(INDEX('INPUT-SIF_Questions'!$B$2:$B$300,MATCH($A28,'INPUT-SIF_Questions'!$A$2:$A$300,0)),""))</f>
        <v/>
      </c>
      <c r="R28" s="1" t="str">
        <f>IF($A28="","",IFERROR(INDEX('INPUT-SIF_Questions'!$C$2:$C$300,MATCH($A28,'INPUT-SIF_Questions'!$A$2:$A$300,0)),""))</f>
        <v/>
      </c>
      <c r="S28" s="1" t="str">
        <f>IF($A28="","",IFERROR(INDEX('INPUT-SIF_Questions'!$F$2:$F$300,MATCH($A28,'INPUT-SIF_Questions'!$A$2:$A$300,0)),""))</f>
        <v/>
      </c>
      <c r="T28" s="1" t="str">
        <f>IF($A28="","",IFERROR(INDEX('INPUT-SIF_Questions'!$G$2:$G$300,MATCH($A28,'INPUT-SIF_Questions'!$A$2:$A$300,0)),""))</f>
        <v/>
      </c>
      <c r="U28" s="1" t="str">
        <f>IF($A28="","",IFERROR(INDEX('INPUT-SIF_Questions'!$E$2:$E$300,MATCH($A28,'INPUT-SIF_Questions'!$A$2:$A$300,0)),""))</f>
        <v/>
      </c>
    </row>
    <row r="29" spans="1:21" ht="14.25" customHeight="1" x14ac:dyDescent="0.45">
      <c r="B29" s="1" t="str">
        <f>IF($A29="","",IFERROR(INDEX('INPUT-SIF_Questions'!$H$2:$H$1000,MATCH($A29,'INPUT-SIF_Questions'!$A$2:$A$1000,0)),""))</f>
        <v/>
      </c>
      <c r="C29" s="3" t="str">
        <f>IF($A29="","",IFERROR(INDEX('INPUT-SIF_Questions'!$I$2:$I$1000,MATCH($A29,'INPUT-SIF_Questions'!$A$2:$A$1000,0)),""))</f>
        <v/>
      </c>
      <c r="D29" s="59" t="str">
        <f>IF($A29="","",IFERROR(INDEX('INPUT-SIF_Questions'!$S$2:$S$1000,MATCH($A29,'INPUT-SIF_Questions'!$A$2:$A$1000,0)),""))</f>
        <v/>
      </c>
      <c r="E29" s="1" t="str">
        <f>IF($A29="","",IFERROR(INDEX('INPUT-SIF_Questions'!$V$2:$V$1000,MATCH($A29,'INPUT-SIF_Questions'!$A$2:$A$1000,0)),""))</f>
        <v/>
      </c>
      <c r="F29" s="1" t="str">
        <f>IF($A29="","",IFERROR(INDEX('INPUT-SIF_Questions'!$W$2:$W$1000,MATCH($A29,'INPUT-SIF_Questions'!$A$2:$A$1000,0)),""))</f>
        <v/>
      </c>
      <c r="G29" s="3" t="str">
        <f>IF($A29="","",IFERROR(INDEX('INPUT-SIF_Questions'!$X$2:$X$1000,MATCH($A29,'INPUT-SIF_Questions'!$A$2:$A$1000,0)),""))</f>
        <v/>
      </c>
      <c r="H29" s="3" t="str">
        <f>IF($A29="","",IFERROR(INDEX('INPUT-SIF_Questions'!$Y$2:$Y$1000,MATCH($A29,'INPUT-SIF_Questions'!$A$2:$A$1000,0)),""))</f>
        <v/>
      </c>
      <c r="I29" s="1" t="str">
        <f>IF($A29="","",IFERROR(INDEX('INPUT-SIF_Questions'!$Z$2:$Z$1000,MATCH($A29,'INPUT-SIF_Questions'!$A$2:$A$1000,0)),""))</f>
        <v/>
      </c>
      <c r="J29" s="1" t="str">
        <f>IF($A29="","",IFERROR(INDEX('INPUT-SIF_Questions'!$AA$2:$AA$1000,MATCH($A29,'INPUT-SIF_Questions'!$A$2:$A$1000,0)),""))</f>
        <v/>
      </c>
      <c r="K29" s="3" t="str">
        <f>IF($A29="","",IFERROR(INDEX('INPUT-SIF_Questions'!$AB$2:$AB$1000,MATCH($A29,'INPUT-SIF_Questions'!$A$2:$A$1000,0)),""))</f>
        <v/>
      </c>
      <c r="L29" s="3" t="str">
        <f>IF($A29="","",IFERROR(INDEX('INPUT-SIF_Questions'!$AC$2:$AC$1000,MATCH($A29,'INPUT-SIF_Questions'!$A$2:$A$1000,0)),""))</f>
        <v/>
      </c>
      <c r="M29" s="1" t="str">
        <f>IF($A29="","",COUNTIFS('INPUT-SIF_Questions'!$A$2:$A$1000,$A29,'INPUT-SIF_Questions'!$M$2:$M$1000,1))</f>
        <v/>
      </c>
      <c r="N29" s="1" t="str">
        <f>IF($A29="","",COUNTIFS('INPUT-SIF_Questions'!$A$2:$A$1000,$A29,'INPUT-SIF_Questions'!$N$2:$N$1000,1))</f>
        <v/>
      </c>
      <c r="O29" s="1" t="str">
        <f>IF($A29="","",COUNTIFS('INPUT-SIF_Questions'!$A$2:$A$1000,$A29,'INPUT-SIF_Questions'!$O$2:$O$1000,1))</f>
        <v/>
      </c>
      <c r="P29" s="60" t="str">
        <f t="shared" si="0"/>
        <v/>
      </c>
      <c r="Q29" s="1" t="str">
        <f>IF($A29="","",IFERROR(INDEX('INPUT-SIF_Questions'!$B$2:$B$300,MATCH($A29,'INPUT-SIF_Questions'!$A$2:$A$300,0)),""))</f>
        <v/>
      </c>
      <c r="R29" s="1" t="str">
        <f>IF($A29="","",IFERROR(INDEX('INPUT-SIF_Questions'!$C$2:$C$300,MATCH($A29,'INPUT-SIF_Questions'!$A$2:$A$300,0)),""))</f>
        <v/>
      </c>
      <c r="S29" s="1" t="str">
        <f>IF($A29="","",IFERROR(INDEX('INPUT-SIF_Questions'!$F$2:$F$300,MATCH($A29,'INPUT-SIF_Questions'!$A$2:$A$300,0)),""))</f>
        <v/>
      </c>
      <c r="T29" s="1" t="str">
        <f>IF($A29="","",IFERROR(INDEX('INPUT-SIF_Questions'!$G$2:$G$300,MATCH($A29,'INPUT-SIF_Questions'!$A$2:$A$300,0)),""))</f>
        <v/>
      </c>
      <c r="U29" s="1" t="str">
        <f>IF($A29="","",IFERROR(INDEX('INPUT-SIF_Questions'!$E$2:$E$300,MATCH($A29,'INPUT-SIF_Questions'!$A$2:$A$300,0)),""))</f>
        <v/>
      </c>
    </row>
    <row r="30" spans="1:21" ht="14.25" customHeight="1" x14ac:dyDescent="0.45">
      <c r="B30" s="1" t="str">
        <f>IF($A30="","",IFERROR(INDEX('INPUT-SIF_Questions'!$H$2:$H$1000,MATCH($A30,'INPUT-SIF_Questions'!$A$2:$A$1000,0)),""))</f>
        <v/>
      </c>
      <c r="C30" s="3" t="str">
        <f>IF($A30="","",IFERROR(INDEX('INPUT-SIF_Questions'!$I$2:$I$1000,MATCH($A30,'INPUT-SIF_Questions'!$A$2:$A$1000,0)),""))</f>
        <v/>
      </c>
      <c r="D30" s="59" t="str">
        <f>IF($A30="","",IFERROR(INDEX('INPUT-SIF_Questions'!$S$2:$S$1000,MATCH($A30,'INPUT-SIF_Questions'!$A$2:$A$1000,0)),""))</f>
        <v/>
      </c>
      <c r="E30" s="1" t="str">
        <f>IF($A30="","",IFERROR(INDEX('INPUT-SIF_Questions'!$V$2:$V$1000,MATCH($A30,'INPUT-SIF_Questions'!$A$2:$A$1000,0)),""))</f>
        <v/>
      </c>
      <c r="F30" s="1" t="str">
        <f>IF($A30="","",IFERROR(INDEX('INPUT-SIF_Questions'!$W$2:$W$1000,MATCH($A30,'INPUT-SIF_Questions'!$A$2:$A$1000,0)),""))</f>
        <v/>
      </c>
      <c r="G30" s="3" t="str">
        <f>IF($A30="","",IFERROR(INDEX('INPUT-SIF_Questions'!$X$2:$X$1000,MATCH($A30,'INPUT-SIF_Questions'!$A$2:$A$1000,0)),""))</f>
        <v/>
      </c>
      <c r="H30" s="3" t="str">
        <f>IF($A30="","",IFERROR(INDEX('INPUT-SIF_Questions'!$Y$2:$Y$1000,MATCH($A30,'INPUT-SIF_Questions'!$A$2:$A$1000,0)),""))</f>
        <v/>
      </c>
      <c r="I30" s="1" t="str">
        <f>IF($A30="","",IFERROR(INDEX('INPUT-SIF_Questions'!$Z$2:$Z$1000,MATCH($A30,'INPUT-SIF_Questions'!$A$2:$A$1000,0)),""))</f>
        <v/>
      </c>
      <c r="J30" s="1" t="str">
        <f>IF($A30="","",IFERROR(INDEX('INPUT-SIF_Questions'!$AA$2:$AA$1000,MATCH($A30,'INPUT-SIF_Questions'!$A$2:$A$1000,0)),""))</f>
        <v/>
      </c>
      <c r="K30" s="3" t="str">
        <f>IF($A30="","",IFERROR(INDEX('INPUT-SIF_Questions'!$AB$2:$AB$1000,MATCH($A30,'INPUT-SIF_Questions'!$A$2:$A$1000,0)),""))</f>
        <v/>
      </c>
      <c r="L30" s="3" t="str">
        <f>IF($A30="","",IFERROR(INDEX('INPUT-SIF_Questions'!$AC$2:$AC$1000,MATCH($A30,'INPUT-SIF_Questions'!$A$2:$A$1000,0)),""))</f>
        <v/>
      </c>
      <c r="M30" s="1" t="str">
        <f>IF($A30="","",COUNTIFS('INPUT-SIF_Questions'!$A$2:$A$1000,$A30,'INPUT-SIF_Questions'!$M$2:$M$1000,1))</f>
        <v/>
      </c>
      <c r="N30" s="1" t="str">
        <f>IF($A30="","",COUNTIFS('INPUT-SIF_Questions'!$A$2:$A$1000,$A30,'INPUT-SIF_Questions'!$N$2:$N$1000,1))</f>
        <v/>
      </c>
      <c r="O30" s="1" t="str">
        <f>IF($A30="","",COUNTIFS('INPUT-SIF_Questions'!$A$2:$A$1000,$A30,'INPUT-SIF_Questions'!$O$2:$O$1000,1))</f>
        <v/>
      </c>
      <c r="P30" s="60" t="str">
        <f t="shared" si="0"/>
        <v/>
      </c>
      <c r="Q30" s="1" t="str">
        <f>IF($A30="","",IFERROR(INDEX('INPUT-SIF_Questions'!$B$2:$B$300,MATCH($A30,'INPUT-SIF_Questions'!$A$2:$A$300,0)),""))</f>
        <v/>
      </c>
      <c r="R30" s="1" t="str">
        <f>IF($A30="","",IFERROR(INDEX('INPUT-SIF_Questions'!$C$2:$C$300,MATCH($A30,'INPUT-SIF_Questions'!$A$2:$A$300,0)),""))</f>
        <v/>
      </c>
      <c r="S30" s="1" t="str">
        <f>IF($A30="","",IFERROR(INDEX('INPUT-SIF_Questions'!$F$2:$F$300,MATCH($A30,'INPUT-SIF_Questions'!$A$2:$A$300,0)),""))</f>
        <v/>
      </c>
      <c r="T30" s="1" t="str">
        <f>IF($A30="","",IFERROR(INDEX('INPUT-SIF_Questions'!$G$2:$G$300,MATCH($A30,'INPUT-SIF_Questions'!$A$2:$A$300,0)),""))</f>
        <v/>
      </c>
      <c r="U30" s="1" t="str">
        <f>IF($A30="","",IFERROR(INDEX('INPUT-SIF_Questions'!$E$2:$E$300,MATCH($A30,'INPUT-SIF_Questions'!$A$2:$A$300,0)),""))</f>
        <v/>
      </c>
    </row>
    <row r="31" spans="1:21" ht="14.25" customHeight="1" x14ac:dyDescent="0.45">
      <c r="B31" s="1" t="str">
        <f>IF($A31="","",IFERROR(INDEX('INPUT-SIF_Questions'!$H$2:$H$1000,MATCH($A31,'INPUT-SIF_Questions'!$A$2:$A$1000,0)),""))</f>
        <v/>
      </c>
      <c r="C31" s="3" t="str">
        <f>IF($A31="","",IFERROR(INDEX('INPUT-SIF_Questions'!$I$2:$I$1000,MATCH($A31,'INPUT-SIF_Questions'!$A$2:$A$1000,0)),""))</f>
        <v/>
      </c>
      <c r="D31" s="59" t="str">
        <f>IF($A31="","",IFERROR(INDEX('INPUT-SIF_Questions'!$S$2:$S$1000,MATCH($A31,'INPUT-SIF_Questions'!$A$2:$A$1000,0)),""))</f>
        <v/>
      </c>
      <c r="E31" s="1" t="str">
        <f>IF($A31="","",IFERROR(INDEX('INPUT-SIF_Questions'!$V$2:$V$1000,MATCH($A31,'INPUT-SIF_Questions'!$A$2:$A$1000,0)),""))</f>
        <v/>
      </c>
      <c r="F31" s="1" t="str">
        <f>IF($A31="","",IFERROR(INDEX('INPUT-SIF_Questions'!$W$2:$W$1000,MATCH($A31,'INPUT-SIF_Questions'!$A$2:$A$1000,0)),""))</f>
        <v/>
      </c>
      <c r="G31" s="3" t="str">
        <f>IF($A31="","",IFERROR(INDEX('INPUT-SIF_Questions'!$X$2:$X$1000,MATCH($A31,'INPUT-SIF_Questions'!$A$2:$A$1000,0)),""))</f>
        <v/>
      </c>
      <c r="H31" s="3" t="str">
        <f>IF($A31="","",IFERROR(INDEX('INPUT-SIF_Questions'!$Y$2:$Y$1000,MATCH($A31,'INPUT-SIF_Questions'!$A$2:$A$1000,0)),""))</f>
        <v/>
      </c>
      <c r="I31" s="1" t="str">
        <f>IF($A31="","",IFERROR(INDEX('INPUT-SIF_Questions'!$Z$2:$Z$1000,MATCH($A31,'INPUT-SIF_Questions'!$A$2:$A$1000,0)),""))</f>
        <v/>
      </c>
      <c r="J31" s="1" t="str">
        <f>IF($A31="","",IFERROR(INDEX('INPUT-SIF_Questions'!$AA$2:$AA$1000,MATCH($A31,'INPUT-SIF_Questions'!$A$2:$A$1000,0)),""))</f>
        <v/>
      </c>
      <c r="K31" s="3" t="str">
        <f>IF($A31="","",IFERROR(INDEX('INPUT-SIF_Questions'!$AB$2:$AB$1000,MATCH($A31,'INPUT-SIF_Questions'!$A$2:$A$1000,0)),""))</f>
        <v/>
      </c>
      <c r="L31" s="3" t="str">
        <f>IF($A31="","",IFERROR(INDEX('INPUT-SIF_Questions'!$AC$2:$AC$1000,MATCH($A31,'INPUT-SIF_Questions'!$A$2:$A$1000,0)),""))</f>
        <v/>
      </c>
      <c r="M31" s="1" t="str">
        <f>IF($A31="","",COUNTIFS('INPUT-SIF_Questions'!$A$2:$A$1000,$A31,'INPUT-SIF_Questions'!$M$2:$M$1000,1))</f>
        <v/>
      </c>
      <c r="N31" s="1" t="str">
        <f>IF($A31="","",COUNTIFS('INPUT-SIF_Questions'!$A$2:$A$1000,$A31,'INPUT-SIF_Questions'!$N$2:$N$1000,1))</f>
        <v/>
      </c>
      <c r="O31" s="1" t="str">
        <f>IF($A31="","",COUNTIFS('INPUT-SIF_Questions'!$A$2:$A$1000,$A31,'INPUT-SIF_Questions'!$O$2:$O$1000,1))</f>
        <v/>
      </c>
      <c r="P31" s="60" t="str">
        <f t="shared" si="0"/>
        <v/>
      </c>
      <c r="Q31" s="1" t="str">
        <f>IF($A31="","",IFERROR(INDEX('INPUT-SIF_Questions'!$B$2:$B$300,MATCH($A31,'INPUT-SIF_Questions'!$A$2:$A$300,0)),""))</f>
        <v/>
      </c>
      <c r="R31" s="1" t="str">
        <f>IF($A31="","",IFERROR(INDEX('INPUT-SIF_Questions'!$C$2:$C$300,MATCH($A31,'INPUT-SIF_Questions'!$A$2:$A$300,0)),""))</f>
        <v/>
      </c>
      <c r="S31" s="1" t="str">
        <f>IF($A31="","",IFERROR(INDEX('INPUT-SIF_Questions'!$F$2:$F$300,MATCH($A31,'INPUT-SIF_Questions'!$A$2:$A$300,0)),""))</f>
        <v/>
      </c>
      <c r="T31" s="1" t="str">
        <f>IF($A31="","",IFERROR(INDEX('INPUT-SIF_Questions'!$G$2:$G$300,MATCH($A31,'INPUT-SIF_Questions'!$A$2:$A$300,0)),""))</f>
        <v/>
      </c>
      <c r="U31" s="1" t="str">
        <f>IF($A31="","",IFERROR(INDEX('INPUT-SIF_Questions'!$E$2:$E$300,MATCH($A31,'INPUT-SIF_Questions'!$A$2:$A$300,0)),""))</f>
        <v/>
      </c>
    </row>
    <row r="32" spans="1:21" ht="14.25" customHeight="1" x14ac:dyDescent="0.45">
      <c r="B32" s="1" t="str">
        <f>IF($A32="","",IFERROR(INDEX('INPUT-SIF_Questions'!$H$2:$H$1000,MATCH($A32,'INPUT-SIF_Questions'!$A$2:$A$1000,0)),""))</f>
        <v/>
      </c>
      <c r="C32" s="3" t="str">
        <f>IF($A32="","",IFERROR(INDEX('INPUT-SIF_Questions'!$I$2:$I$1000,MATCH($A32,'INPUT-SIF_Questions'!$A$2:$A$1000,0)),""))</f>
        <v/>
      </c>
      <c r="D32" s="59" t="str">
        <f>IF($A32="","",IFERROR(INDEX('INPUT-SIF_Questions'!$S$2:$S$1000,MATCH($A32,'INPUT-SIF_Questions'!$A$2:$A$1000,0)),""))</f>
        <v/>
      </c>
      <c r="E32" s="1" t="str">
        <f>IF($A32="","",IFERROR(INDEX('INPUT-SIF_Questions'!$V$2:$V$1000,MATCH($A32,'INPUT-SIF_Questions'!$A$2:$A$1000,0)),""))</f>
        <v/>
      </c>
      <c r="F32" s="1" t="str">
        <f>IF($A32="","",IFERROR(INDEX('INPUT-SIF_Questions'!$W$2:$W$1000,MATCH($A32,'INPUT-SIF_Questions'!$A$2:$A$1000,0)),""))</f>
        <v/>
      </c>
      <c r="G32" s="3" t="str">
        <f>IF($A32="","",IFERROR(INDEX('INPUT-SIF_Questions'!$X$2:$X$1000,MATCH($A32,'INPUT-SIF_Questions'!$A$2:$A$1000,0)),""))</f>
        <v/>
      </c>
      <c r="H32" s="3" t="str">
        <f>IF($A32="","",IFERROR(INDEX('INPUT-SIF_Questions'!$Y$2:$Y$1000,MATCH($A32,'INPUT-SIF_Questions'!$A$2:$A$1000,0)),""))</f>
        <v/>
      </c>
      <c r="I32" s="1" t="str">
        <f>IF($A32="","",IFERROR(INDEX('INPUT-SIF_Questions'!$Z$2:$Z$1000,MATCH($A32,'INPUT-SIF_Questions'!$A$2:$A$1000,0)),""))</f>
        <v/>
      </c>
      <c r="J32" s="1" t="str">
        <f>IF($A32="","",IFERROR(INDEX('INPUT-SIF_Questions'!$AA$2:$AA$1000,MATCH($A32,'INPUT-SIF_Questions'!$A$2:$A$1000,0)),""))</f>
        <v/>
      </c>
      <c r="K32" s="3" t="str">
        <f>IF($A32="","",IFERROR(INDEX('INPUT-SIF_Questions'!$AB$2:$AB$1000,MATCH($A32,'INPUT-SIF_Questions'!$A$2:$A$1000,0)),""))</f>
        <v/>
      </c>
      <c r="L32" s="3" t="str">
        <f>IF($A32="","",IFERROR(INDEX('INPUT-SIF_Questions'!$AC$2:$AC$1000,MATCH($A32,'INPUT-SIF_Questions'!$A$2:$A$1000,0)),""))</f>
        <v/>
      </c>
      <c r="M32" s="1" t="str">
        <f>IF($A32="","",COUNTIFS('INPUT-SIF_Questions'!$A$2:$A$1000,$A32,'INPUT-SIF_Questions'!$M$2:$M$1000,1))</f>
        <v/>
      </c>
      <c r="N32" s="1" t="str">
        <f>IF($A32="","",COUNTIFS('INPUT-SIF_Questions'!$A$2:$A$1000,$A32,'INPUT-SIF_Questions'!$N$2:$N$1000,1))</f>
        <v/>
      </c>
      <c r="O32" s="1" t="str">
        <f>IF($A32="","",COUNTIFS('INPUT-SIF_Questions'!$A$2:$A$1000,$A32,'INPUT-SIF_Questions'!$O$2:$O$1000,1))</f>
        <v/>
      </c>
      <c r="P32" s="60" t="str">
        <f t="shared" si="0"/>
        <v/>
      </c>
      <c r="Q32" s="1" t="str">
        <f>IF($A32="","",IFERROR(INDEX('INPUT-SIF_Questions'!$B$2:$B$300,MATCH($A32,'INPUT-SIF_Questions'!$A$2:$A$300,0)),""))</f>
        <v/>
      </c>
      <c r="R32" s="1" t="str">
        <f>IF($A32="","",IFERROR(INDEX('INPUT-SIF_Questions'!$C$2:$C$300,MATCH($A32,'INPUT-SIF_Questions'!$A$2:$A$300,0)),""))</f>
        <v/>
      </c>
      <c r="S32" s="1" t="str">
        <f>IF($A32="","",IFERROR(INDEX('INPUT-SIF_Questions'!$F$2:$F$300,MATCH($A32,'INPUT-SIF_Questions'!$A$2:$A$300,0)),""))</f>
        <v/>
      </c>
      <c r="T32" s="1" t="str">
        <f>IF($A32="","",IFERROR(INDEX('INPUT-SIF_Questions'!$G$2:$G$300,MATCH($A32,'INPUT-SIF_Questions'!$A$2:$A$300,0)),""))</f>
        <v/>
      </c>
      <c r="U32" s="1" t="str">
        <f>IF($A32="","",IFERROR(INDEX('INPUT-SIF_Questions'!$E$2:$E$300,MATCH($A32,'INPUT-SIF_Questions'!$A$2:$A$300,0)),""))</f>
        <v/>
      </c>
    </row>
    <row r="33" spans="2:21" ht="14.25" customHeight="1" x14ac:dyDescent="0.45">
      <c r="B33" s="1" t="str">
        <f>IF($A33="","",IFERROR(INDEX('INPUT-SIF_Questions'!$H$2:$H$1000,MATCH($A33,'INPUT-SIF_Questions'!$A$2:$A$1000,0)),""))</f>
        <v/>
      </c>
      <c r="C33" s="3" t="str">
        <f>IF($A33="","",IFERROR(INDEX('INPUT-SIF_Questions'!$I$2:$I$1000,MATCH($A33,'INPUT-SIF_Questions'!$A$2:$A$1000,0)),""))</f>
        <v/>
      </c>
      <c r="D33" s="59" t="str">
        <f>IF($A33="","",IFERROR(INDEX('INPUT-SIF_Questions'!$S$2:$S$1000,MATCH($A33,'INPUT-SIF_Questions'!$A$2:$A$1000,0)),""))</f>
        <v/>
      </c>
      <c r="E33" s="1" t="str">
        <f>IF($A33="","",IFERROR(INDEX('INPUT-SIF_Questions'!$V$2:$V$1000,MATCH($A33,'INPUT-SIF_Questions'!$A$2:$A$1000,0)),""))</f>
        <v/>
      </c>
      <c r="F33" s="1" t="str">
        <f>IF($A33="","",IFERROR(INDEX('INPUT-SIF_Questions'!$W$2:$W$1000,MATCH($A33,'INPUT-SIF_Questions'!$A$2:$A$1000,0)),""))</f>
        <v/>
      </c>
      <c r="G33" s="3" t="str">
        <f>IF($A33="","",IFERROR(INDEX('INPUT-SIF_Questions'!$X$2:$X$1000,MATCH($A33,'INPUT-SIF_Questions'!$A$2:$A$1000,0)),""))</f>
        <v/>
      </c>
      <c r="H33" s="3" t="str">
        <f>IF($A33="","",IFERROR(INDEX('INPUT-SIF_Questions'!$Y$2:$Y$1000,MATCH($A33,'INPUT-SIF_Questions'!$A$2:$A$1000,0)),""))</f>
        <v/>
      </c>
      <c r="I33" s="1" t="str">
        <f>IF($A33="","",IFERROR(INDEX('INPUT-SIF_Questions'!$Z$2:$Z$1000,MATCH($A33,'INPUT-SIF_Questions'!$A$2:$A$1000,0)),""))</f>
        <v/>
      </c>
      <c r="J33" s="1" t="str">
        <f>IF($A33="","",IFERROR(INDEX('INPUT-SIF_Questions'!$AA$2:$AA$1000,MATCH($A33,'INPUT-SIF_Questions'!$A$2:$A$1000,0)),""))</f>
        <v/>
      </c>
      <c r="K33" s="3" t="str">
        <f>IF($A33="","",IFERROR(INDEX('INPUT-SIF_Questions'!$AB$2:$AB$1000,MATCH($A33,'INPUT-SIF_Questions'!$A$2:$A$1000,0)),""))</f>
        <v/>
      </c>
      <c r="L33" s="3" t="str">
        <f>IF($A33="","",IFERROR(INDEX('INPUT-SIF_Questions'!$AC$2:$AC$1000,MATCH($A33,'INPUT-SIF_Questions'!$A$2:$A$1000,0)),""))</f>
        <v/>
      </c>
      <c r="M33" s="1" t="str">
        <f>IF($A33="","",COUNTIFS('INPUT-SIF_Questions'!$A$2:$A$1000,$A33,'INPUT-SIF_Questions'!$M$2:$M$1000,1))</f>
        <v/>
      </c>
      <c r="N33" s="1" t="str">
        <f>IF($A33="","",COUNTIFS('INPUT-SIF_Questions'!$A$2:$A$1000,$A33,'INPUT-SIF_Questions'!$N$2:$N$1000,1))</f>
        <v/>
      </c>
      <c r="O33" s="1" t="str">
        <f>IF($A33="","",COUNTIFS('INPUT-SIF_Questions'!$A$2:$A$1000,$A33,'INPUT-SIF_Questions'!$O$2:$O$1000,1))</f>
        <v/>
      </c>
      <c r="P33" s="60" t="str">
        <f t="shared" si="0"/>
        <v/>
      </c>
      <c r="Q33" s="1" t="str">
        <f>IF($A33="","",IFERROR(INDEX('INPUT-SIF_Questions'!$B$2:$B$300,MATCH($A33,'INPUT-SIF_Questions'!$A$2:$A$300,0)),""))</f>
        <v/>
      </c>
      <c r="R33" s="1" t="str">
        <f>IF($A33="","",IFERROR(INDEX('INPUT-SIF_Questions'!$C$2:$C$300,MATCH($A33,'INPUT-SIF_Questions'!$A$2:$A$300,0)),""))</f>
        <v/>
      </c>
      <c r="S33" s="1" t="str">
        <f>IF($A33="","",IFERROR(INDEX('INPUT-SIF_Questions'!$F$2:$F$300,MATCH($A33,'INPUT-SIF_Questions'!$A$2:$A$300,0)),""))</f>
        <v/>
      </c>
      <c r="T33" s="1" t="str">
        <f>IF($A33="","",IFERROR(INDEX('INPUT-SIF_Questions'!$G$2:$G$300,MATCH($A33,'INPUT-SIF_Questions'!$A$2:$A$300,0)),""))</f>
        <v/>
      </c>
      <c r="U33" s="1" t="str">
        <f>IF($A33="","",IFERROR(INDEX('INPUT-SIF_Questions'!$E$2:$E$300,MATCH($A33,'INPUT-SIF_Questions'!$A$2:$A$300,0)),""))</f>
        <v/>
      </c>
    </row>
    <row r="34" spans="2:21" ht="14.25" customHeight="1" x14ac:dyDescent="0.45">
      <c r="B34" s="1" t="str">
        <f>IF($A34="","",IFERROR(INDEX('INPUT-SIF_Questions'!$H$2:$H$1000,MATCH($A34,'INPUT-SIF_Questions'!$A$2:$A$1000,0)),""))</f>
        <v/>
      </c>
      <c r="C34" s="3" t="str">
        <f>IF($A34="","",IFERROR(INDEX('INPUT-SIF_Questions'!$I$2:$I$1000,MATCH($A34,'INPUT-SIF_Questions'!$A$2:$A$1000,0)),""))</f>
        <v/>
      </c>
      <c r="D34" s="59" t="str">
        <f>IF($A34="","",IFERROR(INDEX('INPUT-SIF_Questions'!$S$2:$S$1000,MATCH($A34,'INPUT-SIF_Questions'!$A$2:$A$1000,0)),""))</f>
        <v/>
      </c>
      <c r="E34" s="1" t="str">
        <f>IF($A34="","",IFERROR(INDEX('INPUT-SIF_Questions'!$V$2:$V$1000,MATCH($A34,'INPUT-SIF_Questions'!$A$2:$A$1000,0)),""))</f>
        <v/>
      </c>
      <c r="F34" s="1" t="str">
        <f>IF($A34="","",IFERROR(INDEX('INPUT-SIF_Questions'!$W$2:$W$1000,MATCH($A34,'INPUT-SIF_Questions'!$A$2:$A$1000,0)),""))</f>
        <v/>
      </c>
      <c r="G34" s="3" t="str">
        <f>IF($A34="","",IFERROR(INDEX('INPUT-SIF_Questions'!$X$2:$X$1000,MATCH($A34,'INPUT-SIF_Questions'!$A$2:$A$1000,0)),""))</f>
        <v/>
      </c>
      <c r="H34" s="3" t="str">
        <f>IF($A34="","",IFERROR(INDEX('INPUT-SIF_Questions'!$Y$2:$Y$1000,MATCH($A34,'INPUT-SIF_Questions'!$A$2:$A$1000,0)),""))</f>
        <v/>
      </c>
      <c r="I34" s="1" t="str">
        <f>IF($A34="","",IFERROR(INDEX('INPUT-SIF_Questions'!$Z$2:$Z$1000,MATCH($A34,'INPUT-SIF_Questions'!$A$2:$A$1000,0)),""))</f>
        <v/>
      </c>
      <c r="J34" s="1" t="str">
        <f>IF($A34="","",IFERROR(INDEX('INPUT-SIF_Questions'!$AA$2:$AA$1000,MATCH($A34,'INPUT-SIF_Questions'!$A$2:$A$1000,0)),""))</f>
        <v/>
      </c>
      <c r="K34" s="3" t="str">
        <f>IF($A34="","",IFERROR(INDEX('INPUT-SIF_Questions'!$AB$2:$AB$1000,MATCH($A34,'INPUT-SIF_Questions'!$A$2:$A$1000,0)),""))</f>
        <v/>
      </c>
      <c r="L34" s="3" t="str">
        <f>IF($A34="","",IFERROR(INDEX('INPUT-SIF_Questions'!$AC$2:$AC$1000,MATCH($A34,'INPUT-SIF_Questions'!$A$2:$A$1000,0)),""))</f>
        <v/>
      </c>
      <c r="M34" s="1" t="str">
        <f>IF($A34="","",COUNTIFS('INPUT-SIF_Questions'!$A$2:$A$1000,$A34,'INPUT-SIF_Questions'!$M$2:$M$1000,1))</f>
        <v/>
      </c>
      <c r="N34" s="1" t="str">
        <f>IF($A34="","",COUNTIFS('INPUT-SIF_Questions'!$A$2:$A$1000,$A34,'INPUT-SIF_Questions'!$N$2:$N$1000,1))</f>
        <v/>
      </c>
      <c r="O34" s="1" t="str">
        <f>IF($A34="","",COUNTIFS('INPUT-SIF_Questions'!$A$2:$A$1000,$A34,'INPUT-SIF_Questions'!$O$2:$O$1000,1))</f>
        <v/>
      </c>
      <c r="P34" s="60" t="str">
        <f t="shared" ref="P34:P65" si="1">IF($A34="","",IFERROR(M34/(M34+N34),0))</f>
        <v/>
      </c>
      <c r="Q34" s="1" t="str">
        <f>IF($A34="","",IFERROR(INDEX('INPUT-SIF_Questions'!$B$2:$B$300,MATCH($A34,'INPUT-SIF_Questions'!$A$2:$A$300,0)),""))</f>
        <v/>
      </c>
      <c r="R34" s="1" t="str">
        <f>IF($A34="","",IFERROR(INDEX('INPUT-SIF_Questions'!$C$2:$C$300,MATCH($A34,'INPUT-SIF_Questions'!$A$2:$A$300,0)),""))</f>
        <v/>
      </c>
      <c r="S34" s="1" t="str">
        <f>IF($A34="","",IFERROR(INDEX('INPUT-SIF_Questions'!$F$2:$F$300,MATCH($A34,'INPUT-SIF_Questions'!$A$2:$A$300,0)),""))</f>
        <v/>
      </c>
      <c r="T34" s="1" t="str">
        <f>IF($A34="","",IFERROR(INDEX('INPUT-SIF_Questions'!$G$2:$G$300,MATCH($A34,'INPUT-SIF_Questions'!$A$2:$A$300,0)),""))</f>
        <v/>
      </c>
      <c r="U34" s="1" t="str">
        <f>IF($A34="","",IFERROR(INDEX('INPUT-SIF_Questions'!$E$2:$E$300,MATCH($A34,'INPUT-SIF_Questions'!$A$2:$A$300,0)),""))</f>
        <v/>
      </c>
    </row>
    <row r="35" spans="2:21" ht="14.25" customHeight="1" x14ac:dyDescent="0.45">
      <c r="B35" s="1" t="str">
        <f>IF($A35="","",IFERROR(INDEX('INPUT-SIF_Questions'!$H$2:$H$1000,MATCH($A35,'INPUT-SIF_Questions'!$A$2:$A$1000,0)),""))</f>
        <v/>
      </c>
      <c r="C35" s="3" t="str">
        <f>IF($A35="","",IFERROR(INDEX('INPUT-SIF_Questions'!$I$2:$I$1000,MATCH($A35,'INPUT-SIF_Questions'!$A$2:$A$1000,0)),""))</f>
        <v/>
      </c>
      <c r="D35" s="59" t="str">
        <f>IF($A35="","",IFERROR(INDEX('INPUT-SIF_Questions'!$S$2:$S$1000,MATCH($A35,'INPUT-SIF_Questions'!$A$2:$A$1000,0)),""))</f>
        <v/>
      </c>
      <c r="E35" s="1" t="str">
        <f>IF($A35="","",IFERROR(INDEX('INPUT-SIF_Questions'!$V$2:$V$1000,MATCH($A35,'INPUT-SIF_Questions'!$A$2:$A$1000,0)),""))</f>
        <v/>
      </c>
      <c r="F35" s="1" t="str">
        <f>IF($A35="","",IFERROR(INDEX('INPUT-SIF_Questions'!$W$2:$W$1000,MATCH($A35,'INPUT-SIF_Questions'!$A$2:$A$1000,0)),""))</f>
        <v/>
      </c>
      <c r="G35" s="3" t="str">
        <f>IF($A35="","",IFERROR(INDEX('INPUT-SIF_Questions'!$X$2:$X$1000,MATCH($A35,'INPUT-SIF_Questions'!$A$2:$A$1000,0)),""))</f>
        <v/>
      </c>
      <c r="H35" s="3" t="str">
        <f>IF($A35="","",IFERROR(INDEX('INPUT-SIF_Questions'!$Y$2:$Y$1000,MATCH($A35,'INPUT-SIF_Questions'!$A$2:$A$1000,0)),""))</f>
        <v/>
      </c>
      <c r="I35" s="1" t="str">
        <f>IF($A35="","",IFERROR(INDEX('INPUT-SIF_Questions'!$Z$2:$Z$1000,MATCH($A35,'INPUT-SIF_Questions'!$A$2:$A$1000,0)),""))</f>
        <v/>
      </c>
      <c r="J35" s="1" t="str">
        <f>IF($A35="","",IFERROR(INDEX('INPUT-SIF_Questions'!$AA$2:$AA$1000,MATCH($A35,'INPUT-SIF_Questions'!$A$2:$A$1000,0)),""))</f>
        <v/>
      </c>
      <c r="K35" s="3" t="str">
        <f>IF($A35="","",IFERROR(INDEX('INPUT-SIF_Questions'!$AB$2:$AB$1000,MATCH($A35,'INPUT-SIF_Questions'!$A$2:$A$1000,0)),""))</f>
        <v/>
      </c>
      <c r="L35" s="3" t="str">
        <f>IF($A35="","",IFERROR(INDEX('INPUT-SIF_Questions'!$AC$2:$AC$1000,MATCH($A35,'INPUT-SIF_Questions'!$A$2:$A$1000,0)),""))</f>
        <v/>
      </c>
      <c r="M35" s="1" t="str">
        <f>IF($A35="","",COUNTIFS('INPUT-SIF_Questions'!$A$2:$A$1000,$A35,'INPUT-SIF_Questions'!$M$2:$M$1000,1))</f>
        <v/>
      </c>
      <c r="N35" s="1" t="str">
        <f>IF($A35="","",COUNTIFS('INPUT-SIF_Questions'!$A$2:$A$1000,$A35,'INPUT-SIF_Questions'!$N$2:$N$1000,1))</f>
        <v/>
      </c>
      <c r="O35" s="1" t="str">
        <f>IF($A35="","",COUNTIFS('INPUT-SIF_Questions'!$A$2:$A$1000,$A35,'INPUT-SIF_Questions'!$O$2:$O$1000,1))</f>
        <v/>
      </c>
      <c r="P35" s="60" t="str">
        <f t="shared" si="1"/>
        <v/>
      </c>
      <c r="Q35" s="1" t="str">
        <f>IF($A35="","",IFERROR(INDEX('INPUT-SIF_Questions'!$B$2:$B$300,MATCH($A35,'INPUT-SIF_Questions'!$A$2:$A$300,0)),""))</f>
        <v/>
      </c>
      <c r="R35" s="1" t="str">
        <f>IF($A35="","",IFERROR(INDEX('INPUT-SIF_Questions'!$C$2:$C$300,MATCH($A35,'INPUT-SIF_Questions'!$A$2:$A$300,0)),""))</f>
        <v/>
      </c>
      <c r="S35" s="1" t="str">
        <f>IF($A35="","",IFERROR(INDEX('INPUT-SIF_Questions'!$F$2:$F$300,MATCH($A35,'INPUT-SIF_Questions'!$A$2:$A$300,0)),""))</f>
        <v/>
      </c>
      <c r="T35" s="1" t="str">
        <f>IF($A35="","",IFERROR(INDEX('INPUT-SIF_Questions'!$G$2:$G$300,MATCH($A35,'INPUT-SIF_Questions'!$A$2:$A$300,0)),""))</f>
        <v/>
      </c>
      <c r="U35" s="1" t="str">
        <f>IF($A35="","",IFERROR(INDEX('INPUT-SIF_Questions'!$E$2:$E$300,MATCH($A35,'INPUT-SIF_Questions'!$A$2:$A$300,0)),""))</f>
        <v/>
      </c>
    </row>
    <row r="36" spans="2:21" ht="14.25" customHeight="1" x14ac:dyDescent="0.45">
      <c r="B36" s="1" t="str">
        <f>IF($A36="","",IFERROR(INDEX('INPUT-SIF_Questions'!$H$2:$H$1000,MATCH($A36,'INPUT-SIF_Questions'!$A$2:$A$1000,0)),""))</f>
        <v/>
      </c>
      <c r="C36" s="3" t="str">
        <f>IF($A36="","",IFERROR(INDEX('INPUT-SIF_Questions'!$I$2:$I$1000,MATCH($A36,'INPUT-SIF_Questions'!$A$2:$A$1000,0)),""))</f>
        <v/>
      </c>
      <c r="D36" s="59" t="str">
        <f>IF($A36="","",IFERROR(INDEX('INPUT-SIF_Questions'!$S$2:$S$1000,MATCH($A36,'INPUT-SIF_Questions'!$A$2:$A$1000,0)),""))</f>
        <v/>
      </c>
      <c r="E36" s="1" t="str">
        <f>IF($A36="","",IFERROR(INDEX('INPUT-SIF_Questions'!$V$2:$V$1000,MATCH($A36,'INPUT-SIF_Questions'!$A$2:$A$1000,0)),""))</f>
        <v/>
      </c>
      <c r="F36" s="1" t="str">
        <f>IF($A36="","",IFERROR(INDEX('INPUT-SIF_Questions'!$W$2:$W$1000,MATCH($A36,'INPUT-SIF_Questions'!$A$2:$A$1000,0)),""))</f>
        <v/>
      </c>
      <c r="G36" s="3" t="str">
        <f>IF($A36="","",IFERROR(INDEX('INPUT-SIF_Questions'!$X$2:$X$1000,MATCH($A36,'INPUT-SIF_Questions'!$A$2:$A$1000,0)),""))</f>
        <v/>
      </c>
      <c r="H36" s="3" t="str">
        <f>IF($A36="","",IFERROR(INDEX('INPUT-SIF_Questions'!$Y$2:$Y$1000,MATCH($A36,'INPUT-SIF_Questions'!$A$2:$A$1000,0)),""))</f>
        <v/>
      </c>
      <c r="I36" s="1" t="str">
        <f>IF($A36="","",IFERROR(INDEX('INPUT-SIF_Questions'!$Z$2:$Z$1000,MATCH($A36,'INPUT-SIF_Questions'!$A$2:$A$1000,0)),""))</f>
        <v/>
      </c>
      <c r="J36" s="1" t="str">
        <f>IF($A36="","",IFERROR(INDEX('INPUT-SIF_Questions'!$AA$2:$AA$1000,MATCH($A36,'INPUT-SIF_Questions'!$A$2:$A$1000,0)),""))</f>
        <v/>
      </c>
      <c r="K36" s="3" t="str">
        <f>IF($A36="","",IFERROR(INDEX('INPUT-SIF_Questions'!$AB$2:$AB$1000,MATCH($A36,'INPUT-SIF_Questions'!$A$2:$A$1000,0)),""))</f>
        <v/>
      </c>
      <c r="L36" s="3" t="str">
        <f>IF($A36="","",IFERROR(INDEX('INPUT-SIF_Questions'!$AC$2:$AC$1000,MATCH($A36,'INPUT-SIF_Questions'!$A$2:$A$1000,0)),""))</f>
        <v/>
      </c>
      <c r="M36" s="1" t="str">
        <f>IF($A36="","",COUNTIFS('INPUT-SIF_Questions'!$A$2:$A$1000,$A36,'INPUT-SIF_Questions'!$M$2:$M$1000,1))</f>
        <v/>
      </c>
      <c r="N36" s="1" t="str">
        <f>IF($A36="","",COUNTIFS('INPUT-SIF_Questions'!$A$2:$A$1000,$A36,'INPUT-SIF_Questions'!$N$2:$N$1000,1))</f>
        <v/>
      </c>
      <c r="O36" s="1" t="str">
        <f>IF($A36="","",COUNTIFS('INPUT-SIF_Questions'!$A$2:$A$1000,$A36,'INPUT-SIF_Questions'!$O$2:$O$1000,1))</f>
        <v/>
      </c>
      <c r="P36" s="60" t="str">
        <f t="shared" si="1"/>
        <v/>
      </c>
      <c r="Q36" s="1" t="str">
        <f>IF($A36="","",IFERROR(INDEX('INPUT-SIF_Questions'!$B$2:$B$300,MATCH($A36,'INPUT-SIF_Questions'!$A$2:$A$300,0)),""))</f>
        <v/>
      </c>
      <c r="R36" s="1" t="str">
        <f>IF($A36="","",IFERROR(INDEX('INPUT-SIF_Questions'!$C$2:$C$300,MATCH($A36,'INPUT-SIF_Questions'!$A$2:$A$300,0)),""))</f>
        <v/>
      </c>
      <c r="S36" s="1" t="str">
        <f>IF($A36="","",IFERROR(INDEX('INPUT-SIF_Questions'!$F$2:$F$300,MATCH($A36,'INPUT-SIF_Questions'!$A$2:$A$300,0)),""))</f>
        <v/>
      </c>
      <c r="T36" s="1" t="str">
        <f>IF($A36="","",IFERROR(INDEX('INPUT-SIF_Questions'!$G$2:$G$300,MATCH($A36,'INPUT-SIF_Questions'!$A$2:$A$300,0)),""))</f>
        <v/>
      </c>
      <c r="U36" s="1" t="str">
        <f>IF($A36="","",IFERROR(INDEX('INPUT-SIF_Questions'!$E$2:$E$300,MATCH($A36,'INPUT-SIF_Questions'!$A$2:$A$300,0)),""))</f>
        <v/>
      </c>
    </row>
    <row r="37" spans="2:21" ht="14.25" customHeight="1" x14ac:dyDescent="0.45">
      <c r="B37" s="1" t="str">
        <f>IF($A37="","",IFERROR(INDEX('INPUT-SIF_Questions'!$H$2:$H$1000,MATCH($A37,'INPUT-SIF_Questions'!$A$2:$A$1000,0)),""))</f>
        <v/>
      </c>
      <c r="C37" s="3" t="str">
        <f>IF($A37="","",IFERROR(INDEX('INPUT-SIF_Questions'!$I$2:$I$1000,MATCH($A37,'INPUT-SIF_Questions'!$A$2:$A$1000,0)),""))</f>
        <v/>
      </c>
      <c r="D37" s="59" t="str">
        <f>IF($A37="","",IFERROR(INDEX('INPUT-SIF_Questions'!$S$2:$S$1000,MATCH($A37,'INPUT-SIF_Questions'!$A$2:$A$1000,0)),""))</f>
        <v/>
      </c>
      <c r="E37" s="1" t="str">
        <f>IF($A37="","",IFERROR(INDEX('INPUT-SIF_Questions'!$V$2:$V$1000,MATCH($A37,'INPUT-SIF_Questions'!$A$2:$A$1000,0)),""))</f>
        <v/>
      </c>
      <c r="F37" s="1" t="str">
        <f>IF($A37="","",IFERROR(INDEX('INPUT-SIF_Questions'!$W$2:$W$1000,MATCH($A37,'INPUT-SIF_Questions'!$A$2:$A$1000,0)),""))</f>
        <v/>
      </c>
      <c r="G37" s="3" t="str">
        <f>IF($A37="","",IFERROR(INDEX('INPUT-SIF_Questions'!$X$2:$X$1000,MATCH($A37,'INPUT-SIF_Questions'!$A$2:$A$1000,0)),""))</f>
        <v/>
      </c>
      <c r="H37" s="3" t="str">
        <f>IF($A37="","",IFERROR(INDEX('INPUT-SIF_Questions'!$Y$2:$Y$1000,MATCH($A37,'INPUT-SIF_Questions'!$A$2:$A$1000,0)),""))</f>
        <v/>
      </c>
      <c r="I37" s="1" t="str">
        <f>IF($A37="","",IFERROR(INDEX('INPUT-SIF_Questions'!$Z$2:$Z$1000,MATCH($A37,'INPUT-SIF_Questions'!$A$2:$A$1000,0)),""))</f>
        <v/>
      </c>
      <c r="J37" s="1" t="str">
        <f>IF($A37="","",IFERROR(INDEX('INPUT-SIF_Questions'!$AA$2:$AA$1000,MATCH($A37,'INPUT-SIF_Questions'!$A$2:$A$1000,0)),""))</f>
        <v/>
      </c>
      <c r="K37" s="3" t="str">
        <f>IF($A37="","",IFERROR(INDEX('INPUT-SIF_Questions'!$AB$2:$AB$1000,MATCH($A37,'INPUT-SIF_Questions'!$A$2:$A$1000,0)),""))</f>
        <v/>
      </c>
      <c r="L37" s="3" t="str">
        <f>IF($A37="","",IFERROR(INDEX('INPUT-SIF_Questions'!$AC$2:$AC$1000,MATCH($A37,'INPUT-SIF_Questions'!$A$2:$A$1000,0)),""))</f>
        <v/>
      </c>
      <c r="M37" s="1" t="str">
        <f>IF($A37="","",COUNTIFS('INPUT-SIF_Questions'!$A$2:$A$1000,$A37,'INPUT-SIF_Questions'!$M$2:$M$1000,1))</f>
        <v/>
      </c>
      <c r="N37" s="1" t="str">
        <f>IF($A37="","",COUNTIFS('INPUT-SIF_Questions'!$A$2:$A$1000,$A37,'INPUT-SIF_Questions'!$N$2:$N$1000,1))</f>
        <v/>
      </c>
      <c r="O37" s="1" t="str">
        <f>IF($A37="","",COUNTIFS('INPUT-SIF_Questions'!$A$2:$A$1000,$A37,'INPUT-SIF_Questions'!$O$2:$O$1000,1))</f>
        <v/>
      </c>
      <c r="P37" s="60" t="str">
        <f t="shared" si="1"/>
        <v/>
      </c>
      <c r="Q37" s="1" t="str">
        <f>IF($A37="","",IFERROR(INDEX('INPUT-SIF_Questions'!$B$2:$B$300,MATCH($A37,'INPUT-SIF_Questions'!$A$2:$A$300,0)),""))</f>
        <v/>
      </c>
      <c r="R37" s="1" t="str">
        <f>IF($A37="","",IFERROR(INDEX('INPUT-SIF_Questions'!$C$2:$C$300,MATCH($A37,'INPUT-SIF_Questions'!$A$2:$A$300,0)),""))</f>
        <v/>
      </c>
      <c r="S37" s="1" t="str">
        <f>IF($A37="","",IFERROR(INDEX('INPUT-SIF_Questions'!$F$2:$F$300,MATCH($A37,'INPUT-SIF_Questions'!$A$2:$A$300,0)),""))</f>
        <v/>
      </c>
      <c r="T37" s="1" t="str">
        <f>IF($A37="","",IFERROR(INDEX('INPUT-SIF_Questions'!$G$2:$G$300,MATCH($A37,'INPUT-SIF_Questions'!$A$2:$A$300,0)),""))</f>
        <v/>
      </c>
      <c r="U37" s="1" t="str">
        <f>IF($A37="","",IFERROR(INDEX('INPUT-SIF_Questions'!$E$2:$E$300,MATCH($A37,'INPUT-SIF_Questions'!$A$2:$A$300,0)),""))</f>
        <v/>
      </c>
    </row>
    <row r="38" spans="2:21" ht="14.25" customHeight="1" x14ac:dyDescent="0.45">
      <c r="B38" s="1" t="str">
        <f>IF($A38="","",IFERROR(INDEX('INPUT-SIF_Questions'!$H$2:$H$1000,MATCH($A38,'INPUT-SIF_Questions'!$A$2:$A$1000,0)),""))</f>
        <v/>
      </c>
      <c r="C38" s="3" t="str">
        <f>IF($A38="","",IFERROR(INDEX('INPUT-SIF_Questions'!$I$2:$I$1000,MATCH($A38,'INPUT-SIF_Questions'!$A$2:$A$1000,0)),""))</f>
        <v/>
      </c>
      <c r="D38" s="59" t="str">
        <f>IF($A38="","",IFERROR(INDEX('INPUT-SIF_Questions'!$S$2:$S$1000,MATCH($A38,'INPUT-SIF_Questions'!$A$2:$A$1000,0)),""))</f>
        <v/>
      </c>
      <c r="E38" s="1" t="str">
        <f>IF($A38="","",IFERROR(INDEX('INPUT-SIF_Questions'!$V$2:$V$1000,MATCH($A38,'INPUT-SIF_Questions'!$A$2:$A$1000,0)),""))</f>
        <v/>
      </c>
      <c r="F38" s="1" t="str">
        <f>IF($A38="","",IFERROR(INDEX('INPUT-SIF_Questions'!$W$2:$W$1000,MATCH($A38,'INPUT-SIF_Questions'!$A$2:$A$1000,0)),""))</f>
        <v/>
      </c>
      <c r="G38" s="3" t="str">
        <f>IF($A38="","",IFERROR(INDEX('INPUT-SIF_Questions'!$X$2:$X$1000,MATCH($A38,'INPUT-SIF_Questions'!$A$2:$A$1000,0)),""))</f>
        <v/>
      </c>
      <c r="H38" s="3" t="str">
        <f>IF($A38="","",IFERROR(INDEX('INPUT-SIF_Questions'!$Y$2:$Y$1000,MATCH($A38,'INPUT-SIF_Questions'!$A$2:$A$1000,0)),""))</f>
        <v/>
      </c>
      <c r="I38" s="1" t="str">
        <f>IF($A38="","",IFERROR(INDEX('INPUT-SIF_Questions'!$Z$2:$Z$1000,MATCH($A38,'INPUT-SIF_Questions'!$A$2:$A$1000,0)),""))</f>
        <v/>
      </c>
      <c r="J38" s="1" t="str">
        <f>IF($A38="","",IFERROR(INDEX('INPUT-SIF_Questions'!$AA$2:$AA$1000,MATCH($A38,'INPUT-SIF_Questions'!$A$2:$A$1000,0)),""))</f>
        <v/>
      </c>
      <c r="K38" s="3" t="str">
        <f>IF($A38="","",IFERROR(INDEX('INPUT-SIF_Questions'!$AB$2:$AB$1000,MATCH($A38,'INPUT-SIF_Questions'!$A$2:$A$1000,0)),""))</f>
        <v/>
      </c>
      <c r="L38" s="3" t="str">
        <f>IF($A38="","",IFERROR(INDEX('INPUT-SIF_Questions'!$AC$2:$AC$1000,MATCH($A38,'INPUT-SIF_Questions'!$A$2:$A$1000,0)),""))</f>
        <v/>
      </c>
      <c r="M38" s="1" t="str">
        <f>IF($A38="","",COUNTIFS('INPUT-SIF_Questions'!$A$2:$A$1000,$A38,'INPUT-SIF_Questions'!$M$2:$M$1000,1))</f>
        <v/>
      </c>
      <c r="N38" s="1" t="str">
        <f>IF($A38="","",COUNTIFS('INPUT-SIF_Questions'!$A$2:$A$1000,$A38,'INPUT-SIF_Questions'!$N$2:$N$1000,1))</f>
        <v/>
      </c>
      <c r="O38" s="1" t="str">
        <f>IF($A38="","",COUNTIFS('INPUT-SIF_Questions'!$A$2:$A$1000,$A38,'INPUT-SIF_Questions'!$O$2:$O$1000,1))</f>
        <v/>
      </c>
      <c r="P38" s="60" t="str">
        <f t="shared" si="1"/>
        <v/>
      </c>
      <c r="Q38" s="1" t="str">
        <f>IF($A38="","",IFERROR(INDEX('INPUT-SIF_Questions'!$B$2:$B$300,MATCH($A38,'INPUT-SIF_Questions'!$A$2:$A$300,0)),""))</f>
        <v/>
      </c>
      <c r="R38" s="1" t="str">
        <f>IF($A38="","",IFERROR(INDEX('INPUT-SIF_Questions'!$C$2:$C$300,MATCH($A38,'INPUT-SIF_Questions'!$A$2:$A$300,0)),""))</f>
        <v/>
      </c>
      <c r="S38" s="1" t="str">
        <f>IF($A38="","",IFERROR(INDEX('INPUT-SIF_Questions'!$F$2:$F$300,MATCH($A38,'INPUT-SIF_Questions'!$A$2:$A$300,0)),""))</f>
        <v/>
      </c>
      <c r="T38" s="1" t="str">
        <f>IF($A38="","",IFERROR(INDEX('INPUT-SIF_Questions'!$G$2:$G$300,MATCH($A38,'INPUT-SIF_Questions'!$A$2:$A$300,0)),""))</f>
        <v/>
      </c>
      <c r="U38" s="1" t="str">
        <f>IF($A38="","",IFERROR(INDEX('INPUT-SIF_Questions'!$E$2:$E$300,MATCH($A38,'INPUT-SIF_Questions'!$A$2:$A$300,0)),""))</f>
        <v/>
      </c>
    </row>
    <row r="39" spans="2:21" ht="14.25" customHeight="1" x14ac:dyDescent="0.45">
      <c r="B39" s="1" t="str">
        <f>IF($A39="","",IFERROR(INDEX('INPUT-SIF_Questions'!$H$2:$H$1000,MATCH($A39,'INPUT-SIF_Questions'!$A$2:$A$1000,0)),""))</f>
        <v/>
      </c>
      <c r="C39" s="3" t="str">
        <f>IF($A39="","",IFERROR(INDEX('INPUT-SIF_Questions'!$I$2:$I$1000,MATCH($A39,'INPUT-SIF_Questions'!$A$2:$A$1000,0)),""))</f>
        <v/>
      </c>
      <c r="D39" s="59" t="str">
        <f>IF($A39="","",IFERROR(INDEX('INPUT-SIF_Questions'!$S$2:$S$1000,MATCH($A39,'INPUT-SIF_Questions'!$A$2:$A$1000,0)),""))</f>
        <v/>
      </c>
      <c r="E39" s="1" t="str">
        <f>IF($A39="","",IFERROR(INDEX('INPUT-SIF_Questions'!$V$2:$V$1000,MATCH($A39,'INPUT-SIF_Questions'!$A$2:$A$1000,0)),""))</f>
        <v/>
      </c>
      <c r="F39" s="1" t="str">
        <f>IF($A39="","",IFERROR(INDEX('INPUT-SIF_Questions'!$W$2:$W$1000,MATCH($A39,'INPUT-SIF_Questions'!$A$2:$A$1000,0)),""))</f>
        <v/>
      </c>
      <c r="G39" s="3" t="str">
        <f>IF($A39="","",IFERROR(INDEX('INPUT-SIF_Questions'!$X$2:$X$1000,MATCH($A39,'INPUT-SIF_Questions'!$A$2:$A$1000,0)),""))</f>
        <v/>
      </c>
      <c r="H39" s="3" t="str">
        <f>IF($A39="","",IFERROR(INDEX('INPUT-SIF_Questions'!$Y$2:$Y$1000,MATCH($A39,'INPUT-SIF_Questions'!$A$2:$A$1000,0)),""))</f>
        <v/>
      </c>
      <c r="I39" s="1" t="str">
        <f>IF($A39="","",IFERROR(INDEX('INPUT-SIF_Questions'!$Z$2:$Z$1000,MATCH($A39,'INPUT-SIF_Questions'!$A$2:$A$1000,0)),""))</f>
        <v/>
      </c>
      <c r="J39" s="1" t="str">
        <f>IF($A39="","",IFERROR(INDEX('INPUT-SIF_Questions'!$AA$2:$AA$1000,MATCH($A39,'INPUT-SIF_Questions'!$A$2:$A$1000,0)),""))</f>
        <v/>
      </c>
      <c r="K39" s="3" t="str">
        <f>IF($A39="","",IFERROR(INDEX('INPUT-SIF_Questions'!$AB$2:$AB$1000,MATCH($A39,'INPUT-SIF_Questions'!$A$2:$A$1000,0)),""))</f>
        <v/>
      </c>
      <c r="L39" s="3" t="str">
        <f>IF($A39="","",IFERROR(INDEX('INPUT-SIF_Questions'!$AC$2:$AC$1000,MATCH($A39,'INPUT-SIF_Questions'!$A$2:$A$1000,0)),""))</f>
        <v/>
      </c>
      <c r="M39" s="1" t="str">
        <f>IF($A39="","",COUNTIFS('INPUT-SIF_Questions'!$A$2:$A$1000,$A39,'INPUT-SIF_Questions'!$M$2:$M$1000,1))</f>
        <v/>
      </c>
      <c r="N39" s="1" t="str">
        <f>IF($A39="","",COUNTIFS('INPUT-SIF_Questions'!$A$2:$A$1000,$A39,'INPUT-SIF_Questions'!$N$2:$N$1000,1))</f>
        <v/>
      </c>
      <c r="O39" s="1" t="str">
        <f>IF($A39="","",COUNTIFS('INPUT-SIF_Questions'!$A$2:$A$1000,$A39,'INPUT-SIF_Questions'!$O$2:$O$1000,1))</f>
        <v/>
      </c>
      <c r="P39" s="60" t="str">
        <f t="shared" si="1"/>
        <v/>
      </c>
      <c r="Q39" s="1" t="str">
        <f>IF($A39="","",IFERROR(INDEX('INPUT-SIF_Questions'!$B$2:$B$300,MATCH($A39,'INPUT-SIF_Questions'!$A$2:$A$300,0)),""))</f>
        <v/>
      </c>
      <c r="R39" s="1" t="str">
        <f>IF($A39="","",IFERROR(INDEX('INPUT-SIF_Questions'!$C$2:$C$300,MATCH($A39,'INPUT-SIF_Questions'!$A$2:$A$300,0)),""))</f>
        <v/>
      </c>
      <c r="S39" s="1" t="str">
        <f>IF($A39="","",IFERROR(INDEX('INPUT-SIF_Questions'!$F$2:$F$300,MATCH($A39,'INPUT-SIF_Questions'!$A$2:$A$300,0)),""))</f>
        <v/>
      </c>
      <c r="T39" s="1" t="str">
        <f>IF($A39="","",IFERROR(INDEX('INPUT-SIF_Questions'!$G$2:$G$300,MATCH($A39,'INPUT-SIF_Questions'!$A$2:$A$300,0)),""))</f>
        <v/>
      </c>
      <c r="U39" s="1" t="str">
        <f>IF($A39="","",IFERROR(INDEX('INPUT-SIF_Questions'!$E$2:$E$300,MATCH($A39,'INPUT-SIF_Questions'!$A$2:$A$300,0)),""))</f>
        <v/>
      </c>
    </row>
    <row r="40" spans="2:21" ht="14.25" customHeight="1" x14ac:dyDescent="0.45">
      <c r="B40" s="1" t="str">
        <f>IF($A40="","",IFERROR(INDEX('INPUT-SIF_Questions'!$H$2:$H$1000,MATCH($A40,'INPUT-SIF_Questions'!$A$2:$A$1000,0)),""))</f>
        <v/>
      </c>
      <c r="C40" s="3" t="str">
        <f>IF($A40="","",IFERROR(INDEX('INPUT-SIF_Questions'!$I$2:$I$1000,MATCH($A40,'INPUT-SIF_Questions'!$A$2:$A$1000,0)),""))</f>
        <v/>
      </c>
      <c r="D40" s="59" t="str">
        <f>IF($A40="","",IFERROR(INDEX('INPUT-SIF_Questions'!$S$2:$S$1000,MATCH($A40,'INPUT-SIF_Questions'!$A$2:$A$1000,0)),""))</f>
        <v/>
      </c>
      <c r="E40" s="1" t="str">
        <f>IF($A40="","",IFERROR(INDEX('INPUT-SIF_Questions'!$V$2:$V$1000,MATCH($A40,'INPUT-SIF_Questions'!$A$2:$A$1000,0)),""))</f>
        <v/>
      </c>
      <c r="F40" s="1" t="str">
        <f>IF($A40="","",IFERROR(INDEX('INPUT-SIF_Questions'!$W$2:$W$1000,MATCH($A40,'INPUT-SIF_Questions'!$A$2:$A$1000,0)),""))</f>
        <v/>
      </c>
      <c r="G40" s="3" t="str">
        <f>IF($A40="","",IFERROR(INDEX('INPUT-SIF_Questions'!$X$2:$X$1000,MATCH($A40,'INPUT-SIF_Questions'!$A$2:$A$1000,0)),""))</f>
        <v/>
      </c>
      <c r="H40" s="3" t="str">
        <f>IF($A40="","",IFERROR(INDEX('INPUT-SIF_Questions'!$Y$2:$Y$1000,MATCH($A40,'INPUT-SIF_Questions'!$A$2:$A$1000,0)),""))</f>
        <v/>
      </c>
      <c r="I40" s="1" t="str">
        <f>IF($A40="","",IFERROR(INDEX('INPUT-SIF_Questions'!$Z$2:$Z$1000,MATCH($A40,'INPUT-SIF_Questions'!$A$2:$A$1000,0)),""))</f>
        <v/>
      </c>
      <c r="J40" s="1" t="str">
        <f>IF($A40="","",IFERROR(INDEX('INPUT-SIF_Questions'!$AA$2:$AA$1000,MATCH($A40,'INPUT-SIF_Questions'!$A$2:$A$1000,0)),""))</f>
        <v/>
      </c>
      <c r="K40" s="3" t="str">
        <f>IF($A40="","",IFERROR(INDEX('INPUT-SIF_Questions'!$AB$2:$AB$1000,MATCH($A40,'INPUT-SIF_Questions'!$A$2:$A$1000,0)),""))</f>
        <v/>
      </c>
      <c r="L40" s="3" t="str">
        <f>IF($A40="","",IFERROR(INDEX('INPUT-SIF_Questions'!$AC$2:$AC$1000,MATCH($A40,'INPUT-SIF_Questions'!$A$2:$A$1000,0)),""))</f>
        <v/>
      </c>
      <c r="M40" s="1" t="str">
        <f>IF($A40="","",COUNTIFS('INPUT-SIF_Questions'!$A$2:$A$1000,$A40,'INPUT-SIF_Questions'!$M$2:$M$1000,1))</f>
        <v/>
      </c>
      <c r="N40" s="1" t="str">
        <f>IF($A40="","",COUNTIFS('INPUT-SIF_Questions'!$A$2:$A$1000,$A40,'INPUT-SIF_Questions'!$N$2:$N$1000,1))</f>
        <v/>
      </c>
      <c r="O40" s="1" t="str">
        <f>IF($A40="","",COUNTIFS('INPUT-SIF_Questions'!$A$2:$A$1000,$A40,'INPUT-SIF_Questions'!$O$2:$O$1000,1))</f>
        <v/>
      </c>
      <c r="P40" s="60" t="str">
        <f t="shared" si="1"/>
        <v/>
      </c>
      <c r="Q40" s="1" t="str">
        <f>IF($A40="","",IFERROR(INDEX('INPUT-SIF_Questions'!$B$2:$B$300,MATCH($A40,'INPUT-SIF_Questions'!$A$2:$A$300,0)),""))</f>
        <v/>
      </c>
      <c r="R40" s="1" t="str">
        <f>IF($A40="","",IFERROR(INDEX('INPUT-SIF_Questions'!$C$2:$C$300,MATCH($A40,'INPUT-SIF_Questions'!$A$2:$A$300,0)),""))</f>
        <v/>
      </c>
      <c r="S40" s="1" t="str">
        <f>IF($A40="","",IFERROR(INDEX('INPUT-SIF_Questions'!$F$2:$F$300,MATCH($A40,'INPUT-SIF_Questions'!$A$2:$A$300,0)),""))</f>
        <v/>
      </c>
      <c r="T40" s="1" t="str">
        <f>IF($A40="","",IFERROR(INDEX('INPUT-SIF_Questions'!$G$2:$G$300,MATCH($A40,'INPUT-SIF_Questions'!$A$2:$A$300,0)),""))</f>
        <v/>
      </c>
      <c r="U40" s="1" t="str">
        <f>IF($A40="","",IFERROR(INDEX('INPUT-SIF_Questions'!$E$2:$E$300,MATCH($A40,'INPUT-SIF_Questions'!$A$2:$A$300,0)),""))</f>
        <v/>
      </c>
    </row>
    <row r="41" spans="2:21" ht="14.25" customHeight="1" x14ac:dyDescent="0.45">
      <c r="B41" s="1" t="str">
        <f>IF($A41="","",IFERROR(INDEX('INPUT-SIF_Questions'!$H$2:$H$1000,MATCH($A41,'INPUT-SIF_Questions'!$A$2:$A$1000,0)),""))</f>
        <v/>
      </c>
      <c r="C41" s="3" t="str">
        <f>IF($A41="","",IFERROR(INDEX('INPUT-SIF_Questions'!$I$2:$I$1000,MATCH($A41,'INPUT-SIF_Questions'!$A$2:$A$1000,0)),""))</f>
        <v/>
      </c>
      <c r="D41" s="59" t="str">
        <f>IF($A41="","",IFERROR(INDEX('INPUT-SIF_Questions'!$S$2:$S$1000,MATCH($A41,'INPUT-SIF_Questions'!$A$2:$A$1000,0)),""))</f>
        <v/>
      </c>
      <c r="E41" s="1" t="str">
        <f>IF($A41="","",IFERROR(INDEX('INPUT-SIF_Questions'!$V$2:$V$1000,MATCH($A41,'INPUT-SIF_Questions'!$A$2:$A$1000,0)),""))</f>
        <v/>
      </c>
      <c r="F41" s="1" t="str">
        <f>IF($A41="","",IFERROR(INDEX('INPUT-SIF_Questions'!$W$2:$W$1000,MATCH($A41,'INPUT-SIF_Questions'!$A$2:$A$1000,0)),""))</f>
        <v/>
      </c>
      <c r="G41" s="3" t="str">
        <f>IF($A41="","",IFERROR(INDEX('INPUT-SIF_Questions'!$X$2:$X$1000,MATCH($A41,'INPUT-SIF_Questions'!$A$2:$A$1000,0)),""))</f>
        <v/>
      </c>
      <c r="H41" s="3" t="str">
        <f>IF($A41="","",IFERROR(INDEX('INPUT-SIF_Questions'!$Y$2:$Y$1000,MATCH($A41,'INPUT-SIF_Questions'!$A$2:$A$1000,0)),""))</f>
        <v/>
      </c>
      <c r="I41" s="1" t="str">
        <f>IF($A41="","",IFERROR(INDEX('INPUT-SIF_Questions'!$Z$2:$Z$1000,MATCH($A41,'INPUT-SIF_Questions'!$A$2:$A$1000,0)),""))</f>
        <v/>
      </c>
      <c r="J41" s="1" t="str">
        <f>IF($A41="","",IFERROR(INDEX('INPUT-SIF_Questions'!$AA$2:$AA$1000,MATCH($A41,'INPUT-SIF_Questions'!$A$2:$A$1000,0)),""))</f>
        <v/>
      </c>
      <c r="K41" s="3" t="str">
        <f>IF($A41="","",IFERROR(INDEX('INPUT-SIF_Questions'!$AB$2:$AB$1000,MATCH($A41,'INPUT-SIF_Questions'!$A$2:$A$1000,0)),""))</f>
        <v/>
      </c>
      <c r="L41" s="3" t="str">
        <f>IF($A41="","",IFERROR(INDEX('INPUT-SIF_Questions'!$AC$2:$AC$1000,MATCH($A41,'INPUT-SIF_Questions'!$A$2:$A$1000,0)),""))</f>
        <v/>
      </c>
      <c r="M41" s="1" t="str">
        <f>IF($A41="","",COUNTIFS('INPUT-SIF_Questions'!$A$2:$A$1000,$A41,'INPUT-SIF_Questions'!$M$2:$M$1000,1))</f>
        <v/>
      </c>
      <c r="N41" s="1" t="str">
        <f>IF($A41="","",COUNTIFS('INPUT-SIF_Questions'!$A$2:$A$1000,$A41,'INPUT-SIF_Questions'!$N$2:$N$1000,1))</f>
        <v/>
      </c>
      <c r="O41" s="1" t="str">
        <f>IF($A41="","",COUNTIFS('INPUT-SIF_Questions'!$A$2:$A$1000,$A41,'INPUT-SIF_Questions'!$O$2:$O$1000,1))</f>
        <v/>
      </c>
      <c r="P41" s="60" t="str">
        <f t="shared" si="1"/>
        <v/>
      </c>
      <c r="Q41" s="1" t="str">
        <f>IF($A41="","",IFERROR(INDEX('INPUT-SIF_Questions'!$B$2:$B$300,MATCH($A41,'INPUT-SIF_Questions'!$A$2:$A$300,0)),""))</f>
        <v/>
      </c>
      <c r="R41" s="1" t="str">
        <f>IF($A41="","",IFERROR(INDEX('INPUT-SIF_Questions'!$C$2:$C$300,MATCH($A41,'INPUT-SIF_Questions'!$A$2:$A$300,0)),""))</f>
        <v/>
      </c>
      <c r="S41" s="1" t="str">
        <f>IF($A41="","",IFERROR(INDEX('INPUT-SIF_Questions'!$F$2:$F$300,MATCH($A41,'INPUT-SIF_Questions'!$A$2:$A$300,0)),""))</f>
        <v/>
      </c>
      <c r="T41" s="1" t="str">
        <f>IF($A41="","",IFERROR(INDEX('INPUT-SIF_Questions'!$G$2:$G$300,MATCH($A41,'INPUT-SIF_Questions'!$A$2:$A$300,0)),""))</f>
        <v/>
      </c>
      <c r="U41" s="1" t="str">
        <f>IF($A41="","",IFERROR(INDEX('INPUT-SIF_Questions'!$E$2:$E$300,MATCH($A41,'INPUT-SIF_Questions'!$A$2:$A$300,0)),""))</f>
        <v/>
      </c>
    </row>
    <row r="42" spans="2:21" ht="14.25" customHeight="1" x14ac:dyDescent="0.45">
      <c r="B42" s="1" t="str">
        <f>IF($A42="","",IFERROR(INDEX('INPUT-SIF_Questions'!$H$2:$H$1000,MATCH($A42,'INPUT-SIF_Questions'!$A$2:$A$1000,0)),""))</f>
        <v/>
      </c>
      <c r="C42" s="3" t="str">
        <f>IF($A42="","",IFERROR(INDEX('INPUT-SIF_Questions'!$I$2:$I$1000,MATCH($A42,'INPUT-SIF_Questions'!$A$2:$A$1000,0)),""))</f>
        <v/>
      </c>
      <c r="D42" s="59" t="str">
        <f>IF($A42="","",IFERROR(INDEX('INPUT-SIF_Questions'!$S$2:$S$1000,MATCH($A42,'INPUT-SIF_Questions'!$A$2:$A$1000,0)),""))</f>
        <v/>
      </c>
      <c r="E42" s="1" t="str">
        <f>IF($A42="","",IFERROR(INDEX('INPUT-SIF_Questions'!$V$2:$V$1000,MATCH($A42,'INPUT-SIF_Questions'!$A$2:$A$1000,0)),""))</f>
        <v/>
      </c>
      <c r="F42" s="1" t="str">
        <f>IF($A42="","",IFERROR(INDEX('INPUT-SIF_Questions'!$W$2:$W$1000,MATCH($A42,'INPUT-SIF_Questions'!$A$2:$A$1000,0)),""))</f>
        <v/>
      </c>
      <c r="G42" s="3" t="str">
        <f>IF($A42="","",IFERROR(INDEX('INPUT-SIF_Questions'!$X$2:$X$1000,MATCH($A42,'INPUT-SIF_Questions'!$A$2:$A$1000,0)),""))</f>
        <v/>
      </c>
      <c r="H42" s="3" t="str">
        <f>IF($A42="","",IFERROR(INDEX('INPUT-SIF_Questions'!$Y$2:$Y$1000,MATCH($A42,'INPUT-SIF_Questions'!$A$2:$A$1000,0)),""))</f>
        <v/>
      </c>
      <c r="I42" s="1" t="str">
        <f>IF($A42="","",IFERROR(INDEX('INPUT-SIF_Questions'!$Z$2:$Z$1000,MATCH($A42,'INPUT-SIF_Questions'!$A$2:$A$1000,0)),""))</f>
        <v/>
      </c>
      <c r="J42" s="1" t="str">
        <f>IF($A42="","",IFERROR(INDEX('INPUT-SIF_Questions'!$AA$2:$AA$1000,MATCH($A42,'INPUT-SIF_Questions'!$A$2:$A$1000,0)),""))</f>
        <v/>
      </c>
      <c r="K42" s="3" t="str">
        <f>IF($A42="","",IFERROR(INDEX('INPUT-SIF_Questions'!$AB$2:$AB$1000,MATCH($A42,'INPUT-SIF_Questions'!$A$2:$A$1000,0)),""))</f>
        <v/>
      </c>
      <c r="L42" s="3" t="str">
        <f>IF($A42="","",IFERROR(INDEX('INPUT-SIF_Questions'!$AC$2:$AC$1000,MATCH($A42,'INPUT-SIF_Questions'!$A$2:$A$1000,0)),""))</f>
        <v/>
      </c>
      <c r="M42" s="1" t="str">
        <f>IF($A42="","",COUNTIFS('INPUT-SIF_Questions'!$A$2:$A$1000,$A42,'INPUT-SIF_Questions'!$M$2:$M$1000,1))</f>
        <v/>
      </c>
      <c r="N42" s="1" t="str">
        <f>IF($A42="","",COUNTIFS('INPUT-SIF_Questions'!$A$2:$A$1000,$A42,'INPUT-SIF_Questions'!$N$2:$N$1000,1))</f>
        <v/>
      </c>
      <c r="O42" s="1" t="str">
        <f>IF($A42="","",COUNTIFS('INPUT-SIF_Questions'!$A$2:$A$1000,$A42,'INPUT-SIF_Questions'!$O$2:$O$1000,1))</f>
        <v/>
      </c>
      <c r="P42" s="60" t="str">
        <f t="shared" si="1"/>
        <v/>
      </c>
      <c r="Q42" s="1" t="str">
        <f>IF($A42="","",IFERROR(INDEX('INPUT-SIF_Questions'!$B$2:$B$300,MATCH($A42,'INPUT-SIF_Questions'!$A$2:$A$300,0)),""))</f>
        <v/>
      </c>
      <c r="R42" s="1" t="str">
        <f>IF($A42="","",IFERROR(INDEX('INPUT-SIF_Questions'!$C$2:$C$300,MATCH($A42,'INPUT-SIF_Questions'!$A$2:$A$300,0)),""))</f>
        <v/>
      </c>
      <c r="S42" s="1" t="str">
        <f>IF($A42="","",IFERROR(INDEX('INPUT-SIF_Questions'!$F$2:$F$300,MATCH($A42,'INPUT-SIF_Questions'!$A$2:$A$300,0)),""))</f>
        <v/>
      </c>
      <c r="T42" s="1" t="str">
        <f>IF($A42="","",IFERROR(INDEX('INPUT-SIF_Questions'!$G$2:$G$300,MATCH($A42,'INPUT-SIF_Questions'!$A$2:$A$300,0)),""))</f>
        <v/>
      </c>
      <c r="U42" s="1" t="str">
        <f>IF($A42="","",IFERROR(INDEX('INPUT-SIF_Questions'!$E$2:$E$300,MATCH($A42,'INPUT-SIF_Questions'!$A$2:$A$300,0)),""))</f>
        <v/>
      </c>
    </row>
    <row r="43" spans="2:21" ht="14.25" customHeight="1" x14ac:dyDescent="0.45">
      <c r="B43" s="1" t="str">
        <f>IF($A43="","",IFERROR(INDEX('INPUT-SIF_Questions'!$H$2:$H$1000,MATCH($A43,'INPUT-SIF_Questions'!$A$2:$A$1000,0)),""))</f>
        <v/>
      </c>
      <c r="C43" s="3" t="str">
        <f>IF($A43="","",IFERROR(INDEX('INPUT-SIF_Questions'!$I$2:$I$1000,MATCH($A43,'INPUT-SIF_Questions'!$A$2:$A$1000,0)),""))</f>
        <v/>
      </c>
      <c r="D43" s="59" t="str">
        <f>IF($A43="","",IFERROR(INDEX('INPUT-SIF_Questions'!$S$2:$S$1000,MATCH($A43,'INPUT-SIF_Questions'!$A$2:$A$1000,0)),""))</f>
        <v/>
      </c>
      <c r="E43" s="1" t="str">
        <f>IF($A43="","",IFERROR(INDEX('INPUT-SIF_Questions'!$V$2:$V$1000,MATCH($A43,'INPUT-SIF_Questions'!$A$2:$A$1000,0)),""))</f>
        <v/>
      </c>
      <c r="F43" s="1" t="str">
        <f>IF($A43="","",IFERROR(INDEX('INPUT-SIF_Questions'!$W$2:$W$1000,MATCH($A43,'INPUT-SIF_Questions'!$A$2:$A$1000,0)),""))</f>
        <v/>
      </c>
      <c r="G43" s="3" t="str">
        <f>IF($A43="","",IFERROR(INDEX('INPUT-SIF_Questions'!$X$2:$X$1000,MATCH($A43,'INPUT-SIF_Questions'!$A$2:$A$1000,0)),""))</f>
        <v/>
      </c>
      <c r="H43" s="3" t="str">
        <f>IF($A43="","",IFERROR(INDEX('INPUT-SIF_Questions'!$Y$2:$Y$1000,MATCH($A43,'INPUT-SIF_Questions'!$A$2:$A$1000,0)),""))</f>
        <v/>
      </c>
      <c r="I43" s="1" t="str">
        <f>IF($A43="","",IFERROR(INDEX('INPUT-SIF_Questions'!$Z$2:$Z$1000,MATCH($A43,'INPUT-SIF_Questions'!$A$2:$A$1000,0)),""))</f>
        <v/>
      </c>
      <c r="J43" s="1" t="str">
        <f>IF($A43="","",IFERROR(INDEX('INPUT-SIF_Questions'!$AA$2:$AA$1000,MATCH($A43,'INPUT-SIF_Questions'!$A$2:$A$1000,0)),""))</f>
        <v/>
      </c>
      <c r="K43" s="3" t="str">
        <f>IF($A43="","",IFERROR(INDEX('INPUT-SIF_Questions'!$AB$2:$AB$1000,MATCH($A43,'INPUT-SIF_Questions'!$A$2:$A$1000,0)),""))</f>
        <v/>
      </c>
      <c r="L43" s="3" t="str">
        <f>IF($A43="","",IFERROR(INDEX('INPUT-SIF_Questions'!$AC$2:$AC$1000,MATCH($A43,'INPUT-SIF_Questions'!$A$2:$A$1000,0)),""))</f>
        <v/>
      </c>
      <c r="M43" s="1" t="str">
        <f>IF($A43="","",COUNTIFS('INPUT-SIF_Questions'!$A$2:$A$1000,$A43,'INPUT-SIF_Questions'!$M$2:$M$1000,1))</f>
        <v/>
      </c>
      <c r="N43" s="1" t="str">
        <f>IF($A43="","",COUNTIFS('INPUT-SIF_Questions'!$A$2:$A$1000,$A43,'INPUT-SIF_Questions'!$N$2:$N$1000,1))</f>
        <v/>
      </c>
      <c r="O43" s="1" t="str">
        <f>IF($A43="","",COUNTIFS('INPUT-SIF_Questions'!$A$2:$A$1000,$A43,'INPUT-SIF_Questions'!$O$2:$O$1000,1))</f>
        <v/>
      </c>
      <c r="P43" s="60" t="str">
        <f t="shared" si="1"/>
        <v/>
      </c>
      <c r="Q43" s="1" t="str">
        <f>IF($A43="","",IFERROR(INDEX('INPUT-SIF_Questions'!$B$2:$B$300,MATCH($A43,'INPUT-SIF_Questions'!$A$2:$A$300,0)),""))</f>
        <v/>
      </c>
      <c r="R43" s="1" t="str">
        <f>IF($A43="","",IFERROR(INDEX('INPUT-SIF_Questions'!$C$2:$C$300,MATCH($A43,'INPUT-SIF_Questions'!$A$2:$A$300,0)),""))</f>
        <v/>
      </c>
      <c r="S43" s="1" t="str">
        <f>IF($A43="","",IFERROR(INDEX('INPUT-SIF_Questions'!$F$2:$F$300,MATCH($A43,'INPUT-SIF_Questions'!$A$2:$A$300,0)),""))</f>
        <v/>
      </c>
      <c r="T43" s="1" t="str">
        <f>IF($A43="","",IFERROR(INDEX('INPUT-SIF_Questions'!$G$2:$G$300,MATCH($A43,'INPUT-SIF_Questions'!$A$2:$A$300,0)),""))</f>
        <v/>
      </c>
      <c r="U43" s="1" t="str">
        <f>IF($A43="","",IFERROR(INDEX('INPUT-SIF_Questions'!$E$2:$E$300,MATCH($A43,'INPUT-SIF_Questions'!$A$2:$A$300,0)),""))</f>
        <v/>
      </c>
    </row>
    <row r="44" spans="2:21" ht="14.25" customHeight="1" x14ac:dyDescent="0.45">
      <c r="B44" s="1" t="str">
        <f>IF($A44="","",IFERROR(INDEX('INPUT-SIF_Questions'!$H$2:$H$1000,MATCH($A44,'INPUT-SIF_Questions'!$A$2:$A$1000,0)),""))</f>
        <v/>
      </c>
      <c r="C44" s="3" t="str">
        <f>IF($A44="","",IFERROR(INDEX('INPUT-SIF_Questions'!$I$2:$I$1000,MATCH($A44,'INPUT-SIF_Questions'!$A$2:$A$1000,0)),""))</f>
        <v/>
      </c>
      <c r="D44" s="59" t="str">
        <f>IF($A44="","",IFERROR(INDEX('INPUT-SIF_Questions'!$S$2:$S$1000,MATCH($A44,'INPUT-SIF_Questions'!$A$2:$A$1000,0)),""))</f>
        <v/>
      </c>
      <c r="E44" s="1" t="str">
        <f>IF($A44="","",IFERROR(INDEX('INPUT-SIF_Questions'!$V$2:$V$1000,MATCH($A44,'INPUT-SIF_Questions'!$A$2:$A$1000,0)),""))</f>
        <v/>
      </c>
      <c r="F44" s="1" t="str">
        <f>IF($A44="","",IFERROR(INDEX('INPUT-SIF_Questions'!$W$2:$W$1000,MATCH($A44,'INPUT-SIF_Questions'!$A$2:$A$1000,0)),""))</f>
        <v/>
      </c>
      <c r="G44" s="3" t="str">
        <f>IF($A44="","",IFERROR(INDEX('INPUT-SIF_Questions'!$X$2:$X$1000,MATCH($A44,'INPUT-SIF_Questions'!$A$2:$A$1000,0)),""))</f>
        <v/>
      </c>
      <c r="H44" s="3" t="str">
        <f>IF($A44="","",IFERROR(INDEX('INPUT-SIF_Questions'!$Y$2:$Y$1000,MATCH($A44,'INPUT-SIF_Questions'!$A$2:$A$1000,0)),""))</f>
        <v/>
      </c>
      <c r="I44" s="1" t="str">
        <f>IF($A44="","",IFERROR(INDEX('INPUT-SIF_Questions'!$Z$2:$Z$1000,MATCH($A44,'INPUT-SIF_Questions'!$A$2:$A$1000,0)),""))</f>
        <v/>
      </c>
      <c r="J44" s="1" t="str">
        <f>IF($A44="","",IFERROR(INDEX('INPUT-SIF_Questions'!$AA$2:$AA$1000,MATCH($A44,'INPUT-SIF_Questions'!$A$2:$A$1000,0)),""))</f>
        <v/>
      </c>
      <c r="K44" s="3" t="str">
        <f>IF($A44="","",IFERROR(INDEX('INPUT-SIF_Questions'!$AB$2:$AB$1000,MATCH($A44,'INPUT-SIF_Questions'!$A$2:$A$1000,0)),""))</f>
        <v/>
      </c>
      <c r="L44" s="3" t="str">
        <f>IF($A44="","",IFERROR(INDEX('INPUT-SIF_Questions'!$AC$2:$AC$1000,MATCH($A44,'INPUT-SIF_Questions'!$A$2:$A$1000,0)),""))</f>
        <v/>
      </c>
      <c r="M44" s="1" t="str">
        <f>IF($A44="","",COUNTIFS('INPUT-SIF_Questions'!$A$2:$A$1000,$A44,'INPUT-SIF_Questions'!$M$2:$M$1000,1))</f>
        <v/>
      </c>
      <c r="N44" s="1" t="str">
        <f>IF($A44="","",COUNTIFS('INPUT-SIF_Questions'!$A$2:$A$1000,$A44,'INPUT-SIF_Questions'!$N$2:$N$1000,1))</f>
        <v/>
      </c>
      <c r="O44" s="1" t="str">
        <f>IF($A44="","",COUNTIFS('INPUT-SIF_Questions'!$A$2:$A$1000,$A44,'INPUT-SIF_Questions'!$O$2:$O$1000,1))</f>
        <v/>
      </c>
      <c r="P44" s="60" t="str">
        <f t="shared" si="1"/>
        <v/>
      </c>
      <c r="Q44" s="1" t="str">
        <f>IF($A44="","",IFERROR(INDEX('INPUT-SIF_Questions'!$B$2:$B$300,MATCH($A44,'INPUT-SIF_Questions'!$A$2:$A$300,0)),""))</f>
        <v/>
      </c>
      <c r="R44" s="1" t="str">
        <f>IF($A44="","",IFERROR(INDEX('INPUT-SIF_Questions'!$C$2:$C$300,MATCH($A44,'INPUT-SIF_Questions'!$A$2:$A$300,0)),""))</f>
        <v/>
      </c>
      <c r="S44" s="1" t="str">
        <f>IF($A44="","",IFERROR(INDEX('INPUT-SIF_Questions'!$F$2:$F$300,MATCH($A44,'INPUT-SIF_Questions'!$A$2:$A$300,0)),""))</f>
        <v/>
      </c>
      <c r="T44" s="1" t="str">
        <f>IF($A44="","",IFERROR(INDEX('INPUT-SIF_Questions'!$G$2:$G$300,MATCH($A44,'INPUT-SIF_Questions'!$A$2:$A$300,0)),""))</f>
        <v/>
      </c>
      <c r="U44" s="1" t="str">
        <f>IF($A44="","",IFERROR(INDEX('INPUT-SIF_Questions'!$E$2:$E$300,MATCH($A44,'INPUT-SIF_Questions'!$A$2:$A$300,0)),""))</f>
        <v/>
      </c>
    </row>
    <row r="45" spans="2:21" ht="14.25" customHeight="1" x14ac:dyDescent="0.45">
      <c r="B45" s="1" t="str">
        <f>IF($A45="","",IFERROR(INDEX('INPUT-SIF_Questions'!$H$2:$H$1000,MATCH($A45,'INPUT-SIF_Questions'!$A$2:$A$1000,0)),""))</f>
        <v/>
      </c>
      <c r="C45" s="3" t="str">
        <f>IF($A45="","",IFERROR(INDEX('INPUT-SIF_Questions'!$I$2:$I$1000,MATCH($A45,'INPUT-SIF_Questions'!$A$2:$A$1000,0)),""))</f>
        <v/>
      </c>
      <c r="D45" s="59" t="str">
        <f>IF($A45="","",IFERROR(INDEX('INPUT-SIF_Questions'!$S$2:$S$1000,MATCH($A45,'INPUT-SIF_Questions'!$A$2:$A$1000,0)),""))</f>
        <v/>
      </c>
      <c r="E45" s="1" t="str">
        <f>IF($A45="","",IFERROR(INDEX('INPUT-SIF_Questions'!$V$2:$V$1000,MATCH($A45,'INPUT-SIF_Questions'!$A$2:$A$1000,0)),""))</f>
        <v/>
      </c>
      <c r="F45" s="1" t="str">
        <f>IF($A45="","",IFERROR(INDEX('INPUT-SIF_Questions'!$W$2:$W$1000,MATCH($A45,'INPUT-SIF_Questions'!$A$2:$A$1000,0)),""))</f>
        <v/>
      </c>
      <c r="G45" s="3" t="str">
        <f>IF($A45="","",IFERROR(INDEX('INPUT-SIF_Questions'!$X$2:$X$1000,MATCH($A45,'INPUT-SIF_Questions'!$A$2:$A$1000,0)),""))</f>
        <v/>
      </c>
      <c r="H45" s="3" t="str">
        <f>IF($A45="","",IFERROR(INDEX('INPUT-SIF_Questions'!$Y$2:$Y$1000,MATCH($A45,'INPUT-SIF_Questions'!$A$2:$A$1000,0)),""))</f>
        <v/>
      </c>
      <c r="I45" s="1" t="str">
        <f>IF($A45="","",IFERROR(INDEX('INPUT-SIF_Questions'!$Z$2:$Z$1000,MATCH($A45,'INPUT-SIF_Questions'!$A$2:$A$1000,0)),""))</f>
        <v/>
      </c>
      <c r="J45" s="1" t="str">
        <f>IF($A45="","",IFERROR(INDEX('INPUT-SIF_Questions'!$AA$2:$AA$1000,MATCH($A45,'INPUT-SIF_Questions'!$A$2:$A$1000,0)),""))</f>
        <v/>
      </c>
      <c r="K45" s="3" t="str">
        <f>IF($A45="","",IFERROR(INDEX('INPUT-SIF_Questions'!$AB$2:$AB$1000,MATCH($A45,'INPUT-SIF_Questions'!$A$2:$A$1000,0)),""))</f>
        <v/>
      </c>
      <c r="L45" s="3" t="str">
        <f>IF($A45="","",IFERROR(INDEX('INPUT-SIF_Questions'!$AC$2:$AC$1000,MATCH($A45,'INPUT-SIF_Questions'!$A$2:$A$1000,0)),""))</f>
        <v/>
      </c>
      <c r="M45" s="1" t="str">
        <f>IF($A45="","",COUNTIFS('INPUT-SIF_Questions'!$A$2:$A$1000,$A45,'INPUT-SIF_Questions'!$M$2:$M$1000,1))</f>
        <v/>
      </c>
      <c r="N45" s="1" t="str">
        <f>IF($A45="","",COUNTIFS('INPUT-SIF_Questions'!$A$2:$A$1000,$A45,'INPUT-SIF_Questions'!$N$2:$N$1000,1))</f>
        <v/>
      </c>
      <c r="O45" s="1" t="str">
        <f>IF($A45="","",COUNTIFS('INPUT-SIF_Questions'!$A$2:$A$1000,$A45,'INPUT-SIF_Questions'!$O$2:$O$1000,1))</f>
        <v/>
      </c>
      <c r="P45" s="60" t="str">
        <f t="shared" si="1"/>
        <v/>
      </c>
      <c r="Q45" s="1" t="str">
        <f>IF($A45="","",IFERROR(INDEX('INPUT-SIF_Questions'!$B$2:$B$300,MATCH($A45,'INPUT-SIF_Questions'!$A$2:$A$300,0)),""))</f>
        <v/>
      </c>
      <c r="R45" s="1" t="str">
        <f>IF($A45="","",IFERROR(INDEX('INPUT-SIF_Questions'!$C$2:$C$300,MATCH($A45,'INPUT-SIF_Questions'!$A$2:$A$300,0)),""))</f>
        <v/>
      </c>
      <c r="S45" s="1" t="str">
        <f>IF($A45="","",IFERROR(INDEX('INPUT-SIF_Questions'!$F$2:$F$300,MATCH($A45,'INPUT-SIF_Questions'!$A$2:$A$300,0)),""))</f>
        <v/>
      </c>
      <c r="T45" s="1" t="str">
        <f>IF($A45="","",IFERROR(INDEX('INPUT-SIF_Questions'!$G$2:$G$300,MATCH($A45,'INPUT-SIF_Questions'!$A$2:$A$300,0)),""))</f>
        <v/>
      </c>
      <c r="U45" s="1" t="str">
        <f>IF($A45="","",IFERROR(INDEX('INPUT-SIF_Questions'!$E$2:$E$300,MATCH($A45,'INPUT-SIF_Questions'!$A$2:$A$300,0)),""))</f>
        <v/>
      </c>
    </row>
    <row r="46" spans="2:21" ht="14.25" customHeight="1" x14ac:dyDescent="0.45">
      <c r="B46" s="1" t="str">
        <f>IF($A46="","",IFERROR(INDEX('INPUT-SIF_Questions'!$H$2:$H$1000,MATCH($A46,'INPUT-SIF_Questions'!$A$2:$A$1000,0)),""))</f>
        <v/>
      </c>
      <c r="C46" s="3" t="str">
        <f>IF($A46="","",IFERROR(INDEX('INPUT-SIF_Questions'!$I$2:$I$1000,MATCH($A46,'INPUT-SIF_Questions'!$A$2:$A$1000,0)),""))</f>
        <v/>
      </c>
      <c r="D46" s="59" t="str">
        <f>IF($A46="","",IFERROR(INDEX('INPUT-SIF_Questions'!$S$2:$S$1000,MATCH($A46,'INPUT-SIF_Questions'!$A$2:$A$1000,0)),""))</f>
        <v/>
      </c>
      <c r="E46" s="1" t="str">
        <f>IF($A46="","",IFERROR(INDEX('INPUT-SIF_Questions'!$V$2:$V$1000,MATCH($A46,'INPUT-SIF_Questions'!$A$2:$A$1000,0)),""))</f>
        <v/>
      </c>
      <c r="F46" s="1" t="str">
        <f>IF($A46="","",IFERROR(INDEX('INPUT-SIF_Questions'!$W$2:$W$1000,MATCH($A46,'INPUT-SIF_Questions'!$A$2:$A$1000,0)),""))</f>
        <v/>
      </c>
      <c r="G46" s="3" t="str">
        <f>IF($A46="","",IFERROR(INDEX('INPUT-SIF_Questions'!$X$2:$X$1000,MATCH($A46,'INPUT-SIF_Questions'!$A$2:$A$1000,0)),""))</f>
        <v/>
      </c>
      <c r="H46" s="3" t="str">
        <f>IF($A46="","",IFERROR(INDEX('INPUT-SIF_Questions'!$Y$2:$Y$1000,MATCH($A46,'INPUT-SIF_Questions'!$A$2:$A$1000,0)),""))</f>
        <v/>
      </c>
      <c r="I46" s="1" t="str">
        <f>IF($A46="","",IFERROR(INDEX('INPUT-SIF_Questions'!$Z$2:$Z$1000,MATCH($A46,'INPUT-SIF_Questions'!$A$2:$A$1000,0)),""))</f>
        <v/>
      </c>
      <c r="J46" s="1" t="str">
        <f>IF($A46="","",IFERROR(INDEX('INPUT-SIF_Questions'!$AA$2:$AA$1000,MATCH($A46,'INPUT-SIF_Questions'!$A$2:$A$1000,0)),""))</f>
        <v/>
      </c>
      <c r="K46" s="3" t="str">
        <f>IF($A46="","",IFERROR(INDEX('INPUT-SIF_Questions'!$AB$2:$AB$1000,MATCH($A46,'INPUT-SIF_Questions'!$A$2:$A$1000,0)),""))</f>
        <v/>
      </c>
      <c r="L46" s="3" t="str">
        <f>IF($A46="","",IFERROR(INDEX('INPUT-SIF_Questions'!$AC$2:$AC$1000,MATCH($A46,'INPUT-SIF_Questions'!$A$2:$A$1000,0)),""))</f>
        <v/>
      </c>
      <c r="M46" s="1" t="str">
        <f>IF($A46="","",COUNTIFS('INPUT-SIF_Questions'!$A$2:$A$1000,$A46,'INPUT-SIF_Questions'!$M$2:$M$1000,1))</f>
        <v/>
      </c>
      <c r="N46" s="1" t="str">
        <f>IF($A46="","",COUNTIFS('INPUT-SIF_Questions'!$A$2:$A$1000,$A46,'INPUT-SIF_Questions'!$N$2:$N$1000,1))</f>
        <v/>
      </c>
      <c r="O46" s="1" t="str">
        <f>IF($A46="","",COUNTIFS('INPUT-SIF_Questions'!$A$2:$A$1000,$A46,'INPUT-SIF_Questions'!$O$2:$O$1000,1))</f>
        <v/>
      </c>
      <c r="P46" s="60" t="str">
        <f t="shared" si="1"/>
        <v/>
      </c>
      <c r="Q46" s="1" t="str">
        <f>IF($A46="","",IFERROR(INDEX('INPUT-SIF_Questions'!$B$2:$B$300,MATCH($A46,'INPUT-SIF_Questions'!$A$2:$A$300,0)),""))</f>
        <v/>
      </c>
      <c r="R46" s="1" t="str">
        <f>IF($A46="","",IFERROR(INDEX('INPUT-SIF_Questions'!$C$2:$C$300,MATCH($A46,'INPUT-SIF_Questions'!$A$2:$A$300,0)),""))</f>
        <v/>
      </c>
      <c r="S46" s="1" t="str">
        <f>IF($A46="","",IFERROR(INDEX('INPUT-SIF_Questions'!$F$2:$F$300,MATCH($A46,'INPUT-SIF_Questions'!$A$2:$A$300,0)),""))</f>
        <v/>
      </c>
      <c r="T46" s="1" t="str">
        <f>IF($A46="","",IFERROR(INDEX('INPUT-SIF_Questions'!$G$2:$G$300,MATCH($A46,'INPUT-SIF_Questions'!$A$2:$A$300,0)),""))</f>
        <v/>
      </c>
      <c r="U46" s="1" t="str">
        <f>IF($A46="","",IFERROR(INDEX('INPUT-SIF_Questions'!$E$2:$E$300,MATCH($A46,'INPUT-SIF_Questions'!$A$2:$A$300,0)),""))</f>
        <v/>
      </c>
    </row>
    <row r="47" spans="2:21" ht="14.25" customHeight="1" x14ac:dyDescent="0.45">
      <c r="B47" s="1" t="str">
        <f>IF($A47="","",IFERROR(INDEX('INPUT-SIF_Questions'!$H$2:$H$1000,MATCH($A47,'INPUT-SIF_Questions'!$A$2:$A$1000,0)),""))</f>
        <v/>
      </c>
      <c r="C47" s="3" t="str">
        <f>IF($A47="","",IFERROR(INDEX('INPUT-SIF_Questions'!$I$2:$I$1000,MATCH($A47,'INPUT-SIF_Questions'!$A$2:$A$1000,0)),""))</f>
        <v/>
      </c>
      <c r="D47" s="59" t="str">
        <f>IF($A47="","",IFERROR(INDEX('INPUT-SIF_Questions'!$S$2:$S$1000,MATCH($A47,'INPUT-SIF_Questions'!$A$2:$A$1000,0)),""))</f>
        <v/>
      </c>
      <c r="E47" s="1" t="str">
        <f>IF($A47="","",IFERROR(INDEX('INPUT-SIF_Questions'!$V$2:$V$1000,MATCH($A47,'INPUT-SIF_Questions'!$A$2:$A$1000,0)),""))</f>
        <v/>
      </c>
      <c r="F47" s="1" t="str">
        <f>IF($A47="","",IFERROR(INDEX('INPUT-SIF_Questions'!$W$2:$W$1000,MATCH($A47,'INPUT-SIF_Questions'!$A$2:$A$1000,0)),""))</f>
        <v/>
      </c>
      <c r="G47" s="3" t="str">
        <f>IF($A47="","",IFERROR(INDEX('INPUT-SIF_Questions'!$X$2:$X$1000,MATCH($A47,'INPUT-SIF_Questions'!$A$2:$A$1000,0)),""))</f>
        <v/>
      </c>
      <c r="H47" s="3" t="str">
        <f>IF($A47="","",IFERROR(INDEX('INPUT-SIF_Questions'!$Y$2:$Y$1000,MATCH($A47,'INPUT-SIF_Questions'!$A$2:$A$1000,0)),""))</f>
        <v/>
      </c>
      <c r="I47" s="1" t="str">
        <f>IF($A47="","",IFERROR(INDEX('INPUT-SIF_Questions'!$Z$2:$Z$1000,MATCH($A47,'INPUT-SIF_Questions'!$A$2:$A$1000,0)),""))</f>
        <v/>
      </c>
      <c r="J47" s="1" t="str">
        <f>IF($A47="","",IFERROR(INDEX('INPUT-SIF_Questions'!$AA$2:$AA$1000,MATCH($A47,'INPUT-SIF_Questions'!$A$2:$A$1000,0)),""))</f>
        <v/>
      </c>
      <c r="K47" s="3" t="str">
        <f>IF($A47="","",IFERROR(INDEX('INPUT-SIF_Questions'!$AB$2:$AB$1000,MATCH($A47,'INPUT-SIF_Questions'!$A$2:$A$1000,0)),""))</f>
        <v/>
      </c>
      <c r="L47" s="3" t="str">
        <f>IF($A47="","",IFERROR(INDEX('INPUT-SIF_Questions'!$AC$2:$AC$1000,MATCH($A47,'INPUT-SIF_Questions'!$A$2:$A$1000,0)),""))</f>
        <v/>
      </c>
      <c r="M47" s="1" t="str">
        <f>IF($A47="","",COUNTIFS('INPUT-SIF_Questions'!$A$2:$A$1000,$A47,'INPUT-SIF_Questions'!$M$2:$M$1000,1))</f>
        <v/>
      </c>
      <c r="N47" s="1" t="str">
        <f>IF($A47="","",COUNTIFS('INPUT-SIF_Questions'!$A$2:$A$1000,$A47,'INPUT-SIF_Questions'!$N$2:$N$1000,1))</f>
        <v/>
      </c>
      <c r="O47" s="1" t="str">
        <f>IF($A47="","",COUNTIFS('INPUT-SIF_Questions'!$A$2:$A$1000,$A47,'INPUT-SIF_Questions'!$O$2:$O$1000,1))</f>
        <v/>
      </c>
      <c r="P47" s="60" t="str">
        <f t="shared" si="1"/>
        <v/>
      </c>
      <c r="Q47" s="1" t="str">
        <f>IF($A47="","",IFERROR(INDEX('INPUT-SIF_Questions'!$B$2:$B$300,MATCH($A47,'INPUT-SIF_Questions'!$A$2:$A$300,0)),""))</f>
        <v/>
      </c>
      <c r="R47" s="1" t="str">
        <f>IF($A47="","",IFERROR(INDEX('INPUT-SIF_Questions'!$C$2:$C$300,MATCH($A47,'INPUT-SIF_Questions'!$A$2:$A$300,0)),""))</f>
        <v/>
      </c>
      <c r="S47" s="1" t="str">
        <f>IF($A47="","",IFERROR(INDEX('INPUT-SIF_Questions'!$F$2:$F$300,MATCH($A47,'INPUT-SIF_Questions'!$A$2:$A$300,0)),""))</f>
        <v/>
      </c>
      <c r="T47" s="1" t="str">
        <f>IF($A47="","",IFERROR(INDEX('INPUT-SIF_Questions'!$G$2:$G$300,MATCH($A47,'INPUT-SIF_Questions'!$A$2:$A$300,0)),""))</f>
        <v/>
      </c>
      <c r="U47" s="1" t="str">
        <f>IF($A47="","",IFERROR(INDEX('INPUT-SIF_Questions'!$E$2:$E$300,MATCH($A47,'INPUT-SIF_Questions'!$A$2:$A$300,0)),""))</f>
        <v/>
      </c>
    </row>
    <row r="48" spans="2:21" ht="14.25" customHeight="1" x14ac:dyDescent="0.45">
      <c r="B48" s="1" t="str">
        <f>IF($A48="","",IFERROR(INDEX('INPUT-SIF_Questions'!$H$2:$H$1000,MATCH($A48,'INPUT-SIF_Questions'!$A$2:$A$1000,0)),""))</f>
        <v/>
      </c>
      <c r="C48" s="3" t="str">
        <f>IF($A48="","",IFERROR(INDEX('INPUT-SIF_Questions'!$I$2:$I$1000,MATCH($A48,'INPUT-SIF_Questions'!$A$2:$A$1000,0)),""))</f>
        <v/>
      </c>
      <c r="D48" s="59" t="str">
        <f>IF($A48="","",IFERROR(INDEX('INPUT-SIF_Questions'!$S$2:$S$1000,MATCH($A48,'INPUT-SIF_Questions'!$A$2:$A$1000,0)),""))</f>
        <v/>
      </c>
      <c r="E48" s="1" t="str">
        <f>IF($A48="","",IFERROR(INDEX('INPUT-SIF_Questions'!$V$2:$V$1000,MATCH($A48,'INPUT-SIF_Questions'!$A$2:$A$1000,0)),""))</f>
        <v/>
      </c>
      <c r="F48" s="1" t="str">
        <f>IF($A48="","",IFERROR(INDEX('INPUT-SIF_Questions'!$W$2:$W$1000,MATCH($A48,'INPUT-SIF_Questions'!$A$2:$A$1000,0)),""))</f>
        <v/>
      </c>
      <c r="G48" s="3" t="str">
        <f>IF($A48="","",IFERROR(INDEX('INPUT-SIF_Questions'!$X$2:$X$1000,MATCH($A48,'INPUT-SIF_Questions'!$A$2:$A$1000,0)),""))</f>
        <v/>
      </c>
      <c r="H48" s="3" t="str">
        <f>IF($A48="","",IFERROR(INDEX('INPUT-SIF_Questions'!$Y$2:$Y$1000,MATCH($A48,'INPUT-SIF_Questions'!$A$2:$A$1000,0)),""))</f>
        <v/>
      </c>
      <c r="I48" s="1" t="str">
        <f>IF($A48="","",IFERROR(INDEX('INPUT-SIF_Questions'!$Z$2:$Z$1000,MATCH($A48,'INPUT-SIF_Questions'!$A$2:$A$1000,0)),""))</f>
        <v/>
      </c>
      <c r="J48" s="1" t="str">
        <f>IF($A48="","",IFERROR(INDEX('INPUT-SIF_Questions'!$AA$2:$AA$1000,MATCH($A48,'INPUT-SIF_Questions'!$A$2:$A$1000,0)),""))</f>
        <v/>
      </c>
      <c r="K48" s="3" t="str">
        <f>IF($A48="","",IFERROR(INDEX('INPUT-SIF_Questions'!$AB$2:$AB$1000,MATCH($A48,'INPUT-SIF_Questions'!$A$2:$A$1000,0)),""))</f>
        <v/>
      </c>
      <c r="L48" s="3" t="str">
        <f>IF($A48="","",IFERROR(INDEX('INPUT-SIF_Questions'!$AC$2:$AC$1000,MATCH($A48,'INPUT-SIF_Questions'!$A$2:$A$1000,0)),""))</f>
        <v/>
      </c>
      <c r="M48" s="1" t="str">
        <f>IF($A48="","",COUNTIFS('INPUT-SIF_Questions'!$A$2:$A$1000,$A48,'INPUT-SIF_Questions'!$M$2:$M$1000,1))</f>
        <v/>
      </c>
      <c r="N48" s="1" t="str">
        <f>IF($A48="","",COUNTIFS('INPUT-SIF_Questions'!$A$2:$A$1000,$A48,'INPUT-SIF_Questions'!$N$2:$N$1000,1))</f>
        <v/>
      </c>
      <c r="O48" s="1" t="str">
        <f>IF($A48="","",COUNTIFS('INPUT-SIF_Questions'!$A$2:$A$1000,$A48,'INPUT-SIF_Questions'!$O$2:$O$1000,1))</f>
        <v/>
      </c>
      <c r="P48" s="60" t="str">
        <f t="shared" si="1"/>
        <v/>
      </c>
      <c r="Q48" s="1" t="str">
        <f>IF($A48="","",IFERROR(INDEX('INPUT-SIF_Questions'!$B$2:$B$300,MATCH($A48,'INPUT-SIF_Questions'!$A$2:$A$300,0)),""))</f>
        <v/>
      </c>
      <c r="R48" s="1" t="str">
        <f>IF($A48="","",IFERROR(INDEX('INPUT-SIF_Questions'!$C$2:$C$300,MATCH($A48,'INPUT-SIF_Questions'!$A$2:$A$300,0)),""))</f>
        <v/>
      </c>
      <c r="S48" s="1" t="str">
        <f>IF($A48="","",IFERROR(INDEX('INPUT-SIF_Questions'!$F$2:$F$300,MATCH($A48,'INPUT-SIF_Questions'!$A$2:$A$300,0)),""))</f>
        <v/>
      </c>
      <c r="T48" s="1" t="str">
        <f>IF($A48="","",IFERROR(INDEX('INPUT-SIF_Questions'!$G$2:$G$300,MATCH($A48,'INPUT-SIF_Questions'!$A$2:$A$300,0)),""))</f>
        <v/>
      </c>
      <c r="U48" s="1" t="str">
        <f>IF($A48="","",IFERROR(INDEX('INPUT-SIF_Questions'!$E$2:$E$300,MATCH($A48,'INPUT-SIF_Questions'!$A$2:$A$300,0)),""))</f>
        <v/>
      </c>
    </row>
    <row r="49" spans="2:21" ht="14.25" customHeight="1" x14ac:dyDescent="0.45">
      <c r="B49" s="1" t="str">
        <f>IF($A49="","",IFERROR(INDEX('INPUT-SIF_Questions'!$H$2:$H$1000,MATCH($A49,'INPUT-SIF_Questions'!$A$2:$A$1000,0)),""))</f>
        <v/>
      </c>
      <c r="C49" s="3" t="str">
        <f>IF($A49="","",IFERROR(INDEX('INPUT-SIF_Questions'!$I$2:$I$1000,MATCH($A49,'INPUT-SIF_Questions'!$A$2:$A$1000,0)),""))</f>
        <v/>
      </c>
      <c r="D49" s="59" t="str">
        <f>IF($A49="","",IFERROR(INDEX('INPUT-SIF_Questions'!$S$2:$S$1000,MATCH($A49,'INPUT-SIF_Questions'!$A$2:$A$1000,0)),""))</f>
        <v/>
      </c>
      <c r="E49" s="1" t="str">
        <f>IF($A49="","",IFERROR(INDEX('INPUT-SIF_Questions'!$V$2:$V$1000,MATCH($A49,'INPUT-SIF_Questions'!$A$2:$A$1000,0)),""))</f>
        <v/>
      </c>
      <c r="F49" s="1" t="str">
        <f>IF($A49="","",IFERROR(INDEX('INPUT-SIF_Questions'!$W$2:$W$1000,MATCH($A49,'INPUT-SIF_Questions'!$A$2:$A$1000,0)),""))</f>
        <v/>
      </c>
      <c r="G49" s="3" t="str">
        <f>IF($A49="","",IFERROR(INDEX('INPUT-SIF_Questions'!$X$2:$X$1000,MATCH($A49,'INPUT-SIF_Questions'!$A$2:$A$1000,0)),""))</f>
        <v/>
      </c>
      <c r="H49" s="3" t="str">
        <f>IF($A49="","",IFERROR(INDEX('INPUT-SIF_Questions'!$Y$2:$Y$1000,MATCH($A49,'INPUT-SIF_Questions'!$A$2:$A$1000,0)),""))</f>
        <v/>
      </c>
      <c r="I49" s="1" t="str">
        <f>IF($A49="","",IFERROR(INDEX('INPUT-SIF_Questions'!$Z$2:$Z$1000,MATCH($A49,'INPUT-SIF_Questions'!$A$2:$A$1000,0)),""))</f>
        <v/>
      </c>
      <c r="J49" s="1" t="str">
        <f>IF($A49="","",IFERROR(INDEX('INPUT-SIF_Questions'!$AA$2:$AA$1000,MATCH($A49,'INPUT-SIF_Questions'!$A$2:$A$1000,0)),""))</f>
        <v/>
      </c>
      <c r="K49" s="3" t="str">
        <f>IF($A49="","",IFERROR(INDEX('INPUT-SIF_Questions'!$AB$2:$AB$1000,MATCH($A49,'INPUT-SIF_Questions'!$A$2:$A$1000,0)),""))</f>
        <v/>
      </c>
      <c r="L49" s="3" t="str">
        <f>IF($A49="","",IFERROR(INDEX('INPUT-SIF_Questions'!$AC$2:$AC$1000,MATCH($A49,'INPUT-SIF_Questions'!$A$2:$A$1000,0)),""))</f>
        <v/>
      </c>
      <c r="M49" s="1" t="str">
        <f>IF($A49="","",COUNTIFS('INPUT-SIF_Questions'!$A$2:$A$1000,$A49,'INPUT-SIF_Questions'!$M$2:$M$1000,1))</f>
        <v/>
      </c>
      <c r="N49" s="1" t="str">
        <f>IF($A49="","",COUNTIFS('INPUT-SIF_Questions'!$A$2:$A$1000,$A49,'INPUT-SIF_Questions'!$N$2:$N$1000,1))</f>
        <v/>
      </c>
      <c r="O49" s="1" t="str">
        <f>IF($A49="","",COUNTIFS('INPUT-SIF_Questions'!$A$2:$A$1000,$A49,'INPUT-SIF_Questions'!$O$2:$O$1000,1))</f>
        <v/>
      </c>
      <c r="P49" s="60" t="str">
        <f t="shared" si="1"/>
        <v/>
      </c>
      <c r="Q49" s="1" t="str">
        <f>IF($A49="","",IFERROR(INDEX('INPUT-SIF_Questions'!$B$2:$B$300,MATCH($A49,'INPUT-SIF_Questions'!$A$2:$A$300,0)),""))</f>
        <v/>
      </c>
      <c r="R49" s="1" t="str">
        <f>IF($A49="","",IFERROR(INDEX('INPUT-SIF_Questions'!$C$2:$C$300,MATCH($A49,'INPUT-SIF_Questions'!$A$2:$A$300,0)),""))</f>
        <v/>
      </c>
      <c r="S49" s="1" t="str">
        <f>IF($A49="","",IFERROR(INDEX('INPUT-SIF_Questions'!$F$2:$F$300,MATCH($A49,'INPUT-SIF_Questions'!$A$2:$A$300,0)),""))</f>
        <v/>
      </c>
      <c r="T49" s="1" t="str">
        <f>IF($A49="","",IFERROR(INDEX('INPUT-SIF_Questions'!$G$2:$G$300,MATCH($A49,'INPUT-SIF_Questions'!$A$2:$A$300,0)),""))</f>
        <v/>
      </c>
      <c r="U49" s="1" t="str">
        <f>IF($A49="","",IFERROR(INDEX('INPUT-SIF_Questions'!$E$2:$E$300,MATCH($A49,'INPUT-SIF_Questions'!$A$2:$A$300,0)),""))</f>
        <v/>
      </c>
    </row>
    <row r="50" spans="2:21" ht="14.25" customHeight="1" x14ac:dyDescent="0.45">
      <c r="B50" s="1" t="str">
        <f>IF($A50="","",IFERROR(INDEX('INPUT-SIF_Questions'!$H$2:$H$1000,MATCH($A50,'INPUT-SIF_Questions'!$A$2:$A$1000,0)),""))</f>
        <v/>
      </c>
      <c r="C50" s="3" t="str">
        <f>IF($A50="","",IFERROR(INDEX('INPUT-SIF_Questions'!$I$2:$I$1000,MATCH($A50,'INPUT-SIF_Questions'!$A$2:$A$1000,0)),""))</f>
        <v/>
      </c>
      <c r="D50" s="59" t="str">
        <f>IF($A50="","",IFERROR(INDEX('INPUT-SIF_Questions'!$S$2:$S$1000,MATCH($A50,'INPUT-SIF_Questions'!$A$2:$A$1000,0)),""))</f>
        <v/>
      </c>
      <c r="E50" s="1" t="str">
        <f>IF($A50="","",IFERROR(INDEX('INPUT-SIF_Questions'!$V$2:$V$1000,MATCH($A50,'INPUT-SIF_Questions'!$A$2:$A$1000,0)),""))</f>
        <v/>
      </c>
      <c r="F50" s="1" t="str">
        <f>IF($A50="","",IFERROR(INDEX('INPUT-SIF_Questions'!$W$2:$W$1000,MATCH($A50,'INPUT-SIF_Questions'!$A$2:$A$1000,0)),""))</f>
        <v/>
      </c>
      <c r="G50" s="3" t="str">
        <f>IF($A50="","",IFERROR(INDEX('INPUT-SIF_Questions'!$X$2:$X$1000,MATCH($A50,'INPUT-SIF_Questions'!$A$2:$A$1000,0)),""))</f>
        <v/>
      </c>
      <c r="H50" s="3" t="str">
        <f>IF($A50="","",IFERROR(INDEX('INPUT-SIF_Questions'!$Y$2:$Y$1000,MATCH($A50,'INPUT-SIF_Questions'!$A$2:$A$1000,0)),""))</f>
        <v/>
      </c>
      <c r="I50" s="1" t="str">
        <f>IF($A50="","",IFERROR(INDEX('INPUT-SIF_Questions'!$Z$2:$Z$1000,MATCH($A50,'INPUT-SIF_Questions'!$A$2:$A$1000,0)),""))</f>
        <v/>
      </c>
      <c r="J50" s="1" t="str">
        <f>IF($A50="","",IFERROR(INDEX('INPUT-SIF_Questions'!$AA$2:$AA$1000,MATCH($A50,'INPUT-SIF_Questions'!$A$2:$A$1000,0)),""))</f>
        <v/>
      </c>
      <c r="K50" s="3" t="str">
        <f>IF($A50="","",IFERROR(INDEX('INPUT-SIF_Questions'!$AB$2:$AB$1000,MATCH($A50,'INPUT-SIF_Questions'!$A$2:$A$1000,0)),""))</f>
        <v/>
      </c>
      <c r="L50" s="3" t="str">
        <f>IF($A50="","",IFERROR(INDEX('INPUT-SIF_Questions'!$AC$2:$AC$1000,MATCH($A50,'INPUT-SIF_Questions'!$A$2:$A$1000,0)),""))</f>
        <v/>
      </c>
      <c r="M50" s="1" t="str">
        <f>IF($A50="","",COUNTIFS('INPUT-SIF_Questions'!$A$2:$A$1000,$A50,'INPUT-SIF_Questions'!$M$2:$M$1000,1))</f>
        <v/>
      </c>
      <c r="N50" s="1" t="str">
        <f>IF($A50="","",COUNTIFS('INPUT-SIF_Questions'!$A$2:$A$1000,$A50,'INPUT-SIF_Questions'!$N$2:$N$1000,1))</f>
        <v/>
      </c>
      <c r="O50" s="1" t="str">
        <f>IF($A50="","",COUNTIFS('INPUT-SIF_Questions'!$A$2:$A$1000,$A50,'INPUT-SIF_Questions'!$O$2:$O$1000,1))</f>
        <v/>
      </c>
      <c r="P50" s="60" t="str">
        <f t="shared" si="1"/>
        <v/>
      </c>
      <c r="Q50" s="1" t="str">
        <f>IF($A50="","",IFERROR(INDEX('INPUT-SIF_Questions'!$B$2:$B$300,MATCH($A50,'INPUT-SIF_Questions'!$A$2:$A$300,0)),""))</f>
        <v/>
      </c>
      <c r="R50" s="1" t="str">
        <f>IF($A50="","",IFERROR(INDEX('INPUT-SIF_Questions'!$C$2:$C$300,MATCH($A50,'INPUT-SIF_Questions'!$A$2:$A$300,0)),""))</f>
        <v/>
      </c>
      <c r="S50" s="1" t="str">
        <f>IF($A50="","",IFERROR(INDEX('INPUT-SIF_Questions'!$F$2:$F$300,MATCH($A50,'INPUT-SIF_Questions'!$A$2:$A$300,0)),""))</f>
        <v/>
      </c>
      <c r="T50" s="1" t="str">
        <f>IF($A50="","",IFERROR(INDEX('INPUT-SIF_Questions'!$G$2:$G$300,MATCH($A50,'INPUT-SIF_Questions'!$A$2:$A$300,0)),""))</f>
        <v/>
      </c>
      <c r="U50" s="1" t="str">
        <f>IF($A50="","",IFERROR(INDEX('INPUT-SIF_Questions'!$E$2:$E$300,MATCH($A50,'INPUT-SIF_Questions'!$A$2:$A$300,0)),""))</f>
        <v/>
      </c>
    </row>
    <row r="51" spans="2:21" ht="14.25" customHeight="1" x14ac:dyDescent="0.45">
      <c r="B51" s="1" t="str">
        <f>IF($A51="","",IFERROR(INDEX('INPUT-SIF_Questions'!$H$2:$H$1000,MATCH($A51,'INPUT-SIF_Questions'!$A$2:$A$1000,0)),""))</f>
        <v/>
      </c>
      <c r="C51" s="3" t="str">
        <f>IF($A51="","",IFERROR(INDEX('INPUT-SIF_Questions'!$I$2:$I$1000,MATCH($A51,'INPUT-SIF_Questions'!$A$2:$A$1000,0)),""))</f>
        <v/>
      </c>
      <c r="D51" s="59" t="str">
        <f>IF($A51="","",IFERROR(INDEX('INPUT-SIF_Questions'!$S$2:$S$1000,MATCH($A51,'INPUT-SIF_Questions'!$A$2:$A$1000,0)),""))</f>
        <v/>
      </c>
      <c r="E51" s="1" t="str">
        <f>IF($A51="","",IFERROR(INDEX('INPUT-SIF_Questions'!$V$2:$V$1000,MATCH($A51,'INPUT-SIF_Questions'!$A$2:$A$1000,0)),""))</f>
        <v/>
      </c>
      <c r="F51" s="1" t="str">
        <f>IF($A51="","",IFERROR(INDEX('INPUT-SIF_Questions'!$W$2:$W$1000,MATCH($A51,'INPUT-SIF_Questions'!$A$2:$A$1000,0)),""))</f>
        <v/>
      </c>
      <c r="G51" s="3" t="str">
        <f>IF($A51="","",IFERROR(INDEX('INPUT-SIF_Questions'!$X$2:$X$1000,MATCH($A51,'INPUT-SIF_Questions'!$A$2:$A$1000,0)),""))</f>
        <v/>
      </c>
      <c r="H51" s="3" t="str">
        <f>IF($A51="","",IFERROR(INDEX('INPUT-SIF_Questions'!$Y$2:$Y$1000,MATCH($A51,'INPUT-SIF_Questions'!$A$2:$A$1000,0)),""))</f>
        <v/>
      </c>
      <c r="I51" s="1" t="str">
        <f>IF($A51="","",IFERROR(INDEX('INPUT-SIF_Questions'!$Z$2:$Z$1000,MATCH($A51,'INPUT-SIF_Questions'!$A$2:$A$1000,0)),""))</f>
        <v/>
      </c>
      <c r="J51" s="1" t="str">
        <f>IF($A51="","",IFERROR(INDEX('INPUT-SIF_Questions'!$AA$2:$AA$1000,MATCH($A51,'INPUT-SIF_Questions'!$A$2:$A$1000,0)),""))</f>
        <v/>
      </c>
      <c r="K51" s="3" t="str">
        <f>IF($A51="","",IFERROR(INDEX('INPUT-SIF_Questions'!$AB$2:$AB$1000,MATCH($A51,'INPUT-SIF_Questions'!$A$2:$A$1000,0)),""))</f>
        <v/>
      </c>
      <c r="L51" s="3" t="str">
        <f>IF($A51="","",IFERROR(INDEX('INPUT-SIF_Questions'!$AC$2:$AC$1000,MATCH($A51,'INPUT-SIF_Questions'!$A$2:$A$1000,0)),""))</f>
        <v/>
      </c>
      <c r="M51" s="1" t="str">
        <f>IF($A51="","",COUNTIFS('INPUT-SIF_Questions'!$A$2:$A$1000,$A51,'INPUT-SIF_Questions'!$M$2:$M$1000,1))</f>
        <v/>
      </c>
      <c r="N51" s="1" t="str">
        <f>IF($A51="","",COUNTIFS('INPUT-SIF_Questions'!$A$2:$A$1000,$A51,'INPUT-SIF_Questions'!$N$2:$N$1000,1))</f>
        <v/>
      </c>
      <c r="O51" s="1" t="str">
        <f>IF($A51="","",COUNTIFS('INPUT-SIF_Questions'!$A$2:$A$1000,$A51,'INPUT-SIF_Questions'!$O$2:$O$1000,1))</f>
        <v/>
      </c>
      <c r="P51" s="60" t="str">
        <f t="shared" si="1"/>
        <v/>
      </c>
      <c r="Q51" s="1" t="str">
        <f>IF($A51="","",IFERROR(INDEX('INPUT-SIF_Questions'!$B$2:$B$300,MATCH($A51,'INPUT-SIF_Questions'!$A$2:$A$300,0)),""))</f>
        <v/>
      </c>
      <c r="R51" s="1" t="str">
        <f>IF($A51="","",IFERROR(INDEX('INPUT-SIF_Questions'!$C$2:$C$300,MATCH($A51,'INPUT-SIF_Questions'!$A$2:$A$300,0)),""))</f>
        <v/>
      </c>
      <c r="S51" s="1" t="str">
        <f>IF($A51="","",IFERROR(INDEX('INPUT-SIF_Questions'!$F$2:$F$300,MATCH($A51,'INPUT-SIF_Questions'!$A$2:$A$300,0)),""))</f>
        <v/>
      </c>
      <c r="T51" s="1" t="str">
        <f>IF($A51="","",IFERROR(INDEX('INPUT-SIF_Questions'!$G$2:$G$300,MATCH($A51,'INPUT-SIF_Questions'!$A$2:$A$300,0)),""))</f>
        <v/>
      </c>
      <c r="U51" s="1" t="str">
        <f>IF($A51="","",IFERROR(INDEX('INPUT-SIF_Questions'!$E$2:$E$300,MATCH($A51,'INPUT-SIF_Questions'!$A$2:$A$300,0)),""))</f>
        <v/>
      </c>
    </row>
    <row r="52" spans="2:21" ht="14.25" customHeight="1" x14ac:dyDescent="0.45">
      <c r="B52" s="1" t="str">
        <f>IF($A52="","",IFERROR(INDEX('INPUT-SIF_Questions'!$H$2:$H$1000,MATCH($A52,'INPUT-SIF_Questions'!$A$2:$A$1000,0)),""))</f>
        <v/>
      </c>
      <c r="C52" s="3" t="str">
        <f>IF($A52="","",IFERROR(INDEX('INPUT-SIF_Questions'!$I$2:$I$1000,MATCH($A52,'INPUT-SIF_Questions'!$A$2:$A$1000,0)),""))</f>
        <v/>
      </c>
      <c r="D52" s="59" t="str">
        <f>IF($A52="","",IFERROR(INDEX('INPUT-SIF_Questions'!$S$2:$S$1000,MATCH($A52,'INPUT-SIF_Questions'!$A$2:$A$1000,0)),""))</f>
        <v/>
      </c>
      <c r="E52" s="1" t="str">
        <f>IF($A52="","",IFERROR(INDEX('INPUT-SIF_Questions'!$V$2:$V$1000,MATCH($A52,'INPUT-SIF_Questions'!$A$2:$A$1000,0)),""))</f>
        <v/>
      </c>
      <c r="F52" s="1" t="str">
        <f>IF($A52="","",IFERROR(INDEX('INPUT-SIF_Questions'!$W$2:$W$1000,MATCH($A52,'INPUT-SIF_Questions'!$A$2:$A$1000,0)),""))</f>
        <v/>
      </c>
      <c r="G52" s="3" t="str">
        <f>IF($A52="","",IFERROR(INDEX('INPUT-SIF_Questions'!$X$2:$X$1000,MATCH($A52,'INPUT-SIF_Questions'!$A$2:$A$1000,0)),""))</f>
        <v/>
      </c>
      <c r="H52" s="3" t="str">
        <f>IF($A52="","",IFERROR(INDEX('INPUT-SIF_Questions'!$Y$2:$Y$1000,MATCH($A52,'INPUT-SIF_Questions'!$A$2:$A$1000,0)),""))</f>
        <v/>
      </c>
      <c r="I52" s="1" t="str">
        <f>IF($A52="","",IFERROR(INDEX('INPUT-SIF_Questions'!$Z$2:$Z$1000,MATCH($A52,'INPUT-SIF_Questions'!$A$2:$A$1000,0)),""))</f>
        <v/>
      </c>
      <c r="J52" s="1" t="str">
        <f>IF($A52="","",IFERROR(INDEX('INPUT-SIF_Questions'!$AA$2:$AA$1000,MATCH($A52,'INPUT-SIF_Questions'!$A$2:$A$1000,0)),""))</f>
        <v/>
      </c>
      <c r="K52" s="3" t="str">
        <f>IF($A52="","",IFERROR(INDEX('INPUT-SIF_Questions'!$AB$2:$AB$1000,MATCH($A52,'INPUT-SIF_Questions'!$A$2:$A$1000,0)),""))</f>
        <v/>
      </c>
      <c r="L52" s="3" t="str">
        <f>IF($A52="","",IFERROR(INDEX('INPUT-SIF_Questions'!$AC$2:$AC$1000,MATCH($A52,'INPUT-SIF_Questions'!$A$2:$A$1000,0)),""))</f>
        <v/>
      </c>
      <c r="M52" s="1" t="str">
        <f>IF($A52="","",COUNTIFS('INPUT-SIF_Questions'!$A$2:$A$1000,$A52,'INPUT-SIF_Questions'!$M$2:$M$1000,1))</f>
        <v/>
      </c>
      <c r="N52" s="1" t="str">
        <f>IF($A52="","",COUNTIFS('INPUT-SIF_Questions'!$A$2:$A$1000,$A52,'INPUT-SIF_Questions'!$N$2:$N$1000,1))</f>
        <v/>
      </c>
      <c r="O52" s="1" t="str">
        <f>IF($A52="","",COUNTIFS('INPUT-SIF_Questions'!$A$2:$A$1000,$A52,'INPUT-SIF_Questions'!$O$2:$O$1000,1))</f>
        <v/>
      </c>
      <c r="P52" s="60" t="str">
        <f t="shared" si="1"/>
        <v/>
      </c>
      <c r="Q52" s="1" t="str">
        <f>IF($A52="","",IFERROR(INDEX('INPUT-SIF_Questions'!$B$2:$B$300,MATCH($A52,'INPUT-SIF_Questions'!$A$2:$A$300,0)),""))</f>
        <v/>
      </c>
      <c r="R52" s="1" t="str">
        <f>IF($A52="","",IFERROR(INDEX('INPUT-SIF_Questions'!$C$2:$C$300,MATCH($A52,'INPUT-SIF_Questions'!$A$2:$A$300,0)),""))</f>
        <v/>
      </c>
      <c r="S52" s="1" t="str">
        <f>IF($A52="","",IFERROR(INDEX('INPUT-SIF_Questions'!$F$2:$F$300,MATCH($A52,'INPUT-SIF_Questions'!$A$2:$A$300,0)),""))</f>
        <v/>
      </c>
      <c r="T52" s="1" t="str">
        <f>IF($A52="","",IFERROR(INDEX('INPUT-SIF_Questions'!$G$2:$G$300,MATCH($A52,'INPUT-SIF_Questions'!$A$2:$A$300,0)),""))</f>
        <v/>
      </c>
      <c r="U52" s="1" t="str">
        <f>IF($A52="","",IFERROR(INDEX('INPUT-SIF_Questions'!$E$2:$E$300,MATCH($A52,'INPUT-SIF_Questions'!$A$2:$A$300,0)),""))</f>
        <v/>
      </c>
    </row>
    <row r="53" spans="2:21" ht="14.25" customHeight="1" x14ac:dyDescent="0.45">
      <c r="B53" s="1" t="str">
        <f>IF($A53="","",IFERROR(INDEX('INPUT-SIF_Questions'!$H$2:$H$1000,MATCH($A53,'INPUT-SIF_Questions'!$A$2:$A$1000,0)),""))</f>
        <v/>
      </c>
      <c r="C53" s="3" t="str">
        <f>IF($A53="","",IFERROR(INDEX('INPUT-SIF_Questions'!$I$2:$I$1000,MATCH($A53,'INPUT-SIF_Questions'!$A$2:$A$1000,0)),""))</f>
        <v/>
      </c>
      <c r="D53" s="59" t="str">
        <f>IF($A53="","",IFERROR(INDEX('INPUT-SIF_Questions'!$S$2:$S$1000,MATCH($A53,'INPUT-SIF_Questions'!$A$2:$A$1000,0)),""))</f>
        <v/>
      </c>
      <c r="E53" s="1" t="str">
        <f>IF($A53="","",IFERROR(INDEX('INPUT-SIF_Questions'!$V$2:$V$1000,MATCH($A53,'INPUT-SIF_Questions'!$A$2:$A$1000,0)),""))</f>
        <v/>
      </c>
      <c r="F53" s="1" t="str">
        <f>IF($A53="","",IFERROR(INDEX('INPUT-SIF_Questions'!$W$2:$W$1000,MATCH($A53,'INPUT-SIF_Questions'!$A$2:$A$1000,0)),""))</f>
        <v/>
      </c>
      <c r="G53" s="3" t="str">
        <f>IF($A53="","",IFERROR(INDEX('INPUT-SIF_Questions'!$X$2:$X$1000,MATCH($A53,'INPUT-SIF_Questions'!$A$2:$A$1000,0)),""))</f>
        <v/>
      </c>
      <c r="H53" s="3" t="str">
        <f>IF($A53="","",IFERROR(INDEX('INPUT-SIF_Questions'!$Y$2:$Y$1000,MATCH($A53,'INPUT-SIF_Questions'!$A$2:$A$1000,0)),""))</f>
        <v/>
      </c>
      <c r="I53" s="1" t="str">
        <f>IF($A53="","",IFERROR(INDEX('INPUT-SIF_Questions'!$Z$2:$Z$1000,MATCH($A53,'INPUT-SIF_Questions'!$A$2:$A$1000,0)),""))</f>
        <v/>
      </c>
      <c r="J53" s="1" t="str">
        <f>IF($A53="","",IFERROR(INDEX('INPUT-SIF_Questions'!$AA$2:$AA$1000,MATCH($A53,'INPUT-SIF_Questions'!$A$2:$A$1000,0)),""))</f>
        <v/>
      </c>
      <c r="K53" s="3" t="str">
        <f>IF($A53="","",IFERROR(INDEX('INPUT-SIF_Questions'!$AB$2:$AB$1000,MATCH($A53,'INPUT-SIF_Questions'!$A$2:$A$1000,0)),""))</f>
        <v/>
      </c>
      <c r="L53" s="3" t="str">
        <f>IF($A53="","",IFERROR(INDEX('INPUT-SIF_Questions'!$AC$2:$AC$1000,MATCH($A53,'INPUT-SIF_Questions'!$A$2:$A$1000,0)),""))</f>
        <v/>
      </c>
      <c r="M53" s="1" t="str">
        <f>IF($A53="","",COUNTIFS('INPUT-SIF_Questions'!$A$2:$A$1000,$A53,'INPUT-SIF_Questions'!$M$2:$M$1000,1))</f>
        <v/>
      </c>
      <c r="N53" s="1" t="str">
        <f>IF($A53="","",COUNTIFS('INPUT-SIF_Questions'!$A$2:$A$1000,$A53,'INPUT-SIF_Questions'!$N$2:$N$1000,1))</f>
        <v/>
      </c>
      <c r="O53" s="1" t="str">
        <f>IF($A53="","",COUNTIFS('INPUT-SIF_Questions'!$A$2:$A$1000,$A53,'INPUT-SIF_Questions'!$O$2:$O$1000,1))</f>
        <v/>
      </c>
      <c r="P53" s="60" t="str">
        <f t="shared" si="1"/>
        <v/>
      </c>
      <c r="Q53" s="1" t="str">
        <f>IF($A53="","",IFERROR(INDEX('INPUT-SIF_Questions'!$B$2:$B$300,MATCH($A53,'INPUT-SIF_Questions'!$A$2:$A$300,0)),""))</f>
        <v/>
      </c>
      <c r="R53" s="1" t="str">
        <f>IF($A53="","",IFERROR(INDEX('INPUT-SIF_Questions'!$C$2:$C$300,MATCH($A53,'INPUT-SIF_Questions'!$A$2:$A$300,0)),""))</f>
        <v/>
      </c>
      <c r="S53" s="1" t="str">
        <f>IF($A53="","",IFERROR(INDEX('INPUT-SIF_Questions'!$F$2:$F$300,MATCH($A53,'INPUT-SIF_Questions'!$A$2:$A$300,0)),""))</f>
        <v/>
      </c>
      <c r="T53" s="1" t="str">
        <f>IF($A53="","",IFERROR(INDEX('INPUT-SIF_Questions'!$G$2:$G$300,MATCH($A53,'INPUT-SIF_Questions'!$A$2:$A$300,0)),""))</f>
        <v/>
      </c>
      <c r="U53" s="1" t="str">
        <f>IF($A53="","",IFERROR(INDEX('INPUT-SIF_Questions'!$E$2:$E$300,MATCH($A53,'INPUT-SIF_Questions'!$A$2:$A$300,0)),""))</f>
        <v/>
      </c>
    </row>
    <row r="54" spans="2:21" ht="14.25" customHeight="1" x14ac:dyDescent="0.45">
      <c r="B54" s="1" t="str">
        <f>IF($A54="","",IFERROR(INDEX('INPUT-SIF_Questions'!$H$2:$H$1000,MATCH($A54,'INPUT-SIF_Questions'!$A$2:$A$1000,0)),""))</f>
        <v/>
      </c>
      <c r="C54" s="3" t="str">
        <f>IF($A54="","",IFERROR(INDEX('INPUT-SIF_Questions'!$I$2:$I$1000,MATCH($A54,'INPUT-SIF_Questions'!$A$2:$A$1000,0)),""))</f>
        <v/>
      </c>
      <c r="D54" s="59" t="str">
        <f>IF($A54="","",IFERROR(INDEX('INPUT-SIF_Questions'!$S$2:$S$1000,MATCH($A54,'INPUT-SIF_Questions'!$A$2:$A$1000,0)),""))</f>
        <v/>
      </c>
      <c r="E54" s="1" t="str">
        <f>IF($A54="","",IFERROR(INDEX('INPUT-SIF_Questions'!$V$2:$V$1000,MATCH($A54,'INPUT-SIF_Questions'!$A$2:$A$1000,0)),""))</f>
        <v/>
      </c>
      <c r="F54" s="1" t="str">
        <f>IF($A54="","",IFERROR(INDEX('INPUT-SIF_Questions'!$W$2:$W$1000,MATCH($A54,'INPUT-SIF_Questions'!$A$2:$A$1000,0)),""))</f>
        <v/>
      </c>
      <c r="G54" s="3" t="str">
        <f>IF($A54="","",IFERROR(INDEX('INPUT-SIF_Questions'!$X$2:$X$1000,MATCH($A54,'INPUT-SIF_Questions'!$A$2:$A$1000,0)),""))</f>
        <v/>
      </c>
      <c r="H54" s="3" t="str">
        <f>IF($A54="","",IFERROR(INDEX('INPUT-SIF_Questions'!$Y$2:$Y$1000,MATCH($A54,'INPUT-SIF_Questions'!$A$2:$A$1000,0)),""))</f>
        <v/>
      </c>
      <c r="I54" s="1" t="str">
        <f>IF($A54="","",IFERROR(INDEX('INPUT-SIF_Questions'!$Z$2:$Z$1000,MATCH($A54,'INPUT-SIF_Questions'!$A$2:$A$1000,0)),""))</f>
        <v/>
      </c>
      <c r="J54" s="1" t="str">
        <f>IF($A54="","",IFERROR(INDEX('INPUT-SIF_Questions'!$AA$2:$AA$1000,MATCH($A54,'INPUT-SIF_Questions'!$A$2:$A$1000,0)),""))</f>
        <v/>
      </c>
      <c r="K54" s="3" t="str">
        <f>IF($A54="","",IFERROR(INDEX('INPUT-SIF_Questions'!$AB$2:$AB$1000,MATCH($A54,'INPUT-SIF_Questions'!$A$2:$A$1000,0)),""))</f>
        <v/>
      </c>
      <c r="L54" s="3" t="str">
        <f>IF($A54="","",IFERROR(INDEX('INPUT-SIF_Questions'!$AC$2:$AC$1000,MATCH($A54,'INPUT-SIF_Questions'!$A$2:$A$1000,0)),""))</f>
        <v/>
      </c>
      <c r="M54" s="1" t="str">
        <f>IF($A54="","",COUNTIFS('INPUT-SIF_Questions'!$A$2:$A$1000,$A54,'INPUT-SIF_Questions'!$M$2:$M$1000,1))</f>
        <v/>
      </c>
      <c r="N54" s="1" t="str">
        <f>IF($A54="","",COUNTIFS('INPUT-SIF_Questions'!$A$2:$A$1000,$A54,'INPUT-SIF_Questions'!$N$2:$N$1000,1))</f>
        <v/>
      </c>
      <c r="O54" s="1" t="str">
        <f>IF($A54="","",COUNTIFS('INPUT-SIF_Questions'!$A$2:$A$1000,$A54,'INPUT-SIF_Questions'!$O$2:$O$1000,1))</f>
        <v/>
      </c>
      <c r="P54" s="60" t="str">
        <f t="shared" si="1"/>
        <v/>
      </c>
      <c r="Q54" s="1" t="str">
        <f>IF($A54="","",IFERROR(INDEX('INPUT-SIF_Questions'!$B$2:$B$300,MATCH($A54,'INPUT-SIF_Questions'!$A$2:$A$300,0)),""))</f>
        <v/>
      </c>
      <c r="R54" s="1" t="str">
        <f>IF($A54="","",IFERROR(INDEX('INPUT-SIF_Questions'!$C$2:$C$300,MATCH($A54,'INPUT-SIF_Questions'!$A$2:$A$300,0)),""))</f>
        <v/>
      </c>
      <c r="S54" s="1" t="str">
        <f>IF($A54="","",IFERROR(INDEX('INPUT-SIF_Questions'!$F$2:$F$300,MATCH($A54,'INPUT-SIF_Questions'!$A$2:$A$300,0)),""))</f>
        <v/>
      </c>
      <c r="T54" s="1" t="str">
        <f>IF($A54="","",IFERROR(INDEX('INPUT-SIF_Questions'!$G$2:$G$300,MATCH($A54,'INPUT-SIF_Questions'!$A$2:$A$300,0)),""))</f>
        <v/>
      </c>
      <c r="U54" s="1" t="str">
        <f>IF($A54="","",IFERROR(INDEX('INPUT-SIF_Questions'!$E$2:$E$300,MATCH($A54,'INPUT-SIF_Questions'!$A$2:$A$300,0)),""))</f>
        <v/>
      </c>
    </row>
    <row r="55" spans="2:21" ht="14.25" customHeight="1" x14ac:dyDescent="0.45">
      <c r="B55" s="1" t="str">
        <f>IF($A55="","",IFERROR(INDEX('INPUT-SIF_Questions'!$H$2:$H$1000,MATCH($A55,'INPUT-SIF_Questions'!$A$2:$A$1000,0)),""))</f>
        <v/>
      </c>
      <c r="C55" s="3" t="str">
        <f>IF($A55="","",IFERROR(INDEX('INPUT-SIF_Questions'!$I$2:$I$1000,MATCH($A55,'INPUT-SIF_Questions'!$A$2:$A$1000,0)),""))</f>
        <v/>
      </c>
      <c r="D55" s="59" t="str">
        <f>IF($A55="","",IFERROR(INDEX('INPUT-SIF_Questions'!$S$2:$S$1000,MATCH($A55,'INPUT-SIF_Questions'!$A$2:$A$1000,0)),""))</f>
        <v/>
      </c>
      <c r="E55" s="1" t="str">
        <f>IF($A55="","",IFERROR(INDEX('INPUT-SIF_Questions'!$V$2:$V$1000,MATCH($A55,'INPUT-SIF_Questions'!$A$2:$A$1000,0)),""))</f>
        <v/>
      </c>
      <c r="F55" s="1" t="str">
        <f>IF($A55="","",IFERROR(INDEX('INPUT-SIF_Questions'!$W$2:$W$1000,MATCH($A55,'INPUT-SIF_Questions'!$A$2:$A$1000,0)),""))</f>
        <v/>
      </c>
      <c r="G55" s="3" t="str">
        <f>IF($A55="","",IFERROR(INDEX('INPUT-SIF_Questions'!$X$2:$X$1000,MATCH($A55,'INPUT-SIF_Questions'!$A$2:$A$1000,0)),""))</f>
        <v/>
      </c>
      <c r="H55" s="3" t="str">
        <f>IF($A55="","",IFERROR(INDEX('INPUT-SIF_Questions'!$Y$2:$Y$1000,MATCH($A55,'INPUT-SIF_Questions'!$A$2:$A$1000,0)),""))</f>
        <v/>
      </c>
      <c r="I55" s="1" t="str">
        <f>IF($A55="","",IFERROR(INDEX('INPUT-SIF_Questions'!$Z$2:$Z$1000,MATCH($A55,'INPUT-SIF_Questions'!$A$2:$A$1000,0)),""))</f>
        <v/>
      </c>
      <c r="J55" s="1" t="str">
        <f>IF($A55="","",IFERROR(INDEX('INPUT-SIF_Questions'!$AA$2:$AA$1000,MATCH($A55,'INPUT-SIF_Questions'!$A$2:$A$1000,0)),""))</f>
        <v/>
      </c>
      <c r="K55" s="3" t="str">
        <f>IF($A55="","",IFERROR(INDEX('INPUT-SIF_Questions'!$AB$2:$AB$1000,MATCH($A55,'INPUT-SIF_Questions'!$A$2:$A$1000,0)),""))</f>
        <v/>
      </c>
      <c r="L55" s="3" t="str">
        <f>IF($A55="","",IFERROR(INDEX('INPUT-SIF_Questions'!$AC$2:$AC$1000,MATCH($A55,'INPUT-SIF_Questions'!$A$2:$A$1000,0)),""))</f>
        <v/>
      </c>
      <c r="M55" s="1" t="str">
        <f>IF($A55="","",COUNTIFS('INPUT-SIF_Questions'!$A$2:$A$1000,$A55,'INPUT-SIF_Questions'!$M$2:$M$1000,1))</f>
        <v/>
      </c>
      <c r="N55" s="1" t="str">
        <f>IF($A55="","",COUNTIFS('INPUT-SIF_Questions'!$A$2:$A$1000,$A55,'INPUT-SIF_Questions'!$N$2:$N$1000,1))</f>
        <v/>
      </c>
      <c r="O55" s="1" t="str">
        <f>IF($A55="","",COUNTIFS('INPUT-SIF_Questions'!$A$2:$A$1000,$A55,'INPUT-SIF_Questions'!$O$2:$O$1000,1))</f>
        <v/>
      </c>
      <c r="P55" s="60" t="str">
        <f t="shared" si="1"/>
        <v/>
      </c>
      <c r="Q55" s="1" t="str">
        <f>IF($A55="","",IFERROR(INDEX('INPUT-SIF_Questions'!$B$2:$B$300,MATCH($A55,'INPUT-SIF_Questions'!$A$2:$A$300,0)),""))</f>
        <v/>
      </c>
      <c r="R55" s="1" t="str">
        <f>IF($A55="","",IFERROR(INDEX('INPUT-SIF_Questions'!$C$2:$C$300,MATCH($A55,'INPUT-SIF_Questions'!$A$2:$A$300,0)),""))</f>
        <v/>
      </c>
      <c r="S55" s="1" t="str">
        <f>IF($A55="","",IFERROR(INDEX('INPUT-SIF_Questions'!$F$2:$F$300,MATCH($A55,'INPUT-SIF_Questions'!$A$2:$A$300,0)),""))</f>
        <v/>
      </c>
      <c r="T55" s="1" t="str">
        <f>IF($A55="","",IFERROR(INDEX('INPUT-SIF_Questions'!$G$2:$G$300,MATCH($A55,'INPUT-SIF_Questions'!$A$2:$A$300,0)),""))</f>
        <v/>
      </c>
      <c r="U55" s="1" t="str">
        <f>IF($A55="","",IFERROR(INDEX('INPUT-SIF_Questions'!$E$2:$E$300,MATCH($A55,'INPUT-SIF_Questions'!$A$2:$A$300,0)),""))</f>
        <v/>
      </c>
    </row>
    <row r="56" spans="2:21" ht="14.25" customHeight="1" x14ac:dyDescent="0.45">
      <c r="B56" s="1" t="str">
        <f>IF($A56="","",IFERROR(INDEX('INPUT-SIF_Questions'!$H$2:$H$1000,MATCH($A56,'INPUT-SIF_Questions'!$A$2:$A$1000,0)),""))</f>
        <v/>
      </c>
      <c r="C56" s="3" t="str">
        <f>IF($A56="","",IFERROR(INDEX('INPUT-SIF_Questions'!$I$2:$I$1000,MATCH($A56,'INPUT-SIF_Questions'!$A$2:$A$1000,0)),""))</f>
        <v/>
      </c>
      <c r="D56" s="59" t="str">
        <f>IF($A56="","",IFERROR(INDEX('INPUT-SIF_Questions'!$S$2:$S$1000,MATCH($A56,'INPUT-SIF_Questions'!$A$2:$A$1000,0)),""))</f>
        <v/>
      </c>
      <c r="E56" s="1" t="str">
        <f>IF($A56="","",IFERROR(INDEX('INPUT-SIF_Questions'!$V$2:$V$1000,MATCH($A56,'INPUT-SIF_Questions'!$A$2:$A$1000,0)),""))</f>
        <v/>
      </c>
      <c r="F56" s="1" t="str">
        <f>IF($A56="","",IFERROR(INDEX('INPUT-SIF_Questions'!$W$2:$W$1000,MATCH($A56,'INPUT-SIF_Questions'!$A$2:$A$1000,0)),""))</f>
        <v/>
      </c>
      <c r="G56" s="3" t="str">
        <f>IF($A56="","",IFERROR(INDEX('INPUT-SIF_Questions'!$X$2:$X$1000,MATCH($A56,'INPUT-SIF_Questions'!$A$2:$A$1000,0)),""))</f>
        <v/>
      </c>
      <c r="H56" s="3" t="str">
        <f>IF($A56="","",IFERROR(INDEX('INPUT-SIF_Questions'!$Y$2:$Y$1000,MATCH($A56,'INPUT-SIF_Questions'!$A$2:$A$1000,0)),""))</f>
        <v/>
      </c>
      <c r="I56" s="1" t="str">
        <f>IF($A56="","",IFERROR(INDEX('INPUT-SIF_Questions'!$Z$2:$Z$1000,MATCH($A56,'INPUT-SIF_Questions'!$A$2:$A$1000,0)),""))</f>
        <v/>
      </c>
      <c r="J56" s="1" t="str">
        <f>IF($A56="","",IFERROR(INDEX('INPUT-SIF_Questions'!$AA$2:$AA$1000,MATCH($A56,'INPUT-SIF_Questions'!$A$2:$A$1000,0)),""))</f>
        <v/>
      </c>
      <c r="K56" s="3" t="str">
        <f>IF($A56="","",IFERROR(INDEX('INPUT-SIF_Questions'!$AB$2:$AB$1000,MATCH($A56,'INPUT-SIF_Questions'!$A$2:$A$1000,0)),""))</f>
        <v/>
      </c>
      <c r="L56" s="3" t="str">
        <f>IF($A56="","",IFERROR(INDEX('INPUT-SIF_Questions'!$AC$2:$AC$1000,MATCH($A56,'INPUT-SIF_Questions'!$A$2:$A$1000,0)),""))</f>
        <v/>
      </c>
      <c r="M56" s="1" t="str">
        <f>IF($A56="","",COUNTIFS('INPUT-SIF_Questions'!$A$2:$A$1000,$A56,'INPUT-SIF_Questions'!$M$2:$M$1000,1))</f>
        <v/>
      </c>
      <c r="N56" s="1" t="str">
        <f>IF($A56="","",COUNTIFS('INPUT-SIF_Questions'!$A$2:$A$1000,$A56,'INPUT-SIF_Questions'!$N$2:$N$1000,1))</f>
        <v/>
      </c>
      <c r="O56" s="1" t="str">
        <f>IF($A56="","",COUNTIFS('INPUT-SIF_Questions'!$A$2:$A$1000,$A56,'INPUT-SIF_Questions'!$O$2:$O$1000,1))</f>
        <v/>
      </c>
      <c r="P56" s="60" t="str">
        <f t="shared" si="1"/>
        <v/>
      </c>
      <c r="Q56" s="1" t="str">
        <f>IF($A56="","",IFERROR(INDEX('INPUT-SIF_Questions'!$B$2:$B$300,MATCH($A56,'INPUT-SIF_Questions'!$A$2:$A$300,0)),""))</f>
        <v/>
      </c>
      <c r="R56" s="1" t="str">
        <f>IF($A56="","",IFERROR(INDEX('INPUT-SIF_Questions'!$C$2:$C$300,MATCH($A56,'INPUT-SIF_Questions'!$A$2:$A$300,0)),""))</f>
        <v/>
      </c>
      <c r="S56" s="1" t="str">
        <f>IF($A56="","",IFERROR(INDEX('INPUT-SIF_Questions'!$F$2:$F$300,MATCH($A56,'INPUT-SIF_Questions'!$A$2:$A$300,0)),""))</f>
        <v/>
      </c>
      <c r="T56" s="1" t="str">
        <f>IF($A56="","",IFERROR(INDEX('INPUT-SIF_Questions'!$G$2:$G$300,MATCH($A56,'INPUT-SIF_Questions'!$A$2:$A$300,0)),""))</f>
        <v/>
      </c>
      <c r="U56" s="1" t="str">
        <f>IF($A56="","",IFERROR(INDEX('INPUT-SIF_Questions'!$E$2:$E$300,MATCH($A56,'INPUT-SIF_Questions'!$A$2:$A$300,0)),""))</f>
        <v/>
      </c>
    </row>
    <row r="57" spans="2:21" ht="14.25" customHeight="1" x14ac:dyDescent="0.45">
      <c r="B57" s="1" t="str">
        <f>IF($A57="","",IFERROR(INDEX('INPUT-SIF_Questions'!$H$2:$H$1000,MATCH($A57,'INPUT-SIF_Questions'!$A$2:$A$1000,0)),""))</f>
        <v/>
      </c>
      <c r="C57" s="3" t="str">
        <f>IF($A57="","",IFERROR(INDEX('INPUT-SIF_Questions'!$I$2:$I$1000,MATCH($A57,'INPUT-SIF_Questions'!$A$2:$A$1000,0)),""))</f>
        <v/>
      </c>
      <c r="D57" s="59" t="str">
        <f>IF($A57="","",IFERROR(INDEX('INPUT-SIF_Questions'!$S$2:$S$1000,MATCH($A57,'INPUT-SIF_Questions'!$A$2:$A$1000,0)),""))</f>
        <v/>
      </c>
      <c r="E57" s="1" t="str">
        <f>IF($A57="","",IFERROR(INDEX('INPUT-SIF_Questions'!$V$2:$V$1000,MATCH($A57,'INPUT-SIF_Questions'!$A$2:$A$1000,0)),""))</f>
        <v/>
      </c>
      <c r="F57" s="1" t="str">
        <f>IF($A57="","",IFERROR(INDEX('INPUT-SIF_Questions'!$W$2:$W$1000,MATCH($A57,'INPUT-SIF_Questions'!$A$2:$A$1000,0)),""))</f>
        <v/>
      </c>
      <c r="G57" s="3" t="str">
        <f>IF($A57="","",IFERROR(INDEX('INPUT-SIF_Questions'!$X$2:$X$1000,MATCH($A57,'INPUT-SIF_Questions'!$A$2:$A$1000,0)),""))</f>
        <v/>
      </c>
      <c r="H57" s="3" t="str">
        <f>IF($A57="","",IFERROR(INDEX('INPUT-SIF_Questions'!$Y$2:$Y$1000,MATCH($A57,'INPUT-SIF_Questions'!$A$2:$A$1000,0)),""))</f>
        <v/>
      </c>
      <c r="I57" s="1" t="str">
        <f>IF($A57="","",IFERROR(INDEX('INPUT-SIF_Questions'!$Z$2:$Z$1000,MATCH($A57,'INPUT-SIF_Questions'!$A$2:$A$1000,0)),""))</f>
        <v/>
      </c>
      <c r="J57" s="1" t="str">
        <f>IF($A57="","",IFERROR(INDEX('INPUT-SIF_Questions'!$AA$2:$AA$1000,MATCH($A57,'INPUT-SIF_Questions'!$A$2:$A$1000,0)),""))</f>
        <v/>
      </c>
      <c r="K57" s="3" t="str">
        <f>IF($A57="","",IFERROR(INDEX('INPUT-SIF_Questions'!$AB$2:$AB$1000,MATCH($A57,'INPUT-SIF_Questions'!$A$2:$A$1000,0)),""))</f>
        <v/>
      </c>
      <c r="L57" s="3" t="str">
        <f>IF($A57="","",IFERROR(INDEX('INPUT-SIF_Questions'!$AC$2:$AC$1000,MATCH($A57,'INPUT-SIF_Questions'!$A$2:$A$1000,0)),""))</f>
        <v/>
      </c>
      <c r="M57" s="1" t="str">
        <f>IF($A57="","",COUNTIFS('INPUT-SIF_Questions'!$A$2:$A$1000,$A57,'INPUT-SIF_Questions'!$M$2:$M$1000,1))</f>
        <v/>
      </c>
      <c r="N57" s="1" t="str">
        <f>IF($A57="","",COUNTIFS('INPUT-SIF_Questions'!$A$2:$A$1000,$A57,'INPUT-SIF_Questions'!$N$2:$N$1000,1))</f>
        <v/>
      </c>
      <c r="O57" s="1" t="str">
        <f>IF($A57="","",COUNTIFS('INPUT-SIF_Questions'!$A$2:$A$1000,$A57,'INPUT-SIF_Questions'!$O$2:$O$1000,1))</f>
        <v/>
      </c>
      <c r="P57" s="60" t="str">
        <f t="shared" si="1"/>
        <v/>
      </c>
      <c r="Q57" s="1" t="str">
        <f>IF($A57="","",IFERROR(INDEX('INPUT-SIF_Questions'!$B$2:$B$300,MATCH($A57,'INPUT-SIF_Questions'!$A$2:$A$300,0)),""))</f>
        <v/>
      </c>
      <c r="R57" s="1" t="str">
        <f>IF($A57="","",IFERROR(INDEX('INPUT-SIF_Questions'!$C$2:$C$300,MATCH($A57,'INPUT-SIF_Questions'!$A$2:$A$300,0)),""))</f>
        <v/>
      </c>
      <c r="S57" s="1" t="str">
        <f>IF($A57="","",IFERROR(INDEX('INPUT-SIF_Questions'!$F$2:$F$300,MATCH($A57,'INPUT-SIF_Questions'!$A$2:$A$300,0)),""))</f>
        <v/>
      </c>
      <c r="T57" s="1" t="str">
        <f>IF($A57="","",IFERROR(INDEX('INPUT-SIF_Questions'!$G$2:$G$300,MATCH($A57,'INPUT-SIF_Questions'!$A$2:$A$300,0)),""))</f>
        <v/>
      </c>
      <c r="U57" s="1" t="str">
        <f>IF($A57="","",IFERROR(INDEX('INPUT-SIF_Questions'!$E$2:$E$300,MATCH($A57,'INPUT-SIF_Questions'!$A$2:$A$300,0)),""))</f>
        <v/>
      </c>
    </row>
    <row r="58" spans="2:21" ht="14.25" customHeight="1" x14ac:dyDescent="0.45">
      <c r="B58" s="1" t="str">
        <f>IF($A58="","",IFERROR(INDEX('INPUT-SIF_Questions'!$H$2:$H$1000,MATCH($A58,'INPUT-SIF_Questions'!$A$2:$A$1000,0)),""))</f>
        <v/>
      </c>
      <c r="C58" s="3" t="str">
        <f>IF($A58="","",IFERROR(INDEX('INPUT-SIF_Questions'!$I$2:$I$1000,MATCH($A58,'INPUT-SIF_Questions'!$A$2:$A$1000,0)),""))</f>
        <v/>
      </c>
      <c r="D58" s="59" t="str">
        <f>IF($A58="","",IFERROR(INDEX('INPUT-SIF_Questions'!$S$2:$S$1000,MATCH($A58,'INPUT-SIF_Questions'!$A$2:$A$1000,0)),""))</f>
        <v/>
      </c>
      <c r="E58" s="1" t="str">
        <f>IF($A58="","",IFERROR(INDEX('INPUT-SIF_Questions'!$V$2:$V$1000,MATCH($A58,'INPUT-SIF_Questions'!$A$2:$A$1000,0)),""))</f>
        <v/>
      </c>
      <c r="F58" s="1" t="str">
        <f>IF($A58="","",IFERROR(INDEX('INPUT-SIF_Questions'!$W$2:$W$1000,MATCH($A58,'INPUT-SIF_Questions'!$A$2:$A$1000,0)),""))</f>
        <v/>
      </c>
      <c r="G58" s="3" t="str">
        <f>IF($A58="","",IFERROR(INDEX('INPUT-SIF_Questions'!$X$2:$X$1000,MATCH($A58,'INPUT-SIF_Questions'!$A$2:$A$1000,0)),""))</f>
        <v/>
      </c>
      <c r="H58" s="3" t="str">
        <f>IF($A58="","",IFERROR(INDEX('INPUT-SIF_Questions'!$Y$2:$Y$1000,MATCH($A58,'INPUT-SIF_Questions'!$A$2:$A$1000,0)),""))</f>
        <v/>
      </c>
      <c r="I58" s="1" t="str">
        <f>IF($A58="","",IFERROR(INDEX('INPUT-SIF_Questions'!$Z$2:$Z$1000,MATCH($A58,'INPUT-SIF_Questions'!$A$2:$A$1000,0)),""))</f>
        <v/>
      </c>
      <c r="J58" s="1" t="str">
        <f>IF($A58="","",IFERROR(INDEX('INPUT-SIF_Questions'!$AA$2:$AA$1000,MATCH($A58,'INPUT-SIF_Questions'!$A$2:$A$1000,0)),""))</f>
        <v/>
      </c>
      <c r="K58" s="3" t="str">
        <f>IF($A58="","",IFERROR(INDEX('INPUT-SIF_Questions'!$AB$2:$AB$1000,MATCH($A58,'INPUT-SIF_Questions'!$A$2:$A$1000,0)),""))</f>
        <v/>
      </c>
      <c r="L58" s="3" t="str">
        <f>IF($A58="","",IFERROR(INDEX('INPUT-SIF_Questions'!$AC$2:$AC$1000,MATCH($A58,'INPUT-SIF_Questions'!$A$2:$A$1000,0)),""))</f>
        <v/>
      </c>
      <c r="M58" s="1" t="str">
        <f>IF($A58="","",COUNTIFS('INPUT-SIF_Questions'!$A$2:$A$1000,$A58,'INPUT-SIF_Questions'!$M$2:$M$1000,1))</f>
        <v/>
      </c>
      <c r="N58" s="1" t="str">
        <f>IF($A58="","",COUNTIFS('INPUT-SIF_Questions'!$A$2:$A$1000,$A58,'INPUT-SIF_Questions'!$N$2:$N$1000,1))</f>
        <v/>
      </c>
      <c r="O58" s="1" t="str">
        <f>IF($A58="","",COUNTIFS('INPUT-SIF_Questions'!$A$2:$A$1000,$A58,'INPUT-SIF_Questions'!$O$2:$O$1000,1))</f>
        <v/>
      </c>
      <c r="P58" s="60" t="str">
        <f t="shared" si="1"/>
        <v/>
      </c>
      <c r="Q58" s="1" t="str">
        <f>IF($A58="","",IFERROR(INDEX('INPUT-SIF_Questions'!$B$2:$B$300,MATCH($A58,'INPUT-SIF_Questions'!$A$2:$A$300,0)),""))</f>
        <v/>
      </c>
      <c r="R58" s="1" t="str">
        <f>IF($A58="","",IFERROR(INDEX('INPUT-SIF_Questions'!$C$2:$C$300,MATCH($A58,'INPUT-SIF_Questions'!$A$2:$A$300,0)),""))</f>
        <v/>
      </c>
      <c r="S58" s="1" t="str">
        <f>IF($A58="","",IFERROR(INDEX('INPUT-SIF_Questions'!$F$2:$F$300,MATCH($A58,'INPUT-SIF_Questions'!$A$2:$A$300,0)),""))</f>
        <v/>
      </c>
      <c r="T58" s="1" t="str">
        <f>IF($A58="","",IFERROR(INDEX('INPUT-SIF_Questions'!$G$2:$G$300,MATCH($A58,'INPUT-SIF_Questions'!$A$2:$A$300,0)),""))</f>
        <v/>
      </c>
      <c r="U58" s="1" t="str">
        <f>IF($A58="","",IFERROR(INDEX('INPUT-SIF_Questions'!$E$2:$E$300,MATCH($A58,'INPUT-SIF_Questions'!$A$2:$A$300,0)),""))</f>
        <v/>
      </c>
    </row>
    <row r="59" spans="2:21" ht="14.25" customHeight="1" x14ac:dyDescent="0.45">
      <c r="B59" s="1" t="str">
        <f>IF($A59="","",IFERROR(INDEX('INPUT-SIF_Questions'!$H$2:$H$1000,MATCH($A59,'INPUT-SIF_Questions'!$A$2:$A$1000,0)),""))</f>
        <v/>
      </c>
      <c r="C59" s="3" t="str">
        <f>IF($A59="","",IFERROR(INDEX('INPUT-SIF_Questions'!$I$2:$I$1000,MATCH($A59,'INPUT-SIF_Questions'!$A$2:$A$1000,0)),""))</f>
        <v/>
      </c>
      <c r="D59" s="59" t="str">
        <f>IF($A59="","",IFERROR(INDEX('INPUT-SIF_Questions'!$S$2:$S$1000,MATCH($A59,'INPUT-SIF_Questions'!$A$2:$A$1000,0)),""))</f>
        <v/>
      </c>
      <c r="E59" s="1" t="str">
        <f>IF($A59="","",IFERROR(INDEX('INPUT-SIF_Questions'!$V$2:$V$1000,MATCH($A59,'INPUT-SIF_Questions'!$A$2:$A$1000,0)),""))</f>
        <v/>
      </c>
      <c r="F59" s="1" t="str">
        <f>IF($A59="","",IFERROR(INDEX('INPUT-SIF_Questions'!$W$2:$W$1000,MATCH($A59,'INPUT-SIF_Questions'!$A$2:$A$1000,0)),""))</f>
        <v/>
      </c>
      <c r="G59" s="3" t="str">
        <f>IF($A59="","",IFERROR(INDEX('INPUT-SIF_Questions'!$X$2:$X$1000,MATCH($A59,'INPUT-SIF_Questions'!$A$2:$A$1000,0)),""))</f>
        <v/>
      </c>
      <c r="H59" s="3" t="str">
        <f>IF($A59="","",IFERROR(INDEX('INPUT-SIF_Questions'!$Y$2:$Y$1000,MATCH($A59,'INPUT-SIF_Questions'!$A$2:$A$1000,0)),""))</f>
        <v/>
      </c>
      <c r="I59" s="1" t="str">
        <f>IF($A59="","",IFERROR(INDEX('INPUT-SIF_Questions'!$Z$2:$Z$1000,MATCH($A59,'INPUT-SIF_Questions'!$A$2:$A$1000,0)),""))</f>
        <v/>
      </c>
      <c r="J59" s="1" t="str">
        <f>IF($A59="","",IFERROR(INDEX('INPUT-SIF_Questions'!$AA$2:$AA$1000,MATCH($A59,'INPUT-SIF_Questions'!$A$2:$A$1000,0)),""))</f>
        <v/>
      </c>
      <c r="K59" s="3" t="str">
        <f>IF($A59="","",IFERROR(INDEX('INPUT-SIF_Questions'!$AB$2:$AB$1000,MATCH($A59,'INPUT-SIF_Questions'!$A$2:$A$1000,0)),""))</f>
        <v/>
      </c>
      <c r="L59" s="3" t="str">
        <f>IF($A59="","",IFERROR(INDEX('INPUT-SIF_Questions'!$AC$2:$AC$1000,MATCH($A59,'INPUT-SIF_Questions'!$A$2:$A$1000,0)),""))</f>
        <v/>
      </c>
      <c r="M59" s="1" t="str">
        <f>IF($A59="","",COUNTIFS('INPUT-SIF_Questions'!$A$2:$A$1000,$A59,'INPUT-SIF_Questions'!$M$2:$M$1000,1))</f>
        <v/>
      </c>
      <c r="N59" s="1" t="str">
        <f>IF($A59="","",COUNTIFS('INPUT-SIF_Questions'!$A$2:$A$1000,$A59,'INPUT-SIF_Questions'!$N$2:$N$1000,1))</f>
        <v/>
      </c>
      <c r="O59" s="1" t="str">
        <f>IF($A59="","",COUNTIFS('INPUT-SIF_Questions'!$A$2:$A$1000,$A59,'INPUT-SIF_Questions'!$O$2:$O$1000,1))</f>
        <v/>
      </c>
      <c r="P59" s="60" t="str">
        <f t="shared" si="1"/>
        <v/>
      </c>
      <c r="Q59" s="1" t="str">
        <f>IF($A59="","",IFERROR(INDEX('INPUT-SIF_Questions'!$B$2:$B$300,MATCH($A59,'INPUT-SIF_Questions'!$A$2:$A$300,0)),""))</f>
        <v/>
      </c>
      <c r="R59" s="1" t="str">
        <f>IF($A59="","",IFERROR(INDEX('INPUT-SIF_Questions'!$C$2:$C$300,MATCH($A59,'INPUT-SIF_Questions'!$A$2:$A$300,0)),""))</f>
        <v/>
      </c>
      <c r="S59" s="1" t="str">
        <f>IF($A59="","",IFERROR(INDEX('INPUT-SIF_Questions'!$F$2:$F$300,MATCH($A59,'INPUT-SIF_Questions'!$A$2:$A$300,0)),""))</f>
        <v/>
      </c>
      <c r="T59" s="1" t="str">
        <f>IF($A59="","",IFERROR(INDEX('INPUT-SIF_Questions'!$G$2:$G$300,MATCH($A59,'INPUT-SIF_Questions'!$A$2:$A$300,0)),""))</f>
        <v/>
      </c>
      <c r="U59" s="1" t="str">
        <f>IF($A59="","",IFERROR(INDEX('INPUT-SIF_Questions'!$E$2:$E$300,MATCH($A59,'INPUT-SIF_Questions'!$A$2:$A$300,0)),""))</f>
        <v/>
      </c>
    </row>
    <row r="60" spans="2:21" ht="14.25" customHeight="1" x14ac:dyDescent="0.45">
      <c r="B60" s="1" t="str">
        <f>IF($A60="","",IFERROR(INDEX('INPUT-SIF_Questions'!$H$2:$H$1000,MATCH($A60,'INPUT-SIF_Questions'!$A$2:$A$1000,0)),""))</f>
        <v/>
      </c>
      <c r="C60" s="3" t="str">
        <f>IF($A60="","",IFERROR(INDEX('INPUT-SIF_Questions'!$I$2:$I$1000,MATCH($A60,'INPUT-SIF_Questions'!$A$2:$A$1000,0)),""))</f>
        <v/>
      </c>
      <c r="D60" s="59" t="str">
        <f>IF($A60="","",IFERROR(INDEX('INPUT-SIF_Questions'!$S$2:$S$1000,MATCH($A60,'INPUT-SIF_Questions'!$A$2:$A$1000,0)),""))</f>
        <v/>
      </c>
      <c r="E60" s="1" t="str">
        <f>IF($A60="","",IFERROR(INDEX('INPUT-SIF_Questions'!$V$2:$V$1000,MATCH($A60,'INPUT-SIF_Questions'!$A$2:$A$1000,0)),""))</f>
        <v/>
      </c>
      <c r="F60" s="1" t="str">
        <f>IF($A60="","",IFERROR(INDEX('INPUT-SIF_Questions'!$W$2:$W$1000,MATCH($A60,'INPUT-SIF_Questions'!$A$2:$A$1000,0)),""))</f>
        <v/>
      </c>
      <c r="G60" s="3" t="str">
        <f>IF($A60="","",IFERROR(INDEX('INPUT-SIF_Questions'!$X$2:$X$1000,MATCH($A60,'INPUT-SIF_Questions'!$A$2:$A$1000,0)),""))</f>
        <v/>
      </c>
      <c r="H60" s="3" t="str">
        <f>IF($A60="","",IFERROR(INDEX('INPUT-SIF_Questions'!$Y$2:$Y$1000,MATCH($A60,'INPUT-SIF_Questions'!$A$2:$A$1000,0)),""))</f>
        <v/>
      </c>
      <c r="I60" s="1" t="str">
        <f>IF($A60="","",IFERROR(INDEX('INPUT-SIF_Questions'!$Z$2:$Z$1000,MATCH($A60,'INPUT-SIF_Questions'!$A$2:$A$1000,0)),""))</f>
        <v/>
      </c>
      <c r="J60" s="1" t="str">
        <f>IF($A60="","",IFERROR(INDEX('INPUT-SIF_Questions'!$AA$2:$AA$1000,MATCH($A60,'INPUT-SIF_Questions'!$A$2:$A$1000,0)),""))</f>
        <v/>
      </c>
      <c r="K60" s="3" t="str">
        <f>IF($A60="","",IFERROR(INDEX('INPUT-SIF_Questions'!$AB$2:$AB$1000,MATCH($A60,'INPUT-SIF_Questions'!$A$2:$A$1000,0)),""))</f>
        <v/>
      </c>
      <c r="L60" s="3" t="str">
        <f>IF($A60="","",IFERROR(INDEX('INPUT-SIF_Questions'!$AC$2:$AC$1000,MATCH($A60,'INPUT-SIF_Questions'!$A$2:$A$1000,0)),""))</f>
        <v/>
      </c>
      <c r="M60" s="1" t="str">
        <f>IF($A60="","",COUNTIFS('INPUT-SIF_Questions'!$A$2:$A$1000,$A60,'INPUT-SIF_Questions'!$M$2:$M$1000,1))</f>
        <v/>
      </c>
      <c r="N60" s="1" t="str">
        <f>IF($A60="","",COUNTIFS('INPUT-SIF_Questions'!$A$2:$A$1000,$A60,'INPUT-SIF_Questions'!$N$2:$N$1000,1))</f>
        <v/>
      </c>
      <c r="O60" s="1" t="str">
        <f>IF($A60="","",COUNTIFS('INPUT-SIF_Questions'!$A$2:$A$1000,$A60,'INPUT-SIF_Questions'!$O$2:$O$1000,1))</f>
        <v/>
      </c>
      <c r="P60" s="60" t="str">
        <f t="shared" si="1"/>
        <v/>
      </c>
      <c r="Q60" s="1" t="str">
        <f>IF($A60="","",IFERROR(INDEX('INPUT-SIF_Questions'!$B$2:$B$300,MATCH($A60,'INPUT-SIF_Questions'!$A$2:$A$300,0)),""))</f>
        <v/>
      </c>
      <c r="R60" s="1" t="str">
        <f>IF($A60="","",IFERROR(INDEX('INPUT-SIF_Questions'!$C$2:$C$300,MATCH($A60,'INPUT-SIF_Questions'!$A$2:$A$300,0)),""))</f>
        <v/>
      </c>
      <c r="S60" s="1" t="str">
        <f>IF($A60="","",IFERROR(INDEX('INPUT-SIF_Questions'!$F$2:$F$300,MATCH($A60,'INPUT-SIF_Questions'!$A$2:$A$300,0)),""))</f>
        <v/>
      </c>
      <c r="T60" s="1" t="str">
        <f>IF($A60="","",IFERROR(INDEX('INPUT-SIF_Questions'!$G$2:$G$300,MATCH($A60,'INPUT-SIF_Questions'!$A$2:$A$300,0)),""))</f>
        <v/>
      </c>
      <c r="U60" s="1" t="str">
        <f>IF($A60="","",IFERROR(INDEX('INPUT-SIF_Questions'!$E$2:$E$300,MATCH($A60,'INPUT-SIF_Questions'!$A$2:$A$300,0)),""))</f>
        <v/>
      </c>
    </row>
    <row r="61" spans="2:21" ht="14.25" customHeight="1" x14ac:dyDescent="0.45">
      <c r="B61" s="1" t="str">
        <f>IF($A61="","",IFERROR(INDEX('INPUT-SIF_Questions'!$H$2:$H$1000,MATCH($A61,'INPUT-SIF_Questions'!$A$2:$A$1000,0)),""))</f>
        <v/>
      </c>
      <c r="C61" s="3" t="str">
        <f>IF($A61="","",IFERROR(INDEX('INPUT-SIF_Questions'!$I$2:$I$1000,MATCH($A61,'INPUT-SIF_Questions'!$A$2:$A$1000,0)),""))</f>
        <v/>
      </c>
      <c r="D61" s="59" t="str">
        <f>IF($A61="","",IFERROR(INDEX('INPUT-SIF_Questions'!$S$2:$S$1000,MATCH($A61,'INPUT-SIF_Questions'!$A$2:$A$1000,0)),""))</f>
        <v/>
      </c>
      <c r="E61" s="1" t="str">
        <f>IF($A61="","",IFERROR(INDEX('INPUT-SIF_Questions'!$V$2:$V$1000,MATCH($A61,'INPUT-SIF_Questions'!$A$2:$A$1000,0)),""))</f>
        <v/>
      </c>
      <c r="F61" s="1" t="str">
        <f>IF($A61="","",IFERROR(INDEX('INPUT-SIF_Questions'!$W$2:$W$1000,MATCH($A61,'INPUT-SIF_Questions'!$A$2:$A$1000,0)),""))</f>
        <v/>
      </c>
      <c r="G61" s="3" t="str">
        <f>IF($A61="","",IFERROR(INDEX('INPUT-SIF_Questions'!$X$2:$X$1000,MATCH($A61,'INPUT-SIF_Questions'!$A$2:$A$1000,0)),""))</f>
        <v/>
      </c>
      <c r="H61" s="3" t="str">
        <f>IF($A61="","",IFERROR(INDEX('INPUT-SIF_Questions'!$Y$2:$Y$1000,MATCH($A61,'INPUT-SIF_Questions'!$A$2:$A$1000,0)),""))</f>
        <v/>
      </c>
      <c r="I61" s="1" t="str">
        <f>IF($A61="","",IFERROR(INDEX('INPUT-SIF_Questions'!$Z$2:$Z$1000,MATCH($A61,'INPUT-SIF_Questions'!$A$2:$A$1000,0)),""))</f>
        <v/>
      </c>
      <c r="J61" s="1" t="str">
        <f>IF($A61="","",IFERROR(INDEX('INPUT-SIF_Questions'!$AA$2:$AA$1000,MATCH($A61,'INPUT-SIF_Questions'!$A$2:$A$1000,0)),""))</f>
        <v/>
      </c>
      <c r="K61" s="3" t="str">
        <f>IF($A61="","",IFERROR(INDEX('INPUT-SIF_Questions'!$AB$2:$AB$1000,MATCH($A61,'INPUT-SIF_Questions'!$A$2:$A$1000,0)),""))</f>
        <v/>
      </c>
      <c r="L61" s="3" t="str">
        <f>IF($A61="","",IFERROR(INDEX('INPUT-SIF_Questions'!$AC$2:$AC$1000,MATCH($A61,'INPUT-SIF_Questions'!$A$2:$A$1000,0)),""))</f>
        <v/>
      </c>
      <c r="M61" s="1" t="str">
        <f>IF($A61="","",COUNTIFS('INPUT-SIF_Questions'!$A$2:$A$1000,$A61,'INPUT-SIF_Questions'!$M$2:$M$1000,1))</f>
        <v/>
      </c>
      <c r="N61" s="1" t="str">
        <f>IF($A61="","",COUNTIFS('INPUT-SIF_Questions'!$A$2:$A$1000,$A61,'INPUT-SIF_Questions'!$N$2:$N$1000,1))</f>
        <v/>
      </c>
      <c r="O61" s="1" t="str">
        <f>IF($A61="","",COUNTIFS('INPUT-SIF_Questions'!$A$2:$A$1000,$A61,'INPUT-SIF_Questions'!$O$2:$O$1000,1))</f>
        <v/>
      </c>
      <c r="P61" s="60" t="str">
        <f t="shared" si="1"/>
        <v/>
      </c>
      <c r="Q61" s="1" t="str">
        <f>IF($A61="","",IFERROR(INDEX('INPUT-SIF_Questions'!$B$2:$B$300,MATCH($A61,'INPUT-SIF_Questions'!$A$2:$A$300,0)),""))</f>
        <v/>
      </c>
      <c r="R61" s="1" t="str">
        <f>IF($A61="","",IFERROR(INDEX('INPUT-SIF_Questions'!$C$2:$C$300,MATCH($A61,'INPUT-SIF_Questions'!$A$2:$A$300,0)),""))</f>
        <v/>
      </c>
      <c r="S61" s="1" t="str">
        <f>IF($A61="","",IFERROR(INDEX('INPUT-SIF_Questions'!$F$2:$F$300,MATCH($A61,'INPUT-SIF_Questions'!$A$2:$A$300,0)),""))</f>
        <v/>
      </c>
      <c r="T61" s="1" t="str">
        <f>IF($A61="","",IFERROR(INDEX('INPUT-SIF_Questions'!$G$2:$G$300,MATCH($A61,'INPUT-SIF_Questions'!$A$2:$A$300,0)),""))</f>
        <v/>
      </c>
      <c r="U61" s="1" t="str">
        <f>IF($A61="","",IFERROR(INDEX('INPUT-SIF_Questions'!$E$2:$E$300,MATCH($A61,'INPUT-SIF_Questions'!$A$2:$A$300,0)),""))</f>
        <v/>
      </c>
    </row>
    <row r="62" spans="2:21" ht="14.25" customHeight="1" x14ac:dyDescent="0.45">
      <c r="B62" s="1" t="str">
        <f>IF($A62="","",IFERROR(INDEX('INPUT-SIF_Questions'!$H$2:$H$1000,MATCH($A62,'INPUT-SIF_Questions'!$A$2:$A$1000,0)),""))</f>
        <v/>
      </c>
      <c r="C62" s="3" t="str">
        <f>IF($A62="","",IFERROR(INDEX('INPUT-SIF_Questions'!$I$2:$I$1000,MATCH($A62,'INPUT-SIF_Questions'!$A$2:$A$1000,0)),""))</f>
        <v/>
      </c>
      <c r="D62" s="59" t="str">
        <f>IF($A62="","",IFERROR(INDEX('INPUT-SIF_Questions'!$S$2:$S$1000,MATCH($A62,'INPUT-SIF_Questions'!$A$2:$A$1000,0)),""))</f>
        <v/>
      </c>
      <c r="E62" s="1" t="str">
        <f>IF($A62="","",IFERROR(INDEX('INPUT-SIF_Questions'!$V$2:$V$1000,MATCH($A62,'INPUT-SIF_Questions'!$A$2:$A$1000,0)),""))</f>
        <v/>
      </c>
      <c r="F62" s="1" t="str">
        <f>IF($A62="","",IFERROR(INDEX('INPUT-SIF_Questions'!$W$2:$W$1000,MATCH($A62,'INPUT-SIF_Questions'!$A$2:$A$1000,0)),""))</f>
        <v/>
      </c>
      <c r="G62" s="3" t="str">
        <f>IF($A62="","",IFERROR(INDEX('INPUT-SIF_Questions'!$X$2:$X$1000,MATCH($A62,'INPUT-SIF_Questions'!$A$2:$A$1000,0)),""))</f>
        <v/>
      </c>
      <c r="H62" s="3" t="str">
        <f>IF($A62="","",IFERROR(INDEX('INPUT-SIF_Questions'!$Y$2:$Y$1000,MATCH($A62,'INPUT-SIF_Questions'!$A$2:$A$1000,0)),""))</f>
        <v/>
      </c>
      <c r="I62" s="1" t="str">
        <f>IF($A62="","",IFERROR(INDEX('INPUT-SIF_Questions'!$Z$2:$Z$1000,MATCH($A62,'INPUT-SIF_Questions'!$A$2:$A$1000,0)),""))</f>
        <v/>
      </c>
      <c r="J62" s="1" t="str">
        <f>IF($A62="","",IFERROR(INDEX('INPUT-SIF_Questions'!$AA$2:$AA$1000,MATCH($A62,'INPUT-SIF_Questions'!$A$2:$A$1000,0)),""))</f>
        <v/>
      </c>
      <c r="K62" s="3" t="str">
        <f>IF($A62="","",IFERROR(INDEX('INPUT-SIF_Questions'!$AB$2:$AB$1000,MATCH($A62,'INPUT-SIF_Questions'!$A$2:$A$1000,0)),""))</f>
        <v/>
      </c>
      <c r="L62" s="3" t="str">
        <f>IF($A62="","",IFERROR(INDEX('INPUT-SIF_Questions'!$AC$2:$AC$1000,MATCH($A62,'INPUT-SIF_Questions'!$A$2:$A$1000,0)),""))</f>
        <v/>
      </c>
      <c r="M62" s="1" t="str">
        <f>IF($A62="","",COUNTIFS('INPUT-SIF_Questions'!$A$2:$A$1000,$A62,'INPUT-SIF_Questions'!$M$2:$M$1000,1))</f>
        <v/>
      </c>
      <c r="N62" s="1" t="str">
        <f>IF($A62="","",COUNTIFS('INPUT-SIF_Questions'!$A$2:$A$1000,$A62,'INPUT-SIF_Questions'!$N$2:$N$1000,1))</f>
        <v/>
      </c>
      <c r="O62" s="1" t="str">
        <f>IF($A62="","",COUNTIFS('INPUT-SIF_Questions'!$A$2:$A$1000,$A62,'INPUT-SIF_Questions'!$O$2:$O$1000,1))</f>
        <v/>
      </c>
      <c r="P62" s="60" t="str">
        <f t="shared" si="1"/>
        <v/>
      </c>
      <c r="Q62" s="1" t="str">
        <f>IF($A62="","",IFERROR(INDEX('INPUT-SIF_Questions'!$B$2:$B$300,MATCH($A62,'INPUT-SIF_Questions'!$A$2:$A$300,0)),""))</f>
        <v/>
      </c>
      <c r="R62" s="1" t="str">
        <f>IF($A62="","",IFERROR(INDEX('INPUT-SIF_Questions'!$C$2:$C$300,MATCH($A62,'INPUT-SIF_Questions'!$A$2:$A$300,0)),""))</f>
        <v/>
      </c>
      <c r="S62" s="1" t="str">
        <f>IF($A62="","",IFERROR(INDEX('INPUT-SIF_Questions'!$F$2:$F$300,MATCH($A62,'INPUT-SIF_Questions'!$A$2:$A$300,0)),""))</f>
        <v/>
      </c>
      <c r="T62" s="1" t="str">
        <f>IF($A62="","",IFERROR(INDEX('INPUT-SIF_Questions'!$G$2:$G$300,MATCH($A62,'INPUT-SIF_Questions'!$A$2:$A$300,0)),""))</f>
        <v/>
      </c>
      <c r="U62" s="1" t="str">
        <f>IF($A62="","",IFERROR(INDEX('INPUT-SIF_Questions'!$E$2:$E$300,MATCH($A62,'INPUT-SIF_Questions'!$A$2:$A$300,0)),""))</f>
        <v/>
      </c>
    </row>
    <row r="63" spans="2:21" ht="14.25" customHeight="1" x14ac:dyDescent="0.45">
      <c r="B63" s="1" t="str">
        <f>IF($A63="","",IFERROR(INDEX('INPUT-SIF_Questions'!$H$2:$H$1000,MATCH($A63,'INPUT-SIF_Questions'!$A$2:$A$1000,0)),""))</f>
        <v/>
      </c>
      <c r="C63" s="3" t="str">
        <f>IF($A63="","",IFERROR(INDEX('INPUT-SIF_Questions'!$I$2:$I$1000,MATCH($A63,'INPUT-SIF_Questions'!$A$2:$A$1000,0)),""))</f>
        <v/>
      </c>
      <c r="D63" s="59" t="str">
        <f>IF($A63="","",IFERROR(INDEX('INPUT-SIF_Questions'!$S$2:$S$1000,MATCH($A63,'INPUT-SIF_Questions'!$A$2:$A$1000,0)),""))</f>
        <v/>
      </c>
      <c r="E63" s="1" t="str">
        <f>IF($A63="","",IFERROR(INDEX('INPUT-SIF_Questions'!$V$2:$V$1000,MATCH($A63,'INPUT-SIF_Questions'!$A$2:$A$1000,0)),""))</f>
        <v/>
      </c>
      <c r="F63" s="1" t="str">
        <f>IF($A63="","",IFERROR(INDEX('INPUT-SIF_Questions'!$W$2:$W$1000,MATCH($A63,'INPUT-SIF_Questions'!$A$2:$A$1000,0)),""))</f>
        <v/>
      </c>
      <c r="G63" s="3" t="str">
        <f>IF($A63="","",IFERROR(INDEX('INPUT-SIF_Questions'!$X$2:$X$1000,MATCH($A63,'INPUT-SIF_Questions'!$A$2:$A$1000,0)),""))</f>
        <v/>
      </c>
      <c r="H63" s="3" t="str">
        <f>IF($A63="","",IFERROR(INDEX('INPUT-SIF_Questions'!$Y$2:$Y$1000,MATCH($A63,'INPUT-SIF_Questions'!$A$2:$A$1000,0)),""))</f>
        <v/>
      </c>
      <c r="I63" s="1" t="str">
        <f>IF($A63="","",IFERROR(INDEX('INPUT-SIF_Questions'!$Z$2:$Z$1000,MATCH($A63,'INPUT-SIF_Questions'!$A$2:$A$1000,0)),""))</f>
        <v/>
      </c>
      <c r="J63" s="1" t="str">
        <f>IF($A63="","",IFERROR(INDEX('INPUT-SIF_Questions'!$AA$2:$AA$1000,MATCH($A63,'INPUT-SIF_Questions'!$A$2:$A$1000,0)),""))</f>
        <v/>
      </c>
      <c r="K63" s="3" t="str">
        <f>IF($A63="","",IFERROR(INDEX('INPUT-SIF_Questions'!$AB$2:$AB$1000,MATCH($A63,'INPUT-SIF_Questions'!$A$2:$A$1000,0)),""))</f>
        <v/>
      </c>
      <c r="L63" s="3" t="str">
        <f>IF($A63="","",IFERROR(INDEX('INPUT-SIF_Questions'!$AC$2:$AC$1000,MATCH($A63,'INPUT-SIF_Questions'!$A$2:$A$1000,0)),""))</f>
        <v/>
      </c>
      <c r="M63" s="1" t="str">
        <f>IF($A63="","",COUNTIFS('INPUT-SIF_Questions'!$A$2:$A$1000,$A63,'INPUT-SIF_Questions'!$M$2:$M$1000,1))</f>
        <v/>
      </c>
      <c r="N63" s="1" t="str">
        <f>IF($A63="","",COUNTIFS('INPUT-SIF_Questions'!$A$2:$A$1000,$A63,'INPUT-SIF_Questions'!$N$2:$N$1000,1))</f>
        <v/>
      </c>
      <c r="O63" s="1" t="str">
        <f>IF($A63="","",COUNTIFS('INPUT-SIF_Questions'!$A$2:$A$1000,$A63,'INPUT-SIF_Questions'!$O$2:$O$1000,1))</f>
        <v/>
      </c>
      <c r="P63" s="60" t="str">
        <f t="shared" si="1"/>
        <v/>
      </c>
      <c r="Q63" s="1" t="str">
        <f>IF($A63="","",IFERROR(INDEX('INPUT-SIF_Questions'!$B$2:$B$300,MATCH($A63,'INPUT-SIF_Questions'!$A$2:$A$300,0)),""))</f>
        <v/>
      </c>
      <c r="R63" s="1" t="str">
        <f>IF($A63="","",IFERROR(INDEX('INPUT-SIF_Questions'!$C$2:$C$300,MATCH($A63,'INPUT-SIF_Questions'!$A$2:$A$300,0)),""))</f>
        <v/>
      </c>
      <c r="S63" s="1" t="str">
        <f>IF($A63="","",IFERROR(INDEX('INPUT-SIF_Questions'!$F$2:$F$300,MATCH($A63,'INPUT-SIF_Questions'!$A$2:$A$300,0)),""))</f>
        <v/>
      </c>
      <c r="T63" s="1" t="str">
        <f>IF($A63="","",IFERROR(INDEX('INPUT-SIF_Questions'!$G$2:$G$300,MATCH($A63,'INPUT-SIF_Questions'!$A$2:$A$300,0)),""))</f>
        <v/>
      </c>
      <c r="U63" s="1" t="str">
        <f>IF($A63="","",IFERROR(INDEX('INPUT-SIF_Questions'!$E$2:$E$300,MATCH($A63,'INPUT-SIF_Questions'!$A$2:$A$300,0)),""))</f>
        <v/>
      </c>
    </row>
    <row r="64" spans="2:21" ht="14.25" customHeight="1" x14ac:dyDescent="0.45">
      <c r="B64" s="1" t="str">
        <f>IF($A64="","",IFERROR(INDEX('INPUT-SIF_Questions'!$H$2:$H$1000,MATCH($A64,'INPUT-SIF_Questions'!$A$2:$A$1000,0)),""))</f>
        <v/>
      </c>
      <c r="C64" s="3" t="str">
        <f>IF($A64="","",IFERROR(INDEX('INPUT-SIF_Questions'!$I$2:$I$1000,MATCH($A64,'INPUT-SIF_Questions'!$A$2:$A$1000,0)),""))</f>
        <v/>
      </c>
      <c r="D64" s="59" t="str">
        <f>IF($A64="","",IFERROR(INDEX('INPUT-SIF_Questions'!$S$2:$S$1000,MATCH($A64,'INPUT-SIF_Questions'!$A$2:$A$1000,0)),""))</f>
        <v/>
      </c>
      <c r="E64" s="1" t="str">
        <f>IF($A64="","",IFERROR(INDEX('INPUT-SIF_Questions'!$V$2:$V$1000,MATCH($A64,'INPUT-SIF_Questions'!$A$2:$A$1000,0)),""))</f>
        <v/>
      </c>
      <c r="F64" s="1" t="str">
        <f>IF($A64="","",IFERROR(INDEX('INPUT-SIF_Questions'!$W$2:$W$1000,MATCH($A64,'INPUT-SIF_Questions'!$A$2:$A$1000,0)),""))</f>
        <v/>
      </c>
      <c r="G64" s="3" t="str">
        <f>IF($A64="","",IFERROR(INDEX('INPUT-SIF_Questions'!$X$2:$X$1000,MATCH($A64,'INPUT-SIF_Questions'!$A$2:$A$1000,0)),""))</f>
        <v/>
      </c>
      <c r="H64" s="3" t="str">
        <f>IF($A64="","",IFERROR(INDEX('INPUT-SIF_Questions'!$Y$2:$Y$1000,MATCH($A64,'INPUT-SIF_Questions'!$A$2:$A$1000,0)),""))</f>
        <v/>
      </c>
      <c r="I64" s="1" t="str">
        <f>IF($A64="","",IFERROR(INDEX('INPUT-SIF_Questions'!$Z$2:$Z$1000,MATCH($A64,'INPUT-SIF_Questions'!$A$2:$A$1000,0)),""))</f>
        <v/>
      </c>
      <c r="J64" s="1" t="str">
        <f>IF($A64="","",IFERROR(INDEX('INPUT-SIF_Questions'!$AA$2:$AA$1000,MATCH($A64,'INPUT-SIF_Questions'!$A$2:$A$1000,0)),""))</f>
        <v/>
      </c>
      <c r="K64" s="3" t="str">
        <f>IF($A64="","",IFERROR(INDEX('INPUT-SIF_Questions'!$AB$2:$AB$1000,MATCH($A64,'INPUT-SIF_Questions'!$A$2:$A$1000,0)),""))</f>
        <v/>
      </c>
      <c r="L64" s="3" t="str">
        <f>IF($A64="","",IFERROR(INDEX('INPUT-SIF_Questions'!$AC$2:$AC$1000,MATCH($A64,'INPUT-SIF_Questions'!$A$2:$A$1000,0)),""))</f>
        <v/>
      </c>
      <c r="M64" s="1" t="str">
        <f>IF($A64="","",COUNTIFS('INPUT-SIF_Questions'!$A$2:$A$1000,$A64,'INPUT-SIF_Questions'!$M$2:$M$1000,1))</f>
        <v/>
      </c>
      <c r="N64" s="1" t="str">
        <f>IF($A64="","",COUNTIFS('INPUT-SIF_Questions'!$A$2:$A$1000,$A64,'INPUT-SIF_Questions'!$N$2:$N$1000,1))</f>
        <v/>
      </c>
      <c r="O64" s="1" t="str">
        <f>IF($A64="","",COUNTIFS('INPUT-SIF_Questions'!$A$2:$A$1000,$A64,'INPUT-SIF_Questions'!$O$2:$O$1000,1))</f>
        <v/>
      </c>
      <c r="P64" s="60" t="str">
        <f t="shared" si="1"/>
        <v/>
      </c>
      <c r="Q64" s="1" t="str">
        <f>IF($A64="","",IFERROR(INDEX('INPUT-SIF_Questions'!$B$2:$B$300,MATCH($A64,'INPUT-SIF_Questions'!$A$2:$A$300,0)),""))</f>
        <v/>
      </c>
      <c r="R64" s="1" t="str">
        <f>IF($A64="","",IFERROR(INDEX('INPUT-SIF_Questions'!$C$2:$C$300,MATCH($A64,'INPUT-SIF_Questions'!$A$2:$A$300,0)),""))</f>
        <v/>
      </c>
      <c r="S64" s="1" t="str">
        <f>IF($A64="","",IFERROR(INDEX('INPUT-SIF_Questions'!$F$2:$F$300,MATCH($A64,'INPUT-SIF_Questions'!$A$2:$A$300,0)),""))</f>
        <v/>
      </c>
      <c r="T64" s="1" t="str">
        <f>IF($A64="","",IFERROR(INDEX('INPUT-SIF_Questions'!$G$2:$G$300,MATCH($A64,'INPUT-SIF_Questions'!$A$2:$A$300,0)),""))</f>
        <v/>
      </c>
      <c r="U64" s="1" t="str">
        <f>IF($A64="","",IFERROR(INDEX('INPUT-SIF_Questions'!$E$2:$E$300,MATCH($A64,'INPUT-SIF_Questions'!$A$2:$A$300,0)),""))</f>
        <v/>
      </c>
    </row>
    <row r="65" spans="2:21" ht="14.25" customHeight="1" x14ac:dyDescent="0.45">
      <c r="B65" s="1" t="str">
        <f>IF($A65="","",IFERROR(INDEX('INPUT-SIF_Questions'!$H$2:$H$1000,MATCH($A65,'INPUT-SIF_Questions'!$A$2:$A$1000,0)),""))</f>
        <v/>
      </c>
      <c r="C65" s="3" t="str">
        <f>IF($A65="","",IFERROR(INDEX('INPUT-SIF_Questions'!$I$2:$I$1000,MATCH($A65,'INPUT-SIF_Questions'!$A$2:$A$1000,0)),""))</f>
        <v/>
      </c>
      <c r="D65" s="59" t="str">
        <f>IF($A65="","",IFERROR(INDEX('INPUT-SIF_Questions'!$S$2:$S$1000,MATCH($A65,'INPUT-SIF_Questions'!$A$2:$A$1000,0)),""))</f>
        <v/>
      </c>
      <c r="E65" s="1" t="str">
        <f>IF($A65="","",IFERROR(INDEX('INPUT-SIF_Questions'!$V$2:$V$1000,MATCH($A65,'INPUT-SIF_Questions'!$A$2:$A$1000,0)),""))</f>
        <v/>
      </c>
      <c r="F65" s="1" t="str">
        <f>IF($A65="","",IFERROR(INDEX('INPUT-SIF_Questions'!$W$2:$W$1000,MATCH($A65,'INPUT-SIF_Questions'!$A$2:$A$1000,0)),""))</f>
        <v/>
      </c>
      <c r="G65" s="3" t="str">
        <f>IF($A65="","",IFERROR(INDEX('INPUT-SIF_Questions'!$X$2:$X$1000,MATCH($A65,'INPUT-SIF_Questions'!$A$2:$A$1000,0)),""))</f>
        <v/>
      </c>
      <c r="H65" s="3" t="str">
        <f>IF($A65="","",IFERROR(INDEX('INPUT-SIF_Questions'!$Y$2:$Y$1000,MATCH($A65,'INPUT-SIF_Questions'!$A$2:$A$1000,0)),""))</f>
        <v/>
      </c>
      <c r="I65" s="1" t="str">
        <f>IF($A65="","",IFERROR(INDEX('INPUT-SIF_Questions'!$Z$2:$Z$1000,MATCH($A65,'INPUT-SIF_Questions'!$A$2:$A$1000,0)),""))</f>
        <v/>
      </c>
      <c r="J65" s="1" t="str">
        <f>IF($A65="","",IFERROR(INDEX('INPUT-SIF_Questions'!$AA$2:$AA$1000,MATCH($A65,'INPUT-SIF_Questions'!$A$2:$A$1000,0)),""))</f>
        <v/>
      </c>
      <c r="K65" s="3" t="str">
        <f>IF($A65="","",IFERROR(INDEX('INPUT-SIF_Questions'!$AB$2:$AB$1000,MATCH($A65,'INPUT-SIF_Questions'!$A$2:$A$1000,0)),""))</f>
        <v/>
      </c>
      <c r="L65" s="3" t="str">
        <f>IF($A65="","",IFERROR(INDEX('INPUT-SIF_Questions'!$AC$2:$AC$1000,MATCH($A65,'INPUT-SIF_Questions'!$A$2:$A$1000,0)),""))</f>
        <v/>
      </c>
      <c r="M65" s="1" t="str">
        <f>IF($A65="","",COUNTIFS('INPUT-SIF_Questions'!$A$2:$A$1000,$A65,'INPUT-SIF_Questions'!$M$2:$M$1000,1))</f>
        <v/>
      </c>
      <c r="N65" s="1" t="str">
        <f>IF($A65="","",COUNTIFS('INPUT-SIF_Questions'!$A$2:$A$1000,$A65,'INPUT-SIF_Questions'!$N$2:$N$1000,1))</f>
        <v/>
      </c>
      <c r="O65" s="1" t="str">
        <f>IF($A65="","",COUNTIFS('INPUT-SIF_Questions'!$A$2:$A$1000,$A65,'INPUT-SIF_Questions'!$O$2:$O$1000,1))</f>
        <v/>
      </c>
      <c r="P65" s="60" t="str">
        <f t="shared" si="1"/>
        <v/>
      </c>
      <c r="Q65" s="1" t="str">
        <f>IF($A65="","",IFERROR(INDEX('INPUT-SIF_Questions'!$B$2:$B$300,MATCH($A65,'INPUT-SIF_Questions'!$A$2:$A$300,0)),""))</f>
        <v/>
      </c>
      <c r="R65" s="1" t="str">
        <f>IF($A65="","",IFERROR(INDEX('INPUT-SIF_Questions'!$C$2:$C$300,MATCH($A65,'INPUT-SIF_Questions'!$A$2:$A$300,0)),""))</f>
        <v/>
      </c>
      <c r="S65" s="1" t="str">
        <f>IF($A65="","",IFERROR(INDEX('INPUT-SIF_Questions'!$F$2:$F$300,MATCH($A65,'INPUT-SIF_Questions'!$A$2:$A$300,0)),""))</f>
        <v/>
      </c>
      <c r="T65" s="1" t="str">
        <f>IF($A65="","",IFERROR(INDEX('INPUT-SIF_Questions'!$G$2:$G$300,MATCH($A65,'INPUT-SIF_Questions'!$A$2:$A$300,0)),""))</f>
        <v/>
      </c>
      <c r="U65" s="1" t="str">
        <f>IF($A65="","",IFERROR(INDEX('INPUT-SIF_Questions'!$E$2:$E$300,MATCH($A65,'INPUT-SIF_Questions'!$A$2:$A$300,0)),""))</f>
        <v/>
      </c>
    </row>
    <row r="66" spans="2:21" ht="14.25" customHeight="1" x14ac:dyDescent="0.45">
      <c r="B66" s="1" t="str">
        <f>IF($A66="","",IFERROR(INDEX('INPUT-SIF_Questions'!$H$2:$H$1000,MATCH($A66,'INPUT-SIF_Questions'!$A$2:$A$1000,0)),""))</f>
        <v/>
      </c>
      <c r="C66" s="3" t="str">
        <f>IF($A66="","",IFERROR(INDEX('INPUT-SIF_Questions'!$I$2:$I$1000,MATCH($A66,'INPUT-SIF_Questions'!$A$2:$A$1000,0)),""))</f>
        <v/>
      </c>
      <c r="D66" s="59" t="str">
        <f>IF($A66="","",IFERROR(INDEX('INPUT-SIF_Questions'!$S$2:$S$1000,MATCH($A66,'INPUT-SIF_Questions'!$A$2:$A$1000,0)),""))</f>
        <v/>
      </c>
      <c r="E66" s="1" t="str">
        <f>IF($A66="","",IFERROR(INDEX('INPUT-SIF_Questions'!$V$2:$V$1000,MATCH($A66,'INPUT-SIF_Questions'!$A$2:$A$1000,0)),""))</f>
        <v/>
      </c>
      <c r="F66" s="1" t="str">
        <f>IF($A66="","",IFERROR(INDEX('INPUT-SIF_Questions'!$W$2:$W$1000,MATCH($A66,'INPUT-SIF_Questions'!$A$2:$A$1000,0)),""))</f>
        <v/>
      </c>
      <c r="G66" s="3" t="str">
        <f>IF($A66="","",IFERROR(INDEX('INPUT-SIF_Questions'!$X$2:$X$1000,MATCH($A66,'INPUT-SIF_Questions'!$A$2:$A$1000,0)),""))</f>
        <v/>
      </c>
      <c r="H66" s="3" t="str">
        <f>IF($A66="","",IFERROR(INDEX('INPUT-SIF_Questions'!$Y$2:$Y$1000,MATCH($A66,'INPUT-SIF_Questions'!$A$2:$A$1000,0)),""))</f>
        <v/>
      </c>
      <c r="I66" s="1" t="str">
        <f>IF($A66="","",IFERROR(INDEX('INPUT-SIF_Questions'!$Z$2:$Z$1000,MATCH($A66,'INPUT-SIF_Questions'!$A$2:$A$1000,0)),""))</f>
        <v/>
      </c>
      <c r="J66" s="1" t="str">
        <f>IF($A66="","",IFERROR(INDEX('INPUT-SIF_Questions'!$AA$2:$AA$1000,MATCH($A66,'INPUT-SIF_Questions'!$A$2:$A$1000,0)),""))</f>
        <v/>
      </c>
      <c r="K66" s="3" t="str">
        <f>IF($A66="","",IFERROR(INDEX('INPUT-SIF_Questions'!$AB$2:$AB$1000,MATCH($A66,'INPUT-SIF_Questions'!$A$2:$A$1000,0)),""))</f>
        <v/>
      </c>
      <c r="L66" s="3" t="str">
        <f>IF($A66="","",IFERROR(INDEX('INPUT-SIF_Questions'!$AC$2:$AC$1000,MATCH($A66,'INPUT-SIF_Questions'!$A$2:$A$1000,0)),""))</f>
        <v/>
      </c>
      <c r="M66" s="1" t="str">
        <f>IF($A66="","",COUNTIFS('INPUT-SIF_Questions'!$A$2:$A$1000,$A66,'INPUT-SIF_Questions'!$M$2:$M$1000,1))</f>
        <v/>
      </c>
      <c r="N66" s="1" t="str">
        <f>IF($A66="","",COUNTIFS('INPUT-SIF_Questions'!$A$2:$A$1000,$A66,'INPUT-SIF_Questions'!$N$2:$N$1000,1))</f>
        <v/>
      </c>
      <c r="O66" s="1" t="str">
        <f>IF($A66="","",COUNTIFS('INPUT-SIF_Questions'!$A$2:$A$1000,$A66,'INPUT-SIF_Questions'!$O$2:$O$1000,1))</f>
        <v/>
      </c>
      <c r="P66" s="60" t="str">
        <f t="shared" ref="P66:P100" si="2">IF($A66="","",IFERROR(M66/(M66+N66),0))</f>
        <v/>
      </c>
      <c r="Q66" s="1" t="str">
        <f>IF($A66="","",IFERROR(INDEX('INPUT-SIF_Questions'!$B$2:$B$300,MATCH($A66,'INPUT-SIF_Questions'!$A$2:$A$300,0)),""))</f>
        <v/>
      </c>
      <c r="R66" s="1" t="str">
        <f>IF($A66="","",IFERROR(INDEX('INPUT-SIF_Questions'!$C$2:$C$300,MATCH($A66,'INPUT-SIF_Questions'!$A$2:$A$300,0)),""))</f>
        <v/>
      </c>
      <c r="S66" s="1" t="str">
        <f>IF($A66="","",IFERROR(INDEX('INPUT-SIF_Questions'!$F$2:$F$300,MATCH($A66,'INPUT-SIF_Questions'!$A$2:$A$300,0)),""))</f>
        <v/>
      </c>
      <c r="T66" s="1" t="str">
        <f>IF($A66="","",IFERROR(INDEX('INPUT-SIF_Questions'!$G$2:$G$300,MATCH($A66,'INPUT-SIF_Questions'!$A$2:$A$300,0)),""))</f>
        <v/>
      </c>
      <c r="U66" s="1" t="str">
        <f>IF($A66="","",IFERROR(INDEX('INPUT-SIF_Questions'!$E$2:$E$300,MATCH($A66,'INPUT-SIF_Questions'!$A$2:$A$300,0)),""))</f>
        <v/>
      </c>
    </row>
    <row r="67" spans="2:21" ht="14.25" customHeight="1" x14ac:dyDescent="0.45">
      <c r="B67" s="1" t="str">
        <f>IF($A67="","",IFERROR(INDEX('INPUT-SIF_Questions'!$H$2:$H$1000,MATCH($A67,'INPUT-SIF_Questions'!$A$2:$A$1000,0)),""))</f>
        <v/>
      </c>
      <c r="C67" s="3" t="str">
        <f>IF($A67="","",IFERROR(INDEX('INPUT-SIF_Questions'!$I$2:$I$1000,MATCH($A67,'INPUT-SIF_Questions'!$A$2:$A$1000,0)),""))</f>
        <v/>
      </c>
      <c r="D67" s="59" t="str">
        <f>IF($A67="","",IFERROR(INDEX('INPUT-SIF_Questions'!$S$2:$S$1000,MATCH($A67,'INPUT-SIF_Questions'!$A$2:$A$1000,0)),""))</f>
        <v/>
      </c>
      <c r="E67" s="1" t="str">
        <f>IF($A67="","",IFERROR(INDEX('INPUT-SIF_Questions'!$V$2:$V$1000,MATCH($A67,'INPUT-SIF_Questions'!$A$2:$A$1000,0)),""))</f>
        <v/>
      </c>
      <c r="F67" s="1" t="str">
        <f>IF($A67="","",IFERROR(INDEX('INPUT-SIF_Questions'!$W$2:$W$1000,MATCH($A67,'INPUT-SIF_Questions'!$A$2:$A$1000,0)),""))</f>
        <v/>
      </c>
      <c r="G67" s="3" t="str">
        <f>IF($A67="","",IFERROR(INDEX('INPUT-SIF_Questions'!$X$2:$X$1000,MATCH($A67,'INPUT-SIF_Questions'!$A$2:$A$1000,0)),""))</f>
        <v/>
      </c>
      <c r="H67" s="3" t="str">
        <f>IF($A67="","",IFERROR(INDEX('INPUT-SIF_Questions'!$Y$2:$Y$1000,MATCH($A67,'INPUT-SIF_Questions'!$A$2:$A$1000,0)),""))</f>
        <v/>
      </c>
      <c r="I67" s="1" t="str">
        <f>IF($A67="","",IFERROR(INDEX('INPUT-SIF_Questions'!$Z$2:$Z$1000,MATCH($A67,'INPUT-SIF_Questions'!$A$2:$A$1000,0)),""))</f>
        <v/>
      </c>
      <c r="J67" s="1" t="str">
        <f>IF($A67="","",IFERROR(INDEX('INPUT-SIF_Questions'!$AA$2:$AA$1000,MATCH($A67,'INPUT-SIF_Questions'!$A$2:$A$1000,0)),""))</f>
        <v/>
      </c>
      <c r="K67" s="3" t="str">
        <f>IF($A67="","",IFERROR(INDEX('INPUT-SIF_Questions'!$AB$2:$AB$1000,MATCH($A67,'INPUT-SIF_Questions'!$A$2:$A$1000,0)),""))</f>
        <v/>
      </c>
      <c r="L67" s="3" t="str">
        <f>IF($A67="","",IFERROR(INDEX('INPUT-SIF_Questions'!$AC$2:$AC$1000,MATCH($A67,'INPUT-SIF_Questions'!$A$2:$A$1000,0)),""))</f>
        <v/>
      </c>
      <c r="M67" s="1" t="str">
        <f>IF($A67="","",COUNTIFS('INPUT-SIF_Questions'!$A$2:$A$1000,$A67,'INPUT-SIF_Questions'!$M$2:$M$1000,1))</f>
        <v/>
      </c>
      <c r="N67" s="1" t="str">
        <f>IF($A67="","",COUNTIFS('INPUT-SIF_Questions'!$A$2:$A$1000,$A67,'INPUT-SIF_Questions'!$N$2:$N$1000,1))</f>
        <v/>
      </c>
      <c r="O67" s="1" t="str">
        <f>IF($A67="","",COUNTIFS('INPUT-SIF_Questions'!$A$2:$A$1000,$A67,'INPUT-SIF_Questions'!$O$2:$O$1000,1))</f>
        <v/>
      </c>
      <c r="P67" s="60" t="str">
        <f t="shared" si="2"/>
        <v/>
      </c>
      <c r="Q67" s="1" t="str">
        <f>IF($A67="","",IFERROR(INDEX('INPUT-SIF_Questions'!$B$2:$B$300,MATCH($A67,'INPUT-SIF_Questions'!$A$2:$A$300,0)),""))</f>
        <v/>
      </c>
      <c r="R67" s="1" t="str">
        <f>IF($A67="","",IFERROR(INDEX('INPUT-SIF_Questions'!$C$2:$C$300,MATCH($A67,'INPUT-SIF_Questions'!$A$2:$A$300,0)),""))</f>
        <v/>
      </c>
      <c r="S67" s="1" t="str">
        <f>IF($A67="","",IFERROR(INDEX('INPUT-SIF_Questions'!$F$2:$F$300,MATCH($A67,'INPUT-SIF_Questions'!$A$2:$A$300,0)),""))</f>
        <v/>
      </c>
      <c r="T67" s="1" t="str">
        <f>IF($A67="","",IFERROR(INDEX('INPUT-SIF_Questions'!$G$2:$G$300,MATCH($A67,'INPUT-SIF_Questions'!$A$2:$A$300,0)),""))</f>
        <v/>
      </c>
      <c r="U67" s="1" t="str">
        <f>IF($A67="","",IFERROR(INDEX('INPUT-SIF_Questions'!$E$2:$E$300,MATCH($A67,'INPUT-SIF_Questions'!$A$2:$A$300,0)),""))</f>
        <v/>
      </c>
    </row>
    <row r="68" spans="2:21" ht="14.25" customHeight="1" x14ac:dyDescent="0.45">
      <c r="B68" s="1" t="str">
        <f>IF($A68="","",IFERROR(INDEX('INPUT-SIF_Questions'!$H$2:$H$1000,MATCH($A68,'INPUT-SIF_Questions'!$A$2:$A$1000,0)),""))</f>
        <v/>
      </c>
      <c r="C68" s="3" t="str">
        <f>IF($A68="","",IFERROR(INDEX('INPUT-SIF_Questions'!$I$2:$I$1000,MATCH($A68,'INPUT-SIF_Questions'!$A$2:$A$1000,0)),""))</f>
        <v/>
      </c>
      <c r="D68" s="59" t="str">
        <f>IF($A68="","",IFERROR(INDEX('INPUT-SIF_Questions'!$S$2:$S$1000,MATCH($A68,'INPUT-SIF_Questions'!$A$2:$A$1000,0)),""))</f>
        <v/>
      </c>
      <c r="E68" s="1" t="str">
        <f>IF($A68="","",IFERROR(INDEX('INPUT-SIF_Questions'!$V$2:$V$1000,MATCH($A68,'INPUT-SIF_Questions'!$A$2:$A$1000,0)),""))</f>
        <v/>
      </c>
      <c r="F68" s="1" t="str">
        <f>IF($A68="","",IFERROR(INDEX('INPUT-SIF_Questions'!$W$2:$W$1000,MATCH($A68,'INPUT-SIF_Questions'!$A$2:$A$1000,0)),""))</f>
        <v/>
      </c>
      <c r="G68" s="3" t="str">
        <f>IF($A68="","",IFERROR(INDEX('INPUT-SIF_Questions'!$X$2:$X$1000,MATCH($A68,'INPUT-SIF_Questions'!$A$2:$A$1000,0)),""))</f>
        <v/>
      </c>
      <c r="H68" s="3" t="str">
        <f>IF($A68="","",IFERROR(INDEX('INPUT-SIF_Questions'!$Y$2:$Y$1000,MATCH($A68,'INPUT-SIF_Questions'!$A$2:$A$1000,0)),""))</f>
        <v/>
      </c>
      <c r="I68" s="1" t="str">
        <f>IF($A68="","",IFERROR(INDEX('INPUT-SIF_Questions'!$Z$2:$Z$1000,MATCH($A68,'INPUT-SIF_Questions'!$A$2:$A$1000,0)),""))</f>
        <v/>
      </c>
      <c r="J68" s="1" t="str">
        <f>IF($A68="","",IFERROR(INDEX('INPUT-SIF_Questions'!$AA$2:$AA$1000,MATCH($A68,'INPUT-SIF_Questions'!$A$2:$A$1000,0)),""))</f>
        <v/>
      </c>
      <c r="K68" s="3" t="str">
        <f>IF($A68="","",IFERROR(INDEX('INPUT-SIF_Questions'!$AB$2:$AB$1000,MATCH($A68,'INPUT-SIF_Questions'!$A$2:$A$1000,0)),""))</f>
        <v/>
      </c>
      <c r="L68" s="3" t="str">
        <f>IF($A68="","",IFERROR(INDEX('INPUT-SIF_Questions'!$AC$2:$AC$1000,MATCH($A68,'INPUT-SIF_Questions'!$A$2:$A$1000,0)),""))</f>
        <v/>
      </c>
      <c r="M68" s="1" t="str">
        <f>IF($A68="","",COUNTIFS('INPUT-SIF_Questions'!$A$2:$A$1000,$A68,'INPUT-SIF_Questions'!$M$2:$M$1000,1))</f>
        <v/>
      </c>
      <c r="N68" s="1" t="str">
        <f>IF($A68="","",COUNTIFS('INPUT-SIF_Questions'!$A$2:$A$1000,$A68,'INPUT-SIF_Questions'!$N$2:$N$1000,1))</f>
        <v/>
      </c>
      <c r="O68" s="1" t="str">
        <f>IF($A68="","",COUNTIFS('INPUT-SIF_Questions'!$A$2:$A$1000,$A68,'INPUT-SIF_Questions'!$O$2:$O$1000,1))</f>
        <v/>
      </c>
      <c r="P68" s="60" t="str">
        <f t="shared" si="2"/>
        <v/>
      </c>
      <c r="Q68" s="1" t="str">
        <f>IF($A68="","",IFERROR(INDEX('INPUT-SIF_Questions'!$B$2:$B$300,MATCH($A68,'INPUT-SIF_Questions'!$A$2:$A$300,0)),""))</f>
        <v/>
      </c>
      <c r="R68" s="1" t="str">
        <f>IF($A68="","",IFERROR(INDEX('INPUT-SIF_Questions'!$C$2:$C$300,MATCH($A68,'INPUT-SIF_Questions'!$A$2:$A$300,0)),""))</f>
        <v/>
      </c>
      <c r="S68" s="1" t="str">
        <f>IF($A68="","",IFERROR(INDEX('INPUT-SIF_Questions'!$F$2:$F$300,MATCH($A68,'INPUT-SIF_Questions'!$A$2:$A$300,0)),""))</f>
        <v/>
      </c>
      <c r="T68" s="1" t="str">
        <f>IF($A68="","",IFERROR(INDEX('INPUT-SIF_Questions'!$G$2:$G$300,MATCH($A68,'INPUT-SIF_Questions'!$A$2:$A$300,0)),""))</f>
        <v/>
      </c>
      <c r="U68" s="1" t="str">
        <f>IF($A68="","",IFERROR(INDEX('INPUT-SIF_Questions'!$E$2:$E$300,MATCH($A68,'INPUT-SIF_Questions'!$A$2:$A$300,0)),""))</f>
        <v/>
      </c>
    </row>
    <row r="69" spans="2:21" ht="14.25" customHeight="1" x14ac:dyDescent="0.45">
      <c r="B69" s="1" t="str">
        <f>IF($A69="","",IFERROR(INDEX('INPUT-SIF_Questions'!$H$2:$H$1000,MATCH($A69,'INPUT-SIF_Questions'!$A$2:$A$1000,0)),""))</f>
        <v/>
      </c>
      <c r="C69" s="3" t="str">
        <f>IF($A69="","",IFERROR(INDEX('INPUT-SIF_Questions'!$I$2:$I$1000,MATCH($A69,'INPUT-SIF_Questions'!$A$2:$A$1000,0)),""))</f>
        <v/>
      </c>
      <c r="D69" s="59" t="str">
        <f>IF($A69="","",IFERROR(INDEX('INPUT-SIF_Questions'!$S$2:$S$1000,MATCH($A69,'INPUT-SIF_Questions'!$A$2:$A$1000,0)),""))</f>
        <v/>
      </c>
      <c r="E69" s="1" t="str">
        <f>IF($A69="","",IFERROR(INDEX('INPUT-SIF_Questions'!$V$2:$V$1000,MATCH($A69,'INPUT-SIF_Questions'!$A$2:$A$1000,0)),""))</f>
        <v/>
      </c>
      <c r="F69" s="1" t="str">
        <f>IF($A69="","",IFERROR(INDEX('INPUT-SIF_Questions'!$W$2:$W$1000,MATCH($A69,'INPUT-SIF_Questions'!$A$2:$A$1000,0)),""))</f>
        <v/>
      </c>
      <c r="G69" s="3" t="str">
        <f>IF($A69="","",IFERROR(INDEX('INPUT-SIF_Questions'!$X$2:$X$1000,MATCH($A69,'INPUT-SIF_Questions'!$A$2:$A$1000,0)),""))</f>
        <v/>
      </c>
      <c r="H69" s="3" t="str">
        <f>IF($A69="","",IFERROR(INDEX('INPUT-SIF_Questions'!$Y$2:$Y$1000,MATCH($A69,'INPUT-SIF_Questions'!$A$2:$A$1000,0)),""))</f>
        <v/>
      </c>
      <c r="I69" s="1" t="str">
        <f>IF($A69="","",IFERROR(INDEX('INPUT-SIF_Questions'!$Z$2:$Z$1000,MATCH($A69,'INPUT-SIF_Questions'!$A$2:$A$1000,0)),""))</f>
        <v/>
      </c>
      <c r="J69" s="1" t="str">
        <f>IF($A69="","",IFERROR(INDEX('INPUT-SIF_Questions'!$AA$2:$AA$1000,MATCH($A69,'INPUT-SIF_Questions'!$A$2:$A$1000,0)),""))</f>
        <v/>
      </c>
      <c r="K69" s="3" t="str">
        <f>IF($A69="","",IFERROR(INDEX('INPUT-SIF_Questions'!$AB$2:$AB$1000,MATCH($A69,'INPUT-SIF_Questions'!$A$2:$A$1000,0)),""))</f>
        <v/>
      </c>
      <c r="L69" s="3" t="str">
        <f>IF($A69="","",IFERROR(INDEX('INPUT-SIF_Questions'!$AC$2:$AC$1000,MATCH($A69,'INPUT-SIF_Questions'!$A$2:$A$1000,0)),""))</f>
        <v/>
      </c>
      <c r="M69" s="1" t="str">
        <f>IF($A69="","",COUNTIFS('INPUT-SIF_Questions'!$A$2:$A$1000,$A69,'INPUT-SIF_Questions'!$M$2:$M$1000,1))</f>
        <v/>
      </c>
      <c r="N69" s="1" t="str">
        <f>IF($A69="","",COUNTIFS('INPUT-SIF_Questions'!$A$2:$A$1000,$A69,'INPUT-SIF_Questions'!$N$2:$N$1000,1))</f>
        <v/>
      </c>
      <c r="O69" s="1" t="str">
        <f>IF($A69="","",COUNTIFS('INPUT-SIF_Questions'!$A$2:$A$1000,$A69,'INPUT-SIF_Questions'!$O$2:$O$1000,1))</f>
        <v/>
      </c>
      <c r="P69" s="60" t="str">
        <f t="shared" si="2"/>
        <v/>
      </c>
      <c r="Q69" s="1" t="str">
        <f>IF($A69="","",IFERROR(INDEX('INPUT-SIF_Questions'!$B$2:$B$300,MATCH($A69,'INPUT-SIF_Questions'!$A$2:$A$300,0)),""))</f>
        <v/>
      </c>
      <c r="R69" s="1" t="str">
        <f>IF($A69="","",IFERROR(INDEX('INPUT-SIF_Questions'!$C$2:$C$300,MATCH($A69,'INPUT-SIF_Questions'!$A$2:$A$300,0)),""))</f>
        <v/>
      </c>
      <c r="S69" s="1" t="str">
        <f>IF($A69="","",IFERROR(INDEX('INPUT-SIF_Questions'!$F$2:$F$300,MATCH($A69,'INPUT-SIF_Questions'!$A$2:$A$300,0)),""))</f>
        <v/>
      </c>
      <c r="T69" s="1" t="str">
        <f>IF($A69="","",IFERROR(INDEX('INPUT-SIF_Questions'!$G$2:$G$300,MATCH($A69,'INPUT-SIF_Questions'!$A$2:$A$300,0)),""))</f>
        <v/>
      </c>
      <c r="U69" s="1" t="str">
        <f>IF($A69="","",IFERROR(INDEX('INPUT-SIF_Questions'!$E$2:$E$300,MATCH($A69,'INPUT-SIF_Questions'!$A$2:$A$300,0)),""))</f>
        <v/>
      </c>
    </row>
    <row r="70" spans="2:21" ht="14.25" customHeight="1" x14ac:dyDescent="0.45">
      <c r="B70" s="1" t="str">
        <f>IF($A70="","",IFERROR(INDEX('INPUT-SIF_Questions'!$H$2:$H$1000,MATCH($A70,'INPUT-SIF_Questions'!$A$2:$A$1000,0)),""))</f>
        <v/>
      </c>
      <c r="C70" s="3" t="str">
        <f>IF($A70="","",IFERROR(INDEX('INPUT-SIF_Questions'!$I$2:$I$1000,MATCH($A70,'INPUT-SIF_Questions'!$A$2:$A$1000,0)),""))</f>
        <v/>
      </c>
      <c r="D70" s="59" t="str">
        <f>IF($A70="","",IFERROR(INDEX('INPUT-SIF_Questions'!$S$2:$S$1000,MATCH($A70,'INPUT-SIF_Questions'!$A$2:$A$1000,0)),""))</f>
        <v/>
      </c>
      <c r="E70" s="1" t="str">
        <f>IF($A70="","",IFERROR(INDEX('INPUT-SIF_Questions'!$V$2:$V$1000,MATCH($A70,'INPUT-SIF_Questions'!$A$2:$A$1000,0)),""))</f>
        <v/>
      </c>
      <c r="F70" s="1" t="str">
        <f>IF($A70="","",IFERROR(INDEX('INPUT-SIF_Questions'!$W$2:$W$1000,MATCH($A70,'INPUT-SIF_Questions'!$A$2:$A$1000,0)),""))</f>
        <v/>
      </c>
      <c r="G70" s="3" t="str">
        <f>IF($A70="","",IFERROR(INDEX('INPUT-SIF_Questions'!$X$2:$X$1000,MATCH($A70,'INPUT-SIF_Questions'!$A$2:$A$1000,0)),""))</f>
        <v/>
      </c>
      <c r="H70" s="3" t="str">
        <f>IF($A70="","",IFERROR(INDEX('INPUT-SIF_Questions'!$Y$2:$Y$1000,MATCH($A70,'INPUT-SIF_Questions'!$A$2:$A$1000,0)),""))</f>
        <v/>
      </c>
      <c r="I70" s="1" t="str">
        <f>IF($A70="","",IFERROR(INDEX('INPUT-SIF_Questions'!$Z$2:$Z$1000,MATCH($A70,'INPUT-SIF_Questions'!$A$2:$A$1000,0)),""))</f>
        <v/>
      </c>
      <c r="J70" s="1" t="str">
        <f>IF($A70="","",IFERROR(INDEX('INPUT-SIF_Questions'!$AA$2:$AA$1000,MATCH($A70,'INPUT-SIF_Questions'!$A$2:$A$1000,0)),""))</f>
        <v/>
      </c>
      <c r="K70" s="3" t="str">
        <f>IF($A70="","",IFERROR(INDEX('INPUT-SIF_Questions'!$AB$2:$AB$1000,MATCH($A70,'INPUT-SIF_Questions'!$A$2:$A$1000,0)),""))</f>
        <v/>
      </c>
      <c r="L70" s="3" t="str">
        <f>IF($A70="","",IFERROR(INDEX('INPUT-SIF_Questions'!$AC$2:$AC$1000,MATCH($A70,'INPUT-SIF_Questions'!$A$2:$A$1000,0)),""))</f>
        <v/>
      </c>
      <c r="M70" s="1" t="str">
        <f>IF($A70="","",COUNTIFS('INPUT-SIF_Questions'!$A$2:$A$1000,$A70,'INPUT-SIF_Questions'!$M$2:$M$1000,1))</f>
        <v/>
      </c>
      <c r="N70" s="1" t="str">
        <f>IF($A70="","",COUNTIFS('INPUT-SIF_Questions'!$A$2:$A$1000,$A70,'INPUT-SIF_Questions'!$N$2:$N$1000,1))</f>
        <v/>
      </c>
      <c r="O70" s="1" t="str">
        <f>IF($A70="","",COUNTIFS('INPUT-SIF_Questions'!$A$2:$A$1000,$A70,'INPUT-SIF_Questions'!$O$2:$O$1000,1))</f>
        <v/>
      </c>
      <c r="P70" s="60" t="str">
        <f t="shared" si="2"/>
        <v/>
      </c>
      <c r="Q70" s="1" t="str">
        <f>IF($A70="","",IFERROR(INDEX('INPUT-SIF_Questions'!$B$2:$B$300,MATCH($A70,'INPUT-SIF_Questions'!$A$2:$A$300,0)),""))</f>
        <v/>
      </c>
      <c r="R70" s="1" t="str">
        <f>IF($A70="","",IFERROR(INDEX('INPUT-SIF_Questions'!$C$2:$C$300,MATCH($A70,'INPUT-SIF_Questions'!$A$2:$A$300,0)),""))</f>
        <v/>
      </c>
      <c r="S70" s="1" t="str">
        <f>IF($A70="","",IFERROR(INDEX('INPUT-SIF_Questions'!$F$2:$F$300,MATCH($A70,'INPUT-SIF_Questions'!$A$2:$A$300,0)),""))</f>
        <v/>
      </c>
      <c r="T70" s="1" t="str">
        <f>IF($A70="","",IFERROR(INDEX('INPUT-SIF_Questions'!$G$2:$G$300,MATCH($A70,'INPUT-SIF_Questions'!$A$2:$A$300,0)),""))</f>
        <v/>
      </c>
      <c r="U70" s="1" t="str">
        <f>IF($A70="","",IFERROR(INDEX('INPUT-SIF_Questions'!$E$2:$E$300,MATCH($A70,'INPUT-SIF_Questions'!$A$2:$A$300,0)),""))</f>
        <v/>
      </c>
    </row>
    <row r="71" spans="2:21" ht="14.25" customHeight="1" x14ac:dyDescent="0.45">
      <c r="B71" s="1" t="str">
        <f>IF($A71="","",IFERROR(INDEX('INPUT-SIF_Questions'!$H$2:$H$1000,MATCH($A71,'INPUT-SIF_Questions'!$A$2:$A$1000,0)),""))</f>
        <v/>
      </c>
      <c r="C71" s="3" t="str">
        <f>IF($A71="","",IFERROR(INDEX('INPUT-SIF_Questions'!$I$2:$I$1000,MATCH($A71,'INPUT-SIF_Questions'!$A$2:$A$1000,0)),""))</f>
        <v/>
      </c>
      <c r="D71" s="59" t="str">
        <f>IF($A71="","",IFERROR(INDEX('INPUT-SIF_Questions'!$S$2:$S$1000,MATCH($A71,'INPUT-SIF_Questions'!$A$2:$A$1000,0)),""))</f>
        <v/>
      </c>
      <c r="E71" s="1" t="str">
        <f>IF($A71="","",IFERROR(INDEX('INPUT-SIF_Questions'!$V$2:$V$1000,MATCH($A71,'INPUT-SIF_Questions'!$A$2:$A$1000,0)),""))</f>
        <v/>
      </c>
      <c r="F71" s="1" t="str">
        <f>IF($A71="","",IFERROR(INDEX('INPUT-SIF_Questions'!$W$2:$W$1000,MATCH($A71,'INPUT-SIF_Questions'!$A$2:$A$1000,0)),""))</f>
        <v/>
      </c>
      <c r="G71" s="3" t="str">
        <f>IF($A71="","",IFERROR(INDEX('INPUT-SIF_Questions'!$X$2:$X$1000,MATCH($A71,'INPUT-SIF_Questions'!$A$2:$A$1000,0)),""))</f>
        <v/>
      </c>
      <c r="H71" s="3" t="str">
        <f>IF($A71="","",IFERROR(INDEX('INPUT-SIF_Questions'!$Y$2:$Y$1000,MATCH($A71,'INPUT-SIF_Questions'!$A$2:$A$1000,0)),""))</f>
        <v/>
      </c>
      <c r="I71" s="1" t="str">
        <f>IF($A71="","",IFERROR(INDEX('INPUT-SIF_Questions'!$Z$2:$Z$1000,MATCH($A71,'INPUT-SIF_Questions'!$A$2:$A$1000,0)),""))</f>
        <v/>
      </c>
      <c r="J71" s="1" t="str">
        <f>IF($A71="","",IFERROR(INDEX('INPUT-SIF_Questions'!$AA$2:$AA$1000,MATCH($A71,'INPUT-SIF_Questions'!$A$2:$A$1000,0)),""))</f>
        <v/>
      </c>
      <c r="K71" s="3" t="str">
        <f>IF($A71="","",IFERROR(INDEX('INPUT-SIF_Questions'!$AB$2:$AB$1000,MATCH($A71,'INPUT-SIF_Questions'!$A$2:$A$1000,0)),""))</f>
        <v/>
      </c>
      <c r="L71" s="3" t="str">
        <f>IF($A71="","",IFERROR(INDEX('INPUT-SIF_Questions'!$AC$2:$AC$1000,MATCH($A71,'INPUT-SIF_Questions'!$A$2:$A$1000,0)),""))</f>
        <v/>
      </c>
      <c r="M71" s="1" t="str">
        <f>IF($A71="","",COUNTIFS('INPUT-SIF_Questions'!$A$2:$A$1000,$A71,'INPUT-SIF_Questions'!$M$2:$M$1000,1))</f>
        <v/>
      </c>
      <c r="N71" s="1" t="str">
        <f>IF($A71="","",COUNTIFS('INPUT-SIF_Questions'!$A$2:$A$1000,$A71,'INPUT-SIF_Questions'!$N$2:$N$1000,1))</f>
        <v/>
      </c>
      <c r="O71" s="1" t="str">
        <f>IF($A71="","",COUNTIFS('INPUT-SIF_Questions'!$A$2:$A$1000,$A71,'INPUT-SIF_Questions'!$O$2:$O$1000,1))</f>
        <v/>
      </c>
      <c r="P71" s="60" t="str">
        <f t="shared" si="2"/>
        <v/>
      </c>
      <c r="Q71" s="1" t="str">
        <f>IF($A71="","",IFERROR(INDEX('INPUT-SIF_Questions'!$B$2:$B$300,MATCH($A71,'INPUT-SIF_Questions'!$A$2:$A$300,0)),""))</f>
        <v/>
      </c>
      <c r="R71" s="1" t="str">
        <f>IF($A71="","",IFERROR(INDEX('INPUT-SIF_Questions'!$C$2:$C$300,MATCH($A71,'INPUT-SIF_Questions'!$A$2:$A$300,0)),""))</f>
        <v/>
      </c>
      <c r="S71" s="1" t="str">
        <f>IF($A71="","",IFERROR(INDEX('INPUT-SIF_Questions'!$F$2:$F$300,MATCH($A71,'INPUT-SIF_Questions'!$A$2:$A$300,0)),""))</f>
        <v/>
      </c>
      <c r="T71" s="1" t="str">
        <f>IF($A71="","",IFERROR(INDEX('INPUT-SIF_Questions'!$G$2:$G$300,MATCH($A71,'INPUT-SIF_Questions'!$A$2:$A$300,0)),""))</f>
        <v/>
      </c>
      <c r="U71" s="1" t="str">
        <f>IF($A71="","",IFERROR(INDEX('INPUT-SIF_Questions'!$E$2:$E$300,MATCH($A71,'INPUT-SIF_Questions'!$A$2:$A$300,0)),""))</f>
        <v/>
      </c>
    </row>
    <row r="72" spans="2:21" ht="14.25" customHeight="1" x14ac:dyDescent="0.45">
      <c r="B72" s="1" t="str">
        <f>IF($A72="","",IFERROR(INDEX('INPUT-SIF_Questions'!$H$2:$H$1000,MATCH($A72,'INPUT-SIF_Questions'!$A$2:$A$1000,0)),""))</f>
        <v/>
      </c>
      <c r="C72" s="3" t="str">
        <f>IF($A72="","",IFERROR(INDEX('INPUT-SIF_Questions'!$I$2:$I$1000,MATCH($A72,'INPUT-SIF_Questions'!$A$2:$A$1000,0)),""))</f>
        <v/>
      </c>
      <c r="D72" s="59" t="str">
        <f>IF($A72="","",IFERROR(INDEX('INPUT-SIF_Questions'!$S$2:$S$1000,MATCH($A72,'INPUT-SIF_Questions'!$A$2:$A$1000,0)),""))</f>
        <v/>
      </c>
      <c r="E72" s="1" t="str">
        <f>IF($A72="","",IFERROR(INDEX('INPUT-SIF_Questions'!$V$2:$V$1000,MATCH($A72,'INPUT-SIF_Questions'!$A$2:$A$1000,0)),""))</f>
        <v/>
      </c>
      <c r="F72" s="1" t="str">
        <f>IF($A72="","",IFERROR(INDEX('INPUT-SIF_Questions'!$W$2:$W$1000,MATCH($A72,'INPUT-SIF_Questions'!$A$2:$A$1000,0)),""))</f>
        <v/>
      </c>
      <c r="G72" s="3" t="str">
        <f>IF($A72="","",IFERROR(INDEX('INPUT-SIF_Questions'!$X$2:$X$1000,MATCH($A72,'INPUT-SIF_Questions'!$A$2:$A$1000,0)),""))</f>
        <v/>
      </c>
      <c r="H72" s="3" t="str">
        <f>IF($A72="","",IFERROR(INDEX('INPUT-SIF_Questions'!$Y$2:$Y$1000,MATCH($A72,'INPUT-SIF_Questions'!$A$2:$A$1000,0)),""))</f>
        <v/>
      </c>
      <c r="I72" s="1" t="str">
        <f>IF($A72="","",IFERROR(INDEX('INPUT-SIF_Questions'!$Z$2:$Z$1000,MATCH($A72,'INPUT-SIF_Questions'!$A$2:$A$1000,0)),""))</f>
        <v/>
      </c>
      <c r="J72" s="1" t="str">
        <f>IF($A72="","",IFERROR(INDEX('INPUT-SIF_Questions'!$AA$2:$AA$1000,MATCH($A72,'INPUT-SIF_Questions'!$A$2:$A$1000,0)),""))</f>
        <v/>
      </c>
      <c r="K72" s="3" t="str">
        <f>IF($A72="","",IFERROR(INDEX('INPUT-SIF_Questions'!$AB$2:$AB$1000,MATCH($A72,'INPUT-SIF_Questions'!$A$2:$A$1000,0)),""))</f>
        <v/>
      </c>
      <c r="L72" s="3" t="str">
        <f>IF($A72="","",IFERROR(INDEX('INPUT-SIF_Questions'!$AC$2:$AC$1000,MATCH($A72,'INPUT-SIF_Questions'!$A$2:$A$1000,0)),""))</f>
        <v/>
      </c>
      <c r="M72" s="1" t="str">
        <f>IF($A72="","",COUNTIFS('INPUT-SIF_Questions'!$A$2:$A$1000,$A72,'INPUT-SIF_Questions'!$M$2:$M$1000,1))</f>
        <v/>
      </c>
      <c r="N72" s="1" t="str">
        <f>IF($A72="","",COUNTIFS('INPUT-SIF_Questions'!$A$2:$A$1000,$A72,'INPUT-SIF_Questions'!$N$2:$N$1000,1))</f>
        <v/>
      </c>
      <c r="O72" s="1" t="str">
        <f>IF($A72="","",COUNTIFS('INPUT-SIF_Questions'!$A$2:$A$1000,$A72,'INPUT-SIF_Questions'!$O$2:$O$1000,1))</f>
        <v/>
      </c>
      <c r="P72" s="60" t="str">
        <f t="shared" si="2"/>
        <v/>
      </c>
      <c r="Q72" s="1" t="str">
        <f>IF($A72="","",IFERROR(INDEX('INPUT-SIF_Questions'!$B$2:$B$300,MATCH($A72,'INPUT-SIF_Questions'!$A$2:$A$300,0)),""))</f>
        <v/>
      </c>
      <c r="R72" s="1" t="str">
        <f>IF($A72="","",IFERROR(INDEX('INPUT-SIF_Questions'!$C$2:$C$300,MATCH($A72,'INPUT-SIF_Questions'!$A$2:$A$300,0)),""))</f>
        <v/>
      </c>
      <c r="S72" s="1" t="str">
        <f>IF($A72="","",IFERROR(INDEX('INPUT-SIF_Questions'!$F$2:$F$300,MATCH($A72,'INPUT-SIF_Questions'!$A$2:$A$300,0)),""))</f>
        <v/>
      </c>
      <c r="T72" s="1" t="str">
        <f>IF($A72="","",IFERROR(INDEX('INPUT-SIF_Questions'!$G$2:$G$300,MATCH($A72,'INPUT-SIF_Questions'!$A$2:$A$300,0)),""))</f>
        <v/>
      </c>
      <c r="U72" s="1" t="str">
        <f>IF($A72="","",IFERROR(INDEX('INPUT-SIF_Questions'!$E$2:$E$300,MATCH($A72,'INPUT-SIF_Questions'!$A$2:$A$300,0)),""))</f>
        <v/>
      </c>
    </row>
    <row r="73" spans="2:21" ht="14.25" customHeight="1" x14ac:dyDescent="0.45">
      <c r="B73" s="1" t="str">
        <f>IF($A73="","",IFERROR(INDEX('INPUT-SIF_Questions'!$H$2:$H$1000,MATCH($A73,'INPUT-SIF_Questions'!$A$2:$A$1000,0)),""))</f>
        <v/>
      </c>
      <c r="C73" s="3" t="str">
        <f>IF($A73="","",IFERROR(INDEX('INPUT-SIF_Questions'!$I$2:$I$1000,MATCH($A73,'INPUT-SIF_Questions'!$A$2:$A$1000,0)),""))</f>
        <v/>
      </c>
      <c r="D73" s="59" t="str">
        <f>IF($A73="","",IFERROR(INDEX('INPUT-SIF_Questions'!$S$2:$S$1000,MATCH($A73,'INPUT-SIF_Questions'!$A$2:$A$1000,0)),""))</f>
        <v/>
      </c>
      <c r="E73" s="1" t="str">
        <f>IF($A73="","",IFERROR(INDEX('INPUT-SIF_Questions'!$V$2:$V$1000,MATCH($A73,'INPUT-SIF_Questions'!$A$2:$A$1000,0)),""))</f>
        <v/>
      </c>
      <c r="F73" s="1" t="str">
        <f>IF($A73="","",IFERROR(INDEX('INPUT-SIF_Questions'!$W$2:$W$1000,MATCH($A73,'INPUT-SIF_Questions'!$A$2:$A$1000,0)),""))</f>
        <v/>
      </c>
      <c r="G73" s="3" t="str">
        <f>IF($A73="","",IFERROR(INDEX('INPUT-SIF_Questions'!$X$2:$X$1000,MATCH($A73,'INPUT-SIF_Questions'!$A$2:$A$1000,0)),""))</f>
        <v/>
      </c>
      <c r="H73" s="3" t="str">
        <f>IF($A73="","",IFERROR(INDEX('INPUT-SIF_Questions'!$Y$2:$Y$1000,MATCH($A73,'INPUT-SIF_Questions'!$A$2:$A$1000,0)),""))</f>
        <v/>
      </c>
      <c r="I73" s="1" t="str">
        <f>IF($A73="","",IFERROR(INDEX('INPUT-SIF_Questions'!$Z$2:$Z$1000,MATCH($A73,'INPUT-SIF_Questions'!$A$2:$A$1000,0)),""))</f>
        <v/>
      </c>
      <c r="J73" s="1" t="str">
        <f>IF($A73="","",IFERROR(INDEX('INPUT-SIF_Questions'!$AA$2:$AA$1000,MATCH($A73,'INPUT-SIF_Questions'!$A$2:$A$1000,0)),""))</f>
        <v/>
      </c>
      <c r="K73" s="3" t="str">
        <f>IF($A73="","",IFERROR(INDEX('INPUT-SIF_Questions'!$AB$2:$AB$1000,MATCH($A73,'INPUT-SIF_Questions'!$A$2:$A$1000,0)),""))</f>
        <v/>
      </c>
      <c r="L73" s="3" t="str">
        <f>IF($A73="","",IFERROR(INDEX('INPUT-SIF_Questions'!$AC$2:$AC$1000,MATCH($A73,'INPUT-SIF_Questions'!$A$2:$A$1000,0)),""))</f>
        <v/>
      </c>
      <c r="M73" s="1" t="str">
        <f>IF($A73="","",COUNTIFS('INPUT-SIF_Questions'!$A$2:$A$1000,$A73,'INPUT-SIF_Questions'!$M$2:$M$1000,1))</f>
        <v/>
      </c>
      <c r="N73" s="1" t="str">
        <f>IF($A73="","",COUNTIFS('INPUT-SIF_Questions'!$A$2:$A$1000,$A73,'INPUT-SIF_Questions'!$N$2:$N$1000,1))</f>
        <v/>
      </c>
      <c r="O73" s="1" t="str">
        <f>IF($A73="","",COUNTIFS('INPUT-SIF_Questions'!$A$2:$A$1000,$A73,'INPUT-SIF_Questions'!$O$2:$O$1000,1))</f>
        <v/>
      </c>
      <c r="P73" s="60" t="str">
        <f t="shared" si="2"/>
        <v/>
      </c>
      <c r="Q73" s="1" t="str">
        <f>IF($A73="","",IFERROR(INDEX('INPUT-SIF_Questions'!$B$2:$B$300,MATCH($A73,'INPUT-SIF_Questions'!$A$2:$A$300,0)),""))</f>
        <v/>
      </c>
      <c r="R73" s="1" t="str">
        <f>IF($A73="","",IFERROR(INDEX('INPUT-SIF_Questions'!$C$2:$C$300,MATCH($A73,'INPUT-SIF_Questions'!$A$2:$A$300,0)),""))</f>
        <v/>
      </c>
      <c r="S73" s="1" t="str">
        <f>IF($A73="","",IFERROR(INDEX('INPUT-SIF_Questions'!$F$2:$F$300,MATCH($A73,'INPUT-SIF_Questions'!$A$2:$A$300,0)),""))</f>
        <v/>
      </c>
      <c r="T73" s="1" t="str">
        <f>IF($A73="","",IFERROR(INDEX('INPUT-SIF_Questions'!$G$2:$G$300,MATCH($A73,'INPUT-SIF_Questions'!$A$2:$A$300,0)),""))</f>
        <v/>
      </c>
      <c r="U73" s="1" t="str">
        <f>IF($A73="","",IFERROR(INDEX('INPUT-SIF_Questions'!$E$2:$E$300,MATCH($A73,'INPUT-SIF_Questions'!$A$2:$A$300,0)),""))</f>
        <v/>
      </c>
    </row>
    <row r="74" spans="2:21" ht="14.25" customHeight="1" x14ac:dyDescent="0.45">
      <c r="B74" s="1" t="str">
        <f>IF($A74="","",IFERROR(INDEX('INPUT-SIF_Questions'!$H$2:$H$1000,MATCH($A74,'INPUT-SIF_Questions'!$A$2:$A$1000,0)),""))</f>
        <v/>
      </c>
      <c r="C74" s="3" t="str">
        <f>IF($A74="","",IFERROR(INDEX('INPUT-SIF_Questions'!$I$2:$I$1000,MATCH($A74,'INPUT-SIF_Questions'!$A$2:$A$1000,0)),""))</f>
        <v/>
      </c>
      <c r="D74" s="59" t="str">
        <f>IF($A74="","",IFERROR(INDEX('INPUT-SIF_Questions'!$S$2:$S$1000,MATCH($A74,'INPUT-SIF_Questions'!$A$2:$A$1000,0)),""))</f>
        <v/>
      </c>
      <c r="E74" s="1" t="str">
        <f>IF($A74="","",IFERROR(INDEX('INPUT-SIF_Questions'!$V$2:$V$1000,MATCH($A74,'INPUT-SIF_Questions'!$A$2:$A$1000,0)),""))</f>
        <v/>
      </c>
      <c r="F74" s="1" t="str">
        <f>IF($A74="","",IFERROR(INDEX('INPUT-SIF_Questions'!$W$2:$W$1000,MATCH($A74,'INPUT-SIF_Questions'!$A$2:$A$1000,0)),""))</f>
        <v/>
      </c>
      <c r="G74" s="3" t="str">
        <f>IF($A74="","",IFERROR(INDEX('INPUT-SIF_Questions'!$X$2:$X$1000,MATCH($A74,'INPUT-SIF_Questions'!$A$2:$A$1000,0)),""))</f>
        <v/>
      </c>
      <c r="H74" s="3" t="str">
        <f>IF($A74="","",IFERROR(INDEX('INPUT-SIF_Questions'!$Y$2:$Y$1000,MATCH($A74,'INPUT-SIF_Questions'!$A$2:$A$1000,0)),""))</f>
        <v/>
      </c>
      <c r="I74" s="1" t="str">
        <f>IF($A74="","",IFERROR(INDEX('INPUT-SIF_Questions'!$Z$2:$Z$1000,MATCH($A74,'INPUT-SIF_Questions'!$A$2:$A$1000,0)),""))</f>
        <v/>
      </c>
      <c r="J74" s="1" t="str">
        <f>IF($A74="","",IFERROR(INDEX('INPUT-SIF_Questions'!$AA$2:$AA$1000,MATCH($A74,'INPUT-SIF_Questions'!$A$2:$A$1000,0)),""))</f>
        <v/>
      </c>
      <c r="K74" s="3" t="str">
        <f>IF($A74="","",IFERROR(INDEX('INPUT-SIF_Questions'!$AB$2:$AB$1000,MATCH($A74,'INPUT-SIF_Questions'!$A$2:$A$1000,0)),""))</f>
        <v/>
      </c>
      <c r="L74" s="3" t="str">
        <f>IF($A74="","",IFERROR(INDEX('INPUT-SIF_Questions'!$AC$2:$AC$1000,MATCH($A74,'INPUT-SIF_Questions'!$A$2:$A$1000,0)),""))</f>
        <v/>
      </c>
      <c r="M74" s="1" t="str">
        <f>IF($A74="","",COUNTIFS('INPUT-SIF_Questions'!$A$2:$A$1000,$A74,'INPUT-SIF_Questions'!$M$2:$M$1000,1))</f>
        <v/>
      </c>
      <c r="N74" s="1" t="str">
        <f>IF($A74="","",COUNTIFS('INPUT-SIF_Questions'!$A$2:$A$1000,$A74,'INPUT-SIF_Questions'!$N$2:$N$1000,1))</f>
        <v/>
      </c>
      <c r="O74" s="1" t="str">
        <f>IF($A74="","",COUNTIFS('INPUT-SIF_Questions'!$A$2:$A$1000,$A74,'INPUT-SIF_Questions'!$O$2:$O$1000,1))</f>
        <v/>
      </c>
      <c r="P74" s="60" t="str">
        <f t="shared" si="2"/>
        <v/>
      </c>
      <c r="Q74" s="1" t="str">
        <f>IF($A74="","",IFERROR(INDEX('INPUT-SIF_Questions'!$B$2:$B$300,MATCH($A74,'INPUT-SIF_Questions'!$A$2:$A$300,0)),""))</f>
        <v/>
      </c>
      <c r="R74" s="1" t="str">
        <f>IF($A74="","",IFERROR(INDEX('INPUT-SIF_Questions'!$C$2:$C$300,MATCH($A74,'INPUT-SIF_Questions'!$A$2:$A$300,0)),""))</f>
        <v/>
      </c>
      <c r="S74" s="1" t="str">
        <f>IF($A74="","",IFERROR(INDEX('INPUT-SIF_Questions'!$F$2:$F$300,MATCH($A74,'INPUT-SIF_Questions'!$A$2:$A$300,0)),""))</f>
        <v/>
      </c>
      <c r="T74" s="1" t="str">
        <f>IF($A74="","",IFERROR(INDEX('INPUT-SIF_Questions'!$G$2:$G$300,MATCH($A74,'INPUT-SIF_Questions'!$A$2:$A$300,0)),""))</f>
        <v/>
      </c>
      <c r="U74" s="1" t="str">
        <f>IF($A74="","",IFERROR(INDEX('INPUT-SIF_Questions'!$E$2:$E$300,MATCH($A74,'INPUT-SIF_Questions'!$A$2:$A$300,0)),""))</f>
        <v/>
      </c>
    </row>
    <row r="75" spans="2:21" ht="14.25" customHeight="1" x14ac:dyDescent="0.45">
      <c r="B75" s="1" t="str">
        <f>IF($A75="","",IFERROR(INDEX('INPUT-SIF_Questions'!$H$2:$H$1000,MATCH($A75,'INPUT-SIF_Questions'!$A$2:$A$1000,0)),""))</f>
        <v/>
      </c>
      <c r="C75" s="3" t="str">
        <f>IF($A75="","",IFERROR(INDEX('INPUT-SIF_Questions'!$I$2:$I$1000,MATCH($A75,'INPUT-SIF_Questions'!$A$2:$A$1000,0)),""))</f>
        <v/>
      </c>
      <c r="D75" s="59" t="str">
        <f>IF($A75="","",IFERROR(INDEX('INPUT-SIF_Questions'!$S$2:$S$1000,MATCH($A75,'INPUT-SIF_Questions'!$A$2:$A$1000,0)),""))</f>
        <v/>
      </c>
      <c r="E75" s="1" t="str">
        <f>IF($A75="","",IFERROR(INDEX('INPUT-SIF_Questions'!$V$2:$V$1000,MATCH($A75,'INPUT-SIF_Questions'!$A$2:$A$1000,0)),""))</f>
        <v/>
      </c>
      <c r="F75" s="1" t="str">
        <f>IF($A75="","",IFERROR(INDEX('INPUT-SIF_Questions'!$W$2:$W$1000,MATCH($A75,'INPUT-SIF_Questions'!$A$2:$A$1000,0)),""))</f>
        <v/>
      </c>
      <c r="G75" s="3" t="str">
        <f>IF($A75="","",IFERROR(INDEX('INPUT-SIF_Questions'!$X$2:$X$1000,MATCH($A75,'INPUT-SIF_Questions'!$A$2:$A$1000,0)),""))</f>
        <v/>
      </c>
      <c r="H75" s="3" t="str">
        <f>IF($A75="","",IFERROR(INDEX('INPUT-SIF_Questions'!$Y$2:$Y$1000,MATCH($A75,'INPUT-SIF_Questions'!$A$2:$A$1000,0)),""))</f>
        <v/>
      </c>
      <c r="I75" s="1" t="str">
        <f>IF($A75="","",IFERROR(INDEX('INPUT-SIF_Questions'!$Z$2:$Z$1000,MATCH($A75,'INPUT-SIF_Questions'!$A$2:$A$1000,0)),""))</f>
        <v/>
      </c>
      <c r="J75" s="1" t="str">
        <f>IF($A75="","",IFERROR(INDEX('INPUT-SIF_Questions'!$AA$2:$AA$1000,MATCH($A75,'INPUT-SIF_Questions'!$A$2:$A$1000,0)),""))</f>
        <v/>
      </c>
      <c r="K75" s="3" t="str">
        <f>IF($A75="","",IFERROR(INDEX('INPUT-SIF_Questions'!$AB$2:$AB$1000,MATCH($A75,'INPUT-SIF_Questions'!$A$2:$A$1000,0)),""))</f>
        <v/>
      </c>
      <c r="L75" s="3" t="str">
        <f>IF($A75="","",IFERROR(INDEX('INPUT-SIF_Questions'!$AC$2:$AC$1000,MATCH($A75,'INPUT-SIF_Questions'!$A$2:$A$1000,0)),""))</f>
        <v/>
      </c>
      <c r="M75" s="1" t="str">
        <f>IF($A75="","",COUNTIFS('INPUT-SIF_Questions'!$A$2:$A$1000,$A75,'INPUT-SIF_Questions'!$M$2:$M$1000,1))</f>
        <v/>
      </c>
      <c r="N75" s="1" t="str">
        <f>IF($A75="","",COUNTIFS('INPUT-SIF_Questions'!$A$2:$A$1000,$A75,'INPUT-SIF_Questions'!$N$2:$N$1000,1))</f>
        <v/>
      </c>
      <c r="O75" s="1" t="str">
        <f>IF($A75="","",COUNTIFS('INPUT-SIF_Questions'!$A$2:$A$1000,$A75,'INPUT-SIF_Questions'!$O$2:$O$1000,1))</f>
        <v/>
      </c>
      <c r="P75" s="60" t="str">
        <f t="shared" si="2"/>
        <v/>
      </c>
      <c r="Q75" s="1" t="str">
        <f>IF($A75="","",IFERROR(INDEX('INPUT-SIF_Questions'!$B$2:$B$300,MATCH($A75,'INPUT-SIF_Questions'!$A$2:$A$300,0)),""))</f>
        <v/>
      </c>
      <c r="R75" s="1" t="str">
        <f>IF($A75="","",IFERROR(INDEX('INPUT-SIF_Questions'!$C$2:$C$300,MATCH($A75,'INPUT-SIF_Questions'!$A$2:$A$300,0)),""))</f>
        <v/>
      </c>
      <c r="S75" s="1" t="str">
        <f>IF($A75="","",IFERROR(INDEX('INPUT-SIF_Questions'!$F$2:$F$300,MATCH($A75,'INPUT-SIF_Questions'!$A$2:$A$300,0)),""))</f>
        <v/>
      </c>
      <c r="T75" s="1" t="str">
        <f>IF($A75="","",IFERROR(INDEX('INPUT-SIF_Questions'!$G$2:$G$300,MATCH($A75,'INPUT-SIF_Questions'!$A$2:$A$300,0)),""))</f>
        <v/>
      </c>
      <c r="U75" s="1" t="str">
        <f>IF($A75="","",IFERROR(INDEX('INPUT-SIF_Questions'!$E$2:$E$300,MATCH($A75,'INPUT-SIF_Questions'!$A$2:$A$300,0)),""))</f>
        <v/>
      </c>
    </row>
    <row r="76" spans="2:21" ht="14.25" customHeight="1" x14ac:dyDescent="0.45">
      <c r="B76" s="1" t="str">
        <f>IF($A76="","",IFERROR(INDEX('INPUT-SIF_Questions'!$H$2:$H$1000,MATCH($A76,'INPUT-SIF_Questions'!$A$2:$A$1000,0)),""))</f>
        <v/>
      </c>
      <c r="C76" s="3" t="str">
        <f>IF($A76="","",IFERROR(INDEX('INPUT-SIF_Questions'!$I$2:$I$1000,MATCH($A76,'INPUT-SIF_Questions'!$A$2:$A$1000,0)),""))</f>
        <v/>
      </c>
      <c r="D76" s="59" t="str">
        <f>IF($A76="","",IFERROR(INDEX('INPUT-SIF_Questions'!$S$2:$S$1000,MATCH($A76,'INPUT-SIF_Questions'!$A$2:$A$1000,0)),""))</f>
        <v/>
      </c>
      <c r="E76" s="1" t="str">
        <f>IF($A76="","",IFERROR(INDEX('INPUT-SIF_Questions'!$V$2:$V$1000,MATCH($A76,'INPUT-SIF_Questions'!$A$2:$A$1000,0)),""))</f>
        <v/>
      </c>
      <c r="F76" s="1" t="str">
        <f>IF($A76="","",IFERROR(INDEX('INPUT-SIF_Questions'!$W$2:$W$1000,MATCH($A76,'INPUT-SIF_Questions'!$A$2:$A$1000,0)),""))</f>
        <v/>
      </c>
      <c r="G76" s="3" t="str">
        <f>IF($A76="","",IFERROR(INDEX('INPUT-SIF_Questions'!$X$2:$X$1000,MATCH($A76,'INPUT-SIF_Questions'!$A$2:$A$1000,0)),""))</f>
        <v/>
      </c>
      <c r="H76" s="3" t="str">
        <f>IF($A76="","",IFERROR(INDEX('INPUT-SIF_Questions'!$Y$2:$Y$1000,MATCH($A76,'INPUT-SIF_Questions'!$A$2:$A$1000,0)),""))</f>
        <v/>
      </c>
      <c r="I76" s="1" t="str">
        <f>IF($A76="","",IFERROR(INDEX('INPUT-SIF_Questions'!$Z$2:$Z$1000,MATCH($A76,'INPUT-SIF_Questions'!$A$2:$A$1000,0)),""))</f>
        <v/>
      </c>
      <c r="J76" s="1" t="str">
        <f>IF($A76="","",IFERROR(INDEX('INPUT-SIF_Questions'!$AA$2:$AA$1000,MATCH($A76,'INPUT-SIF_Questions'!$A$2:$A$1000,0)),""))</f>
        <v/>
      </c>
      <c r="K76" s="3" t="str">
        <f>IF($A76="","",IFERROR(INDEX('INPUT-SIF_Questions'!$AB$2:$AB$1000,MATCH($A76,'INPUT-SIF_Questions'!$A$2:$A$1000,0)),""))</f>
        <v/>
      </c>
      <c r="L76" s="3" t="str">
        <f>IF($A76="","",IFERROR(INDEX('INPUT-SIF_Questions'!$AC$2:$AC$1000,MATCH($A76,'INPUT-SIF_Questions'!$A$2:$A$1000,0)),""))</f>
        <v/>
      </c>
      <c r="M76" s="1" t="str">
        <f>IF($A76="","",COUNTIFS('INPUT-SIF_Questions'!$A$2:$A$1000,$A76,'INPUT-SIF_Questions'!$M$2:$M$1000,1))</f>
        <v/>
      </c>
      <c r="N76" s="1" t="str">
        <f>IF($A76="","",COUNTIFS('INPUT-SIF_Questions'!$A$2:$A$1000,$A76,'INPUT-SIF_Questions'!$N$2:$N$1000,1))</f>
        <v/>
      </c>
      <c r="O76" s="1" t="str">
        <f>IF($A76="","",COUNTIFS('INPUT-SIF_Questions'!$A$2:$A$1000,$A76,'INPUT-SIF_Questions'!$O$2:$O$1000,1))</f>
        <v/>
      </c>
      <c r="P76" s="60" t="str">
        <f t="shared" si="2"/>
        <v/>
      </c>
      <c r="Q76" s="1" t="str">
        <f>IF($A76="","",IFERROR(INDEX('INPUT-SIF_Questions'!$B$2:$B$300,MATCH($A76,'INPUT-SIF_Questions'!$A$2:$A$300,0)),""))</f>
        <v/>
      </c>
      <c r="R76" s="1" t="str">
        <f>IF($A76="","",IFERROR(INDEX('INPUT-SIF_Questions'!$C$2:$C$300,MATCH($A76,'INPUT-SIF_Questions'!$A$2:$A$300,0)),""))</f>
        <v/>
      </c>
      <c r="S76" s="1" t="str">
        <f>IF($A76="","",IFERROR(INDEX('INPUT-SIF_Questions'!$F$2:$F$300,MATCH($A76,'INPUT-SIF_Questions'!$A$2:$A$300,0)),""))</f>
        <v/>
      </c>
      <c r="T76" s="1" t="str">
        <f>IF($A76="","",IFERROR(INDEX('INPUT-SIF_Questions'!$G$2:$G$300,MATCH($A76,'INPUT-SIF_Questions'!$A$2:$A$300,0)),""))</f>
        <v/>
      </c>
      <c r="U76" s="1" t="str">
        <f>IF($A76="","",IFERROR(INDEX('INPUT-SIF_Questions'!$E$2:$E$300,MATCH($A76,'INPUT-SIF_Questions'!$A$2:$A$300,0)),""))</f>
        <v/>
      </c>
    </row>
    <row r="77" spans="2:21" ht="14.25" customHeight="1" x14ac:dyDescent="0.45">
      <c r="B77" s="1" t="str">
        <f>IF($A77="","",IFERROR(INDEX('INPUT-SIF_Questions'!$H$2:$H$1000,MATCH($A77,'INPUT-SIF_Questions'!$A$2:$A$1000,0)),""))</f>
        <v/>
      </c>
      <c r="C77" s="3" t="str">
        <f>IF($A77="","",IFERROR(INDEX('INPUT-SIF_Questions'!$I$2:$I$1000,MATCH($A77,'INPUT-SIF_Questions'!$A$2:$A$1000,0)),""))</f>
        <v/>
      </c>
      <c r="D77" s="59" t="str">
        <f>IF($A77="","",IFERROR(INDEX('INPUT-SIF_Questions'!$S$2:$S$1000,MATCH($A77,'INPUT-SIF_Questions'!$A$2:$A$1000,0)),""))</f>
        <v/>
      </c>
      <c r="E77" s="1" t="str">
        <f>IF($A77="","",IFERROR(INDEX('INPUT-SIF_Questions'!$V$2:$V$1000,MATCH($A77,'INPUT-SIF_Questions'!$A$2:$A$1000,0)),""))</f>
        <v/>
      </c>
      <c r="F77" s="1" t="str">
        <f>IF($A77="","",IFERROR(INDEX('INPUT-SIF_Questions'!$W$2:$W$1000,MATCH($A77,'INPUT-SIF_Questions'!$A$2:$A$1000,0)),""))</f>
        <v/>
      </c>
      <c r="G77" s="3" t="str">
        <f>IF($A77="","",IFERROR(INDEX('INPUT-SIF_Questions'!$X$2:$X$1000,MATCH($A77,'INPUT-SIF_Questions'!$A$2:$A$1000,0)),""))</f>
        <v/>
      </c>
      <c r="H77" s="3" t="str">
        <f>IF($A77="","",IFERROR(INDEX('INPUT-SIF_Questions'!$Y$2:$Y$1000,MATCH($A77,'INPUT-SIF_Questions'!$A$2:$A$1000,0)),""))</f>
        <v/>
      </c>
      <c r="I77" s="1" t="str">
        <f>IF($A77="","",IFERROR(INDEX('INPUT-SIF_Questions'!$Z$2:$Z$1000,MATCH($A77,'INPUT-SIF_Questions'!$A$2:$A$1000,0)),""))</f>
        <v/>
      </c>
      <c r="J77" s="1" t="str">
        <f>IF($A77="","",IFERROR(INDEX('INPUT-SIF_Questions'!$AA$2:$AA$1000,MATCH($A77,'INPUT-SIF_Questions'!$A$2:$A$1000,0)),""))</f>
        <v/>
      </c>
      <c r="K77" s="3" t="str">
        <f>IF($A77="","",IFERROR(INDEX('INPUT-SIF_Questions'!$AB$2:$AB$1000,MATCH($A77,'INPUT-SIF_Questions'!$A$2:$A$1000,0)),""))</f>
        <v/>
      </c>
      <c r="L77" s="3" t="str">
        <f>IF($A77="","",IFERROR(INDEX('INPUT-SIF_Questions'!$AC$2:$AC$1000,MATCH($A77,'INPUT-SIF_Questions'!$A$2:$A$1000,0)),""))</f>
        <v/>
      </c>
      <c r="M77" s="1" t="str">
        <f>IF($A77="","",COUNTIFS('INPUT-SIF_Questions'!$A$2:$A$1000,$A77,'INPUT-SIF_Questions'!$M$2:$M$1000,1))</f>
        <v/>
      </c>
      <c r="N77" s="1" t="str">
        <f>IF($A77="","",COUNTIFS('INPUT-SIF_Questions'!$A$2:$A$1000,$A77,'INPUT-SIF_Questions'!$N$2:$N$1000,1))</f>
        <v/>
      </c>
      <c r="O77" s="1" t="str">
        <f>IF($A77="","",COUNTIFS('INPUT-SIF_Questions'!$A$2:$A$1000,$A77,'INPUT-SIF_Questions'!$O$2:$O$1000,1))</f>
        <v/>
      </c>
      <c r="P77" s="60" t="str">
        <f t="shared" si="2"/>
        <v/>
      </c>
      <c r="Q77" s="1" t="str">
        <f>IF($A77="","",IFERROR(INDEX('INPUT-SIF_Questions'!$B$2:$B$300,MATCH($A77,'INPUT-SIF_Questions'!$A$2:$A$300,0)),""))</f>
        <v/>
      </c>
      <c r="R77" s="1" t="str">
        <f>IF($A77="","",IFERROR(INDEX('INPUT-SIF_Questions'!$C$2:$C$300,MATCH($A77,'INPUT-SIF_Questions'!$A$2:$A$300,0)),""))</f>
        <v/>
      </c>
      <c r="S77" s="1" t="str">
        <f>IF($A77="","",IFERROR(INDEX('INPUT-SIF_Questions'!$F$2:$F$300,MATCH($A77,'INPUT-SIF_Questions'!$A$2:$A$300,0)),""))</f>
        <v/>
      </c>
      <c r="T77" s="1" t="str">
        <f>IF($A77="","",IFERROR(INDEX('INPUT-SIF_Questions'!$G$2:$G$300,MATCH($A77,'INPUT-SIF_Questions'!$A$2:$A$300,0)),""))</f>
        <v/>
      </c>
      <c r="U77" s="1" t="str">
        <f>IF($A77="","",IFERROR(INDEX('INPUT-SIF_Questions'!$E$2:$E$300,MATCH($A77,'INPUT-SIF_Questions'!$A$2:$A$300,0)),""))</f>
        <v/>
      </c>
    </row>
    <row r="78" spans="2:21" ht="14.25" customHeight="1" x14ac:dyDescent="0.45">
      <c r="B78" s="1" t="str">
        <f>IF($A78="","",IFERROR(INDEX('INPUT-SIF_Questions'!$H$2:$H$1000,MATCH($A78,'INPUT-SIF_Questions'!$A$2:$A$1000,0)),""))</f>
        <v/>
      </c>
      <c r="C78" s="3" t="str">
        <f>IF($A78="","",IFERROR(INDEX('INPUT-SIF_Questions'!$I$2:$I$1000,MATCH($A78,'INPUT-SIF_Questions'!$A$2:$A$1000,0)),""))</f>
        <v/>
      </c>
      <c r="D78" s="59" t="str">
        <f>IF($A78="","",IFERROR(INDEX('INPUT-SIF_Questions'!$S$2:$S$1000,MATCH($A78,'INPUT-SIF_Questions'!$A$2:$A$1000,0)),""))</f>
        <v/>
      </c>
      <c r="E78" s="1" t="str">
        <f>IF($A78="","",IFERROR(INDEX('INPUT-SIF_Questions'!$V$2:$V$1000,MATCH($A78,'INPUT-SIF_Questions'!$A$2:$A$1000,0)),""))</f>
        <v/>
      </c>
      <c r="F78" s="1" t="str">
        <f>IF($A78="","",IFERROR(INDEX('INPUT-SIF_Questions'!$W$2:$W$1000,MATCH($A78,'INPUT-SIF_Questions'!$A$2:$A$1000,0)),""))</f>
        <v/>
      </c>
      <c r="G78" s="3" t="str">
        <f>IF($A78="","",IFERROR(INDEX('INPUT-SIF_Questions'!$X$2:$X$1000,MATCH($A78,'INPUT-SIF_Questions'!$A$2:$A$1000,0)),""))</f>
        <v/>
      </c>
      <c r="H78" s="3" t="str">
        <f>IF($A78="","",IFERROR(INDEX('INPUT-SIF_Questions'!$Y$2:$Y$1000,MATCH($A78,'INPUT-SIF_Questions'!$A$2:$A$1000,0)),""))</f>
        <v/>
      </c>
      <c r="I78" s="1" t="str">
        <f>IF($A78="","",IFERROR(INDEX('INPUT-SIF_Questions'!$Z$2:$Z$1000,MATCH($A78,'INPUT-SIF_Questions'!$A$2:$A$1000,0)),""))</f>
        <v/>
      </c>
      <c r="J78" s="1" t="str">
        <f>IF($A78="","",IFERROR(INDEX('INPUT-SIF_Questions'!$AA$2:$AA$1000,MATCH($A78,'INPUT-SIF_Questions'!$A$2:$A$1000,0)),""))</f>
        <v/>
      </c>
      <c r="K78" s="3" t="str">
        <f>IF($A78="","",IFERROR(INDEX('INPUT-SIF_Questions'!$AB$2:$AB$1000,MATCH($A78,'INPUT-SIF_Questions'!$A$2:$A$1000,0)),""))</f>
        <v/>
      </c>
      <c r="L78" s="3" t="str">
        <f>IF($A78="","",IFERROR(INDEX('INPUT-SIF_Questions'!$AC$2:$AC$1000,MATCH($A78,'INPUT-SIF_Questions'!$A$2:$A$1000,0)),""))</f>
        <v/>
      </c>
      <c r="M78" s="1" t="str">
        <f>IF($A78="","",COUNTIFS('INPUT-SIF_Questions'!$A$2:$A$1000,$A78,'INPUT-SIF_Questions'!$M$2:$M$1000,1))</f>
        <v/>
      </c>
      <c r="N78" s="1" t="str">
        <f>IF($A78="","",COUNTIFS('INPUT-SIF_Questions'!$A$2:$A$1000,$A78,'INPUT-SIF_Questions'!$N$2:$N$1000,1))</f>
        <v/>
      </c>
      <c r="O78" s="1" t="str">
        <f>IF($A78="","",COUNTIFS('INPUT-SIF_Questions'!$A$2:$A$1000,$A78,'INPUT-SIF_Questions'!$O$2:$O$1000,1))</f>
        <v/>
      </c>
      <c r="P78" s="60" t="str">
        <f t="shared" si="2"/>
        <v/>
      </c>
      <c r="Q78" s="1" t="str">
        <f>IF($A78="","",IFERROR(INDEX('INPUT-SIF_Questions'!$B$2:$B$300,MATCH($A78,'INPUT-SIF_Questions'!$A$2:$A$300,0)),""))</f>
        <v/>
      </c>
      <c r="R78" s="1" t="str">
        <f>IF($A78="","",IFERROR(INDEX('INPUT-SIF_Questions'!$C$2:$C$300,MATCH($A78,'INPUT-SIF_Questions'!$A$2:$A$300,0)),""))</f>
        <v/>
      </c>
      <c r="S78" s="1" t="str">
        <f>IF($A78="","",IFERROR(INDEX('INPUT-SIF_Questions'!$F$2:$F$300,MATCH($A78,'INPUT-SIF_Questions'!$A$2:$A$300,0)),""))</f>
        <v/>
      </c>
      <c r="T78" s="1" t="str">
        <f>IF($A78="","",IFERROR(INDEX('INPUT-SIF_Questions'!$G$2:$G$300,MATCH($A78,'INPUT-SIF_Questions'!$A$2:$A$300,0)),""))</f>
        <v/>
      </c>
      <c r="U78" s="1" t="str">
        <f>IF($A78="","",IFERROR(INDEX('INPUT-SIF_Questions'!$E$2:$E$300,MATCH($A78,'INPUT-SIF_Questions'!$A$2:$A$300,0)),""))</f>
        <v/>
      </c>
    </row>
    <row r="79" spans="2:21" ht="14.25" customHeight="1" x14ac:dyDescent="0.45">
      <c r="B79" s="1" t="str">
        <f>IF($A79="","",IFERROR(INDEX('INPUT-SIF_Questions'!$H$2:$H$1000,MATCH($A79,'INPUT-SIF_Questions'!$A$2:$A$1000,0)),""))</f>
        <v/>
      </c>
      <c r="C79" s="3" t="str">
        <f>IF($A79="","",IFERROR(INDEX('INPUT-SIF_Questions'!$I$2:$I$1000,MATCH($A79,'INPUT-SIF_Questions'!$A$2:$A$1000,0)),""))</f>
        <v/>
      </c>
      <c r="D79" s="59" t="str">
        <f>IF($A79="","",IFERROR(INDEX('INPUT-SIF_Questions'!$S$2:$S$1000,MATCH($A79,'INPUT-SIF_Questions'!$A$2:$A$1000,0)),""))</f>
        <v/>
      </c>
      <c r="E79" s="1" t="str">
        <f>IF($A79="","",IFERROR(INDEX('INPUT-SIF_Questions'!$V$2:$V$1000,MATCH($A79,'INPUT-SIF_Questions'!$A$2:$A$1000,0)),""))</f>
        <v/>
      </c>
      <c r="F79" s="1" t="str">
        <f>IF($A79="","",IFERROR(INDEX('INPUT-SIF_Questions'!$W$2:$W$1000,MATCH($A79,'INPUT-SIF_Questions'!$A$2:$A$1000,0)),""))</f>
        <v/>
      </c>
      <c r="G79" s="3" t="str">
        <f>IF($A79="","",IFERROR(INDEX('INPUT-SIF_Questions'!$X$2:$X$1000,MATCH($A79,'INPUT-SIF_Questions'!$A$2:$A$1000,0)),""))</f>
        <v/>
      </c>
      <c r="H79" s="3" t="str">
        <f>IF($A79="","",IFERROR(INDEX('INPUT-SIF_Questions'!$Y$2:$Y$1000,MATCH($A79,'INPUT-SIF_Questions'!$A$2:$A$1000,0)),""))</f>
        <v/>
      </c>
      <c r="I79" s="1" t="str">
        <f>IF($A79="","",IFERROR(INDEX('INPUT-SIF_Questions'!$Z$2:$Z$1000,MATCH($A79,'INPUT-SIF_Questions'!$A$2:$A$1000,0)),""))</f>
        <v/>
      </c>
      <c r="J79" s="1" t="str">
        <f>IF($A79="","",IFERROR(INDEX('INPUT-SIF_Questions'!$AA$2:$AA$1000,MATCH($A79,'INPUT-SIF_Questions'!$A$2:$A$1000,0)),""))</f>
        <v/>
      </c>
      <c r="K79" s="3" t="str">
        <f>IF($A79="","",IFERROR(INDEX('INPUT-SIF_Questions'!$AB$2:$AB$1000,MATCH($A79,'INPUT-SIF_Questions'!$A$2:$A$1000,0)),""))</f>
        <v/>
      </c>
      <c r="L79" s="3" t="str">
        <f>IF($A79="","",IFERROR(INDEX('INPUT-SIF_Questions'!$AC$2:$AC$1000,MATCH($A79,'INPUT-SIF_Questions'!$A$2:$A$1000,0)),""))</f>
        <v/>
      </c>
      <c r="M79" s="1" t="str">
        <f>IF($A79="","",COUNTIFS('INPUT-SIF_Questions'!$A$2:$A$1000,$A79,'INPUT-SIF_Questions'!$M$2:$M$1000,1))</f>
        <v/>
      </c>
      <c r="N79" s="1" t="str">
        <f>IF($A79="","",COUNTIFS('INPUT-SIF_Questions'!$A$2:$A$1000,$A79,'INPUT-SIF_Questions'!$N$2:$N$1000,1))</f>
        <v/>
      </c>
      <c r="O79" s="1" t="str">
        <f>IF($A79="","",COUNTIFS('INPUT-SIF_Questions'!$A$2:$A$1000,$A79,'INPUT-SIF_Questions'!$O$2:$O$1000,1))</f>
        <v/>
      </c>
      <c r="P79" s="60" t="str">
        <f t="shared" si="2"/>
        <v/>
      </c>
      <c r="Q79" s="1" t="str">
        <f>IF($A79="","",IFERROR(INDEX('INPUT-SIF_Questions'!$B$2:$B$300,MATCH($A79,'INPUT-SIF_Questions'!$A$2:$A$300,0)),""))</f>
        <v/>
      </c>
      <c r="R79" s="1" t="str">
        <f>IF($A79="","",IFERROR(INDEX('INPUT-SIF_Questions'!$C$2:$C$300,MATCH($A79,'INPUT-SIF_Questions'!$A$2:$A$300,0)),""))</f>
        <v/>
      </c>
      <c r="S79" s="1" t="str">
        <f>IF($A79="","",IFERROR(INDEX('INPUT-SIF_Questions'!$F$2:$F$300,MATCH($A79,'INPUT-SIF_Questions'!$A$2:$A$300,0)),""))</f>
        <v/>
      </c>
      <c r="T79" s="1" t="str">
        <f>IF($A79="","",IFERROR(INDEX('INPUT-SIF_Questions'!$G$2:$G$300,MATCH($A79,'INPUT-SIF_Questions'!$A$2:$A$300,0)),""))</f>
        <v/>
      </c>
      <c r="U79" s="1" t="str">
        <f>IF($A79="","",IFERROR(INDEX('INPUT-SIF_Questions'!$E$2:$E$300,MATCH($A79,'INPUT-SIF_Questions'!$A$2:$A$300,0)),""))</f>
        <v/>
      </c>
    </row>
    <row r="80" spans="2:21" ht="14.25" customHeight="1" x14ac:dyDescent="0.45">
      <c r="B80" s="1" t="str">
        <f>IF($A80="","",IFERROR(INDEX('INPUT-SIF_Questions'!$H$2:$H$1000,MATCH($A80,'INPUT-SIF_Questions'!$A$2:$A$1000,0)),""))</f>
        <v/>
      </c>
      <c r="C80" s="3" t="str">
        <f>IF($A80="","",IFERROR(INDEX('INPUT-SIF_Questions'!$I$2:$I$1000,MATCH($A80,'INPUT-SIF_Questions'!$A$2:$A$1000,0)),""))</f>
        <v/>
      </c>
      <c r="D80" s="59" t="str">
        <f>IF($A80="","",IFERROR(INDEX('INPUT-SIF_Questions'!$S$2:$S$1000,MATCH($A80,'INPUT-SIF_Questions'!$A$2:$A$1000,0)),""))</f>
        <v/>
      </c>
      <c r="E80" s="1" t="str">
        <f>IF($A80="","",IFERROR(INDEX('INPUT-SIF_Questions'!$V$2:$V$1000,MATCH($A80,'INPUT-SIF_Questions'!$A$2:$A$1000,0)),""))</f>
        <v/>
      </c>
      <c r="F80" s="1" t="str">
        <f>IF($A80="","",IFERROR(INDEX('INPUT-SIF_Questions'!$W$2:$W$1000,MATCH($A80,'INPUT-SIF_Questions'!$A$2:$A$1000,0)),""))</f>
        <v/>
      </c>
      <c r="G80" s="3" t="str">
        <f>IF($A80="","",IFERROR(INDEX('INPUT-SIF_Questions'!$X$2:$X$1000,MATCH($A80,'INPUT-SIF_Questions'!$A$2:$A$1000,0)),""))</f>
        <v/>
      </c>
      <c r="H80" s="3" t="str">
        <f>IF($A80="","",IFERROR(INDEX('INPUT-SIF_Questions'!$Y$2:$Y$1000,MATCH($A80,'INPUT-SIF_Questions'!$A$2:$A$1000,0)),""))</f>
        <v/>
      </c>
      <c r="I80" s="1" t="str">
        <f>IF($A80="","",IFERROR(INDEX('INPUT-SIF_Questions'!$Z$2:$Z$1000,MATCH($A80,'INPUT-SIF_Questions'!$A$2:$A$1000,0)),""))</f>
        <v/>
      </c>
      <c r="J80" s="1" t="str">
        <f>IF($A80="","",IFERROR(INDEX('INPUT-SIF_Questions'!$AA$2:$AA$1000,MATCH($A80,'INPUT-SIF_Questions'!$A$2:$A$1000,0)),""))</f>
        <v/>
      </c>
      <c r="K80" s="3" t="str">
        <f>IF($A80="","",IFERROR(INDEX('INPUT-SIF_Questions'!$AB$2:$AB$1000,MATCH($A80,'INPUT-SIF_Questions'!$A$2:$A$1000,0)),""))</f>
        <v/>
      </c>
      <c r="L80" s="3" t="str">
        <f>IF($A80="","",IFERROR(INDEX('INPUT-SIF_Questions'!$AC$2:$AC$1000,MATCH($A80,'INPUT-SIF_Questions'!$A$2:$A$1000,0)),""))</f>
        <v/>
      </c>
      <c r="M80" s="1" t="str">
        <f>IF($A80="","",COUNTIFS('INPUT-SIF_Questions'!$A$2:$A$1000,$A80,'INPUT-SIF_Questions'!$M$2:$M$1000,1))</f>
        <v/>
      </c>
      <c r="N80" s="1" t="str">
        <f>IF($A80="","",COUNTIFS('INPUT-SIF_Questions'!$A$2:$A$1000,$A80,'INPUT-SIF_Questions'!$N$2:$N$1000,1))</f>
        <v/>
      </c>
      <c r="O80" s="1" t="str">
        <f>IF($A80="","",COUNTIFS('INPUT-SIF_Questions'!$A$2:$A$1000,$A80,'INPUT-SIF_Questions'!$O$2:$O$1000,1))</f>
        <v/>
      </c>
      <c r="P80" s="60" t="str">
        <f t="shared" si="2"/>
        <v/>
      </c>
      <c r="Q80" s="1" t="str">
        <f>IF($A80="","",IFERROR(INDEX('INPUT-SIF_Questions'!$B$2:$B$300,MATCH($A80,'INPUT-SIF_Questions'!$A$2:$A$300,0)),""))</f>
        <v/>
      </c>
      <c r="R80" s="1" t="str">
        <f>IF($A80="","",IFERROR(INDEX('INPUT-SIF_Questions'!$C$2:$C$300,MATCH($A80,'INPUT-SIF_Questions'!$A$2:$A$300,0)),""))</f>
        <v/>
      </c>
      <c r="S80" s="1" t="str">
        <f>IF($A80="","",IFERROR(INDEX('INPUT-SIF_Questions'!$F$2:$F$300,MATCH($A80,'INPUT-SIF_Questions'!$A$2:$A$300,0)),""))</f>
        <v/>
      </c>
      <c r="T80" s="1" t="str">
        <f>IF($A80="","",IFERROR(INDEX('INPUT-SIF_Questions'!$G$2:$G$300,MATCH($A80,'INPUT-SIF_Questions'!$A$2:$A$300,0)),""))</f>
        <v/>
      </c>
      <c r="U80" s="1" t="str">
        <f>IF($A80="","",IFERROR(INDEX('INPUT-SIF_Questions'!$E$2:$E$300,MATCH($A80,'INPUT-SIF_Questions'!$A$2:$A$300,0)),""))</f>
        <v/>
      </c>
    </row>
    <row r="81" spans="2:21" ht="14.25" customHeight="1" x14ac:dyDescent="0.45">
      <c r="B81" s="1" t="str">
        <f>IF($A81="","",IFERROR(INDEX('INPUT-SIF_Questions'!$H$2:$H$1000,MATCH($A81,'INPUT-SIF_Questions'!$A$2:$A$1000,0)),""))</f>
        <v/>
      </c>
      <c r="C81" s="3" t="str">
        <f>IF($A81="","",IFERROR(INDEX('INPUT-SIF_Questions'!$I$2:$I$1000,MATCH($A81,'INPUT-SIF_Questions'!$A$2:$A$1000,0)),""))</f>
        <v/>
      </c>
      <c r="D81" s="59" t="str">
        <f>IF($A81="","",IFERROR(INDEX('INPUT-SIF_Questions'!$S$2:$S$1000,MATCH($A81,'INPUT-SIF_Questions'!$A$2:$A$1000,0)),""))</f>
        <v/>
      </c>
      <c r="E81" s="1" t="str">
        <f>IF($A81="","",IFERROR(INDEX('INPUT-SIF_Questions'!$V$2:$V$1000,MATCH($A81,'INPUT-SIF_Questions'!$A$2:$A$1000,0)),""))</f>
        <v/>
      </c>
      <c r="F81" s="1" t="str">
        <f>IF($A81="","",IFERROR(INDEX('INPUT-SIF_Questions'!$W$2:$W$1000,MATCH($A81,'INPUT-SIF_Questions'!$A$2:$A$1000,0)),""))</f>
        <v/>
      </c>
      <c r="G81" s="3" t="str">
        <f>IF($A81="","",IFERROR(INDEX('INPUT-SIF_Questions'!$X$2:$X$1000,MATCH($A81,'INPUT-SIF_Questions'!$A$2:$A$1000,0)),""))</f>
        <v/>
      </c>
      <c r="H81" s="3" t="str">
        <f>IF($A81="","",IFERROR(INDEX('INPUT-SIF_Questions'!$Y$2:$Y$1000,MATCH($A81,'INPUT-SIF_Questions'!$A$2:$A$1000,0)),""))</f>
        <v/>
      </c>
      <c r="I81" s="1" t="str">
        <f>IF($A81="","",IFERROR(INDEX('INPUT-SIF_Questions'!$Z$2:$Z$1000,MATCH($A81,'INPUT-SIF_Questions'!$A$2:$A$1000,0)),""))</f>
        <v/>
      </c>
      <c r="J81" s="1" t="str">
        <f>IF($A81="","",IFERROR(INDEX('INPUT-SIF_Questions'!$AA$2:$AA$1000,MATCH($A81,'INPUT-SIF_Questions'!$A$2:$A$1000,0)),""))</f>
        <v/>
      </c>
      <c r="K81" s="3" t="str">
        <f>IF($A81="","",IFERROR(INDEX('INPUT-SIF_Questions'!$AB$2:$AB$1000,MATCH($A81,'INPUT-SIF_Questions'!$A$2:$A$1000,0)),""))</f>
        <v/>
      </c>
      <c r="L81" s="3" t="str">
        <f>IF($A81="","",IFERROR(INDEX('INPUT-SIF_Questions'!$AC$2:$AC$1000,MATCH($A81,'INPUT-SIF_Questions'!$A$2:$A$1000,0)),""))</f>
        <v/>
      </c>
      <c r="M81" s="1" t="str">
        <f>IF($A81="","",COUNTIFS('INPUT-SIF_Questions'!$A$2:$A$1000,$A81,'INPUT-SIF_Questions'!$M$2:$M$1000,1))</f>
        <v/>
      </c>
      <c r="N81" s="1" t="str">
        <f>IF($A81="","",COUNTIFS('INPUT-SIF_Questions'!$A$2:$A$1000,$A81,'INPUT-SIF_Questions'!$N$2:$N$1000,1))</f>
        <v/>
      </c>
      <c r="O81" s="1" t="str">
        <f>IF($A81="","",COUNTIFS('INPUT-SIF_Questions'!$A$2:$A$1000,$A81,'INPUT-SIF_Questions'!$O$2:$O$1000,1))</f>
        <v/>
      </c>
      <c r="P81" s="60" t="str">
        <f t="shared" si="2"/>
        <v/>
      </c>
      <c r="Q81" s="1" t="str">
        <f>IF($A81="","",IFERROR(INDEX('INPUT-SIF_Questions'!$B$2:$B$300,MATCH($A81,'INPUT-SIF_Questions'!$A$2:$A$300,0)),""))</f>
        <v/>
      </c>
      <c r="R81" s="1" t="str">
        <f>IF($A81="","",IFERROR(INDEX('INPUT-SIF_Questions'!$C$2:$C$300,MATCH($A81,'INPUT-SIF_Questions'!$A$2:$A$300,0)),""))</f>
        <v/>
      </c>
      <c r="S81" s="1" t="str">
        <f>IF($A81="","",IFERROR(INDEX('INPUT-SIF_Questions'!$F$2:$F$300,MATCH($A81,'INPUT-SIF_Questions'!$A$2:$A$300,0)),""))</f>
        <v/>
      </c>
      <c r="T81" s="1" t="str">
        <f>IF($A81="","",IFERROR(INDEX('INPUT-SIF_Questions'!$G$2:$G$300,MATCH($A81,'INPUT-SIF_Questions'!$A$2:$A$300,0)),""))</f>
        <v/>
      </c>
      <c r="U81" s="1" t="str">
        <f>IF($A81="","",IFERROR(INDEX('INPUT-SIF_Questions'!$E$2:$E$300,MATCH($A81,'INPUT-SIF_Questions'!$A$2:$A$300,0)),""))</f>
        <v/>
      </c>
    </row>
    <row r="82" spans="2:21" ht="14.25" customHeight="1" x14ac:dyDescent="0.45">
      <c r="B82" s="1" t="str">
        <f>IF($A82="","",IFERROR(INDEX('INPUT-SIF_Questions'!$H$2:$H$1000,MATCH($A82,'INPUT-SIF_Questions'!$A$2:$A$1000,0)),""))</f>
        <v/>
      </c>
      <c r="C82" s="3" t="str">
        <f>IF($A82="","",IFERROR(INDEX('INPUT-SIF_Questions'!$I$2:$I$1000,MATCH($A82,'INPUT-SIF_Questions'!$A$2:$A$1000,0)),""))</f>
        <v/>
      </c>
      <c r="D82" s="59" t="str">
        <f>IF($A82="","",IFERROR(INDEX('INPUT-SIF_Questions'!$S$2:$S$1000,MATCH($A82,'INPUT-SIF_Questions'!$A$2:$A$1000,0)),""))</f>
        <v/>
      </c>
      <c r="E82" s="1" t="str">
        <f>IF($A82="","",IFERROR(INDEX('INPUT-SIF_Questions'!$V$2:$V$1000,MATCH($A82,'INPUT-SIF_Questions'!$A$2:$A$1000,0)),""))</f>
        <v/>
      </c>
      <c r="F82" s="1" t="str">
        <f>IF($A82="","",IFERROR(INDEX('INPUT-SIF_Questions'!$W$2:$W$1000,MATCH($A82,'INPUT-SIF_Questions'!$A$2:$A$1000,0)),""))</f>
        <v/>
      </c>
      <c r="G82" s="3" t="str">
        <f>IF($A82="","",IFERROR(INDEX('INPUT-SIF_Questions'!$X$2:$X$1000,MATCH($A82,'INPUT-SIF_Questions'!$A$2:$A$1000,0)),""))</f>
        <v/>
      </c>
      <c r="H82" s="3" t="str">
        <f>IF($A82="","",IFERROR(INDEX('INPUT-SIF_Questions'!$Y$2:$Y$1000,MATCH($A82,'INPUT-SIF_Questions'!$A$2:$A$1000,0)),""))</f>
        <v/>
      </c>
      <c r="I82" s="1" t="str">
        <f>IF($A82="","",IFERROR(INDEX('INPUT-SIF_Questions'!$Z$2:$Z$1000,MATCH($A82,'INPUT-SIF_Questions'!$A$2:$A$1000,0)),""))</f>
        <v/>
      </c>
      <c r="J82" s="1" t="str">
        <f>IF($A82="","",IFERROR(INDEX('INPUT-SIF_Questions'!$AA$2:$AA$1000,MATCH($A82,'INPUT-SIF_Questions'!$A$2:$A$1000,0)),""))</f>
        <v/>
      </c>
      <c r="K82" s="3" t="str">
        <f>IF($A82="","",IFERROR(INDEX('INPUT-SIF_Questions'!$AB$2:$AB$1000,MATCH($A82,'INPUT-SIF_Questions'!$A$2:$A$1000,0)),""))</f>
        <v/>
      </c>
      <c r="L82" s="3" t="str">
        <f>IF($A82="","",IFERROR(INDEX('INPUT-SIF_Questions'!$AC$2:$AC$1000,MATCH($A82,'INPUT-SIF_Questions'!$A$2:$A$1000,0)),""))</f>
        <v/>
      </c>
      <c r="M82" s="1" t="str">
        <f>IF($A82="","",COUNTIFS('INPUT-SIF_Questions'!$A$2:$A$1000,$A82,'INPUT-SIF_Questions'!$M$2:$M$1000,1))</f>
        <v/>
      </c>
      <c r="N82" s="1" t="str">
        <f>IF($A82="","",COUNTIFS('INPUT-SIF_Questions'!$A$2:$A$1000,$A82,'INPUT-SIF_Questions'!$N$2:$N$1000,1))</f>
        <v/>
      </c>
      <c r="O82" s="1" t="str">
        <f>IF($A82="","",COUNTIFS('INPUT-SIF_Questions'!$A$2:$A$1000,$A82,'INPUT-SIF_Questions'!$O$2:$O$1000,1))</f>
        <v/>
      </c>
      <c r="P82" s="60" t="str">
        <f t="shared" si="2"/>
        <v/>
      </c>
      <c r="Q82" s="1" t="str">
        <f>IF($A82="","",IFERROR(INDEX('INPUT-SIF_Questions'!$B$2:$B$300,MATCH($A82,'INPUT-SIF_Questions'!$A$2:$A$300,0)),""))</f>
        <v/>
      </c>
      <c r="R82" s="1" t="str">
        <f>IF($A82="","",IFERROR(INDEX('INPUT-SIF_Questions'!$C$2:$C$300,MATCH($A82,'INPUT-SIF_Questions'!$A$2:$A$300,0)),""))</f>
        <v/>
      </c>
      <c r="S82" s="1" t="str">
        <f>IF($A82="","",IFERROR(INDEX('INPUT-SIF_Questions'!$F$2:$F$300,MATCH($A82,'INPUT-SIF_Questions'!$A$2:$A$300,0)),""))</f>
        <v/>
      </c>
      <c r="T82" s="1" t="str">
        <f>IF($A82="","",IFERROR(INDEX('INPUT-SIF_Questions'!$G$2:$G$300,MATCH($A82,'INPUT-SIF_Questions'!$A$2:$A$300,0)),""))</f>
        <v/>
      </c>
      <c r="U82" s="1" t="str">
        <f>IF($A82="","",IFERROR(INDEX('INPUT-SIF_Questions'!$E$2:$E$300,MATCH($A82,'INPUT-SIF_Questions'!$A$2:$A$300,0)),""))</f>
        <v/>
      </c>
    </row>
    <row r="83" spans="2:21" ht="14.25" customHeight="1" x14ac:dyDescent="0.45">
      <c r="B83" s="1" t="str">
        <f>IF($A83="","",IFERROR(INDEX('INPUT-SIF_Questions'!$H$2:$H$1000,MATCH($A83,'INPUT-SIF_Questions'!$A$2:$A$1000,0)),""))</f>
        <v/>
      </c>
      <c r="C83" s="3" t="str">
        <f>IF($A83="","",IFERROR(INDEX('INPUT-SIF_Questions'!$I$2:$I$1000,MATCH($A83,'INPUT-SIF_Questions'!$A$2:$A$1000,0)),""))</f>
        <v/>
      </c>
      <c r="D83" s="59" t="str">
        <f>IF($A83="","",IFERROR(INDEX('INPUT-SIF_Questions'!$S$2:$S$1000,MATCH($A83,'INPUT-SIF_Questions'!$A$2:$A$1000,0)),""))</f>
        <v/>
      </c>
      <c r="E83" s="1" t="str">
        <f>IF($A83="","",IFERROR(INDEX('INPUT-SIF_Questions'!$V$2:$V$1000,MATCH($A83,'INPUT-SIF_Questions'!$A$2:$A$1000,0)),""))</f>
        <v/>
      </c>
      <c r="F83" s="1" t="str">
        <f>IF($A83="","",IFERROR(INDEX('INPUT-SIF_Questions'!$W$2:$W$1000,MATCH($A83,'INPUT-SIF_Questions'!$A$2:$A$1000,0)),""))</f>
        <v/>
      </c>
      <c r="G83" s="3" t="str">
        <f>IF($A83="","",IFERROR(INDEX('INPUT-SIF_Questions'!$X$2:$X$1000,MATCH($A83,'INPUT-SIF_Questions'!$A$2:$A$1000,0)),""))</f>
        <v/>
      </c>
      <c r="H83" s="3" t="str">
        <f>IF($A83="","",IFERROR(INDEX('INPUT-SIF_Questions'!$Y$2:$Y$1000,MATCH($A83,'INPUT-SIF_Questions'!$A$2:$A$1000,0)),""))</f>
        <v/>
      </c>
      <c r="I83" s="1" t="str">
        <f>IF($A83="","",IFERROR(INDEX('INPUT-SIF_Questions'!$Z$2:$Z$1000,MATCH($A83,'INPUT-SIF_Questions'!$A$2:$A$1000,0)),""))</f>
        <v/>
      </c>
      <c r="J83" s="1" t="str">
        <f>IF($A83="","",IFERROR(INDEX('INPUT-SIF_Questions'!$AA$2:$AA$1000,MATCH($A83,'INPUT-SIF_Questions'!$A$2:$A$1000,0)),""))</f>
        <v/>
      </c>
      <c r="K83" s="3" t="str">
        <f>IF($A83="","",IFERROR(INDEX('INPUT-SIF_Questions'!$AB$2:$AB$1000,MATCH($A83,'INPUT-SIF_Questions'!$A$2:$A$1000,0)),""))</f>
        <v/>
      </c>
      <c r="L83" s="3" t="str">
        <f>IF($A83="","",IFERROR(INDEX('INPUT-SIF_Questions'!$AC$2:$AC$1000,MATCH($A83,'INPUT-SIF_Questions'!$A$2:$A$1000,0)),""))</f>
        <v/>
      </c>
      <c r="M83" s="1" t="str">
        <f>IF($A83="","",COUNTIFS('INPUT-SIF_Questions'!$A$2:$A$1000,$A83,'INPUT-SIF_Questions'!$M$2:$M$1000,1))</f>
        <v/>
      </c>
      <c r="N83" s="1" t="str">
        <f>IF($A83="","",COUNTIFS('INPUT-SIF_Questions'!$A$2:$A$1000,$A83,'INPUT-SIF_Questions'!$N$2:$N$1000,1))</f>
        <v/>
      </c>
      <c r="O83" s="1" t="str">
        <f>IF($A83="","",COUNTIFS('INPUT-SIF_Questions'!$A$2:$A$1000,$A83,'INPUT-SIF_Questions'!$O$2:$O$1000,1))</f>
        <v/>
      </c>
      <c r="P83" s="60" t="str">
        <f t="shared" si="2"/>
        <v/>
      </c>
      <c r="Q83" s="1" t="str">
        <f>IF($A83="","",IFERROR(INDEX('INPUT-SIF_Questions'!$B$2:$B$300,MATCH($A83,'INPUT-SIF_Questions'!$A$2:$A$300,0)),""))</f>
        <v/>
      </c>
      <c r="R83" s="1" t="str">
        <f>IF($A83="","",IFERROR(INDEX('INPUT-SIF_Questions'!$C$2:$C$300,MATCH($A83,'INPUT-SIF_Questions'!$A$2:$A$300,0)),""))</f>
        <v/>
      </c>
      <c r="S83" s="1" t="str">
        <f>IF($A83="","",IFERROR(INDEX('INPUT-SIF_Questions'!$F$2:$F$300,MATCH($A83,'INPUT-SIF_Questions'!$A$2:$A$300,0)),""))</f>
        <v/>
      </c>
      <c r="T83" s="1" t="str">
        <f>IF($A83="","",IFERROR(INDEX('INPUT-SIF_Questions'!$G$2:$G$300,MATCH($A83,'INPUT-SIF_Questions'!$A$2:$A$300,0)),""))</f>
        <v/>
      </c>
      <c r="U83" s="1" t="str">
        <f>IF($A83="","",IFERROR(INDEX('INPUT-SIF_Questions'!$E$2:$E$300,MATCH($A83,'INPUT-SIF_Questions'!$A$2:$A$300,0)),""))</f>
        <v/>
      </c>
    </row>
    <row r="84" spans="2:21" ht="14.25" customHeight="1" x14ac:dyDescent="0.45">
      <c r="B84" s="1" t="str">
        <f>IF($A84="","",IFERROR(INDEX('INPUT-SIF_Questions'!$H$2:$H$1000,MATCH($A84,'INPUT-SIF_Questions'!$A$2:$A$1000,0)),""))</f>
        <v/>
      </c>
      <c r="C84" s="3" t="str">
        <f>IF($A84="","",IFERROR(INDEX('INPUT-SIF_Questions'!$I$2:$I$1000,MATCH($A84,'INPUT-SIF_Questions'!$A$2:$A$1000,0)),""))</f>
        <v/>
      </c>
      <c r="D84" s="59" t="str">
        <f>IF($A84="","",IFERROR(INDEX('INPUT-SIF_Questions'!$S$2:$S$1000,MATCH($A84,'INPUT-SIF_Questions'!$A$2:$A$1000,0)),""))</f>
        <v/>
      </c>
      <c r="E84" s="1" t="str">
        <f>IF($A84="","",IFERROR(INDEX('INPUT-SIF_Questions'!$V$2:$V$1000,MATCH($A84,'INPUT-SIF_Questions'!$A$2:$A$1000,0)),""))</f>
        <v/>
      </c>
      <c r="F84" s="1" t="str">
        <f>IF($A84="","",IFERROR(INDEX('INPUT-SIF_Questions'!$W$2:$W$1000,MATCH($A84,'INPUT-SIF_Questions'!$A$2:$A$1000,0)),""))</f>
        <v/>
      </c>
      <c r="G84" s="3" t="str">
        <f>IF($A84="","",IFERROR(INDEX('INPUT-SIF_Questions'!$X$2:$X$1000,MATCH($A84,'INPUT-SIF_Questions'!$A$2:$A$1000,0)),""))</f>
        <v/>
      </c>
      <c r="H84" s="3" t="str">
        <f>IF($A84="","",IFERROR(INDEX('INPUT-SIF_Questions'!$Y$2:$Y$1000,MATCH($A84,'INPUT-SIF_Questions'!$A$2:$A$1000,0)),""))</f>
        <v/>
      </c>
      <c r="I84" s="1" t="str">
        <f>IF($A84="","",IFERROR(INDEX('INPUT-SIF_Questions'!$Z$2:$Z$1000,MATCH($A84,'INPUT-SIF_Questions'!$A$2:$A$1000,0)),""))</f>
        <v/>
      </c>
      <c r="J84" s="1" t="str">
        <f>IF($A84="","",IFERROR(INDEX('INPUT-SIF_Questions'!$AA$2:$AA$1000,MATCH($A84,'INPUT-SIF_Questions'!$A$2:$A$1000,0)),""))</f>
        <v/>
      </c>
      <c r="K84" s="3" t="str">
        <f>IF($A84="","",IFERROR(INDEX('INPUT-SIF_Questions'!$AB$2:$AB$1000,MATCH($A84,'INPUT-SIF_Questions'!$A$2:$A$1000,0)),""))</f>
        <v/>
      </c>
      <c r="L84" s="3" t="str">
        <f>IF($A84="","",IFERROR(INDEX('INPUT-SIF_Questions'!$AC$2:$AC$1000,MATCH($A84,'INPUT-SIF_Questions'!$A$2:$A$1000,0)),""))</f>
        <v/>
      </c>
      <c r="M84" s="1" t="str">
        <f>IF($A84="","",COUNTIFS('INPUT-SIF_Questions'!$A$2:$A$1000,$A84,'INPUT-SIF_Questions'!$M$2:$M$1000,1))</f>
        <v/>
      </c>
      <c r="N84" s="1" t="str">
        <f>IF($A84="","",COUNTIFS('INPUT-SIF_Questions'!$A$2:$A$1000,$A84,'INPUT-SIF_Questions'!$N$2:$N$1000,1))</f>
        <v/>
      </c>
      <c r="O84" s="1" t="str">
        <f>IF($A84="","",COUNTIFS('INPUT-SIF_Questions'!$A$2:$A$1000,$A84,'INPUT-SIF_Questions'!$O$2:$O$1000,1))</f>
        <v/>
      </c>
      <c r="P84" s="60" t="str">
        <f t="shared" si="2"/>
        <v/>
      </c>
      <c r="Q84" s="1" t="str">
        <f>IF($A84="","",IFERROR(INDEX('INPUT-SIF_Questions'!$B$2:$B$300,MATCH($A84,'INPUT-SIF_Questions'!$A$2:$A$300,0)),""))</f>
        <v/>
      </c>
      <c r="R84" s="1" t="str">
        <f>IF($A84="","",IFERROR(INDEX('INPUT-SIF_Questions'!$C$2:$C$300,MATCH($A84,'INPUT-SIF_Questions'!$A$2:$A$300,0)),""))</f>
        <v/>
      </c>
      <c r="S84" s="1" t="str">
        <f>IF($A84="","",IFERROR(INDEX('INPUT-SIF_Questions'!$F$2:$F$300,MATCH($A84,'INPUT-SIF_Questions'!$A$2:$A$300,0)),""))</f>
        <v/>
      </c>
      <c r="T84" s="1" t="str">
        <f>IF($A84="","",IFERROR(INDEX('INPUT-SIF_Questions'!$G$2:$G$300,MATCH($A84,'INPUT-SIF_Questions'!$A$2:$A$300,0)),""))</f>
        <v/>
      </c>
      <c r="U84" s="1" t="str">
        <f>IF($A84="","",IFERROR(INDEX('INPUT-SIF_Questions'!$E$2:$E$300,MATCH($A84,'INPUT-SIF_Questions'!$A$2:$A$300,0)),""))</f>
        <v/>
      </c>
    </row>
    <row r="85" spans="2:21" ht="14.25" customHeight="1" x14ac:dyDescent="0.45">
      <c r="B85" s="1" t="str">
        <f>IF($A85="","",IFERROR(INDEX('INPUT-SIF_Questions'!$H$2:$H$1000,MATCH($A85,'INPUT-SIF_Questions'!$A$2:$A$1000,0)),""))</f>
        <v/>
      </c>
      <c r="C85" s="3" t="str">
        <f>IF($A85="","",IFERROR(INDEX('INPUT-SIF_Questions'!$I$2:$I$1000,MATCH($A85,'INPUT-SIF_Questions'!$A$2:$A$1000,0)),""))</f>
        <v/>
      </c>
      <c r="D85" s="59" t="str">
        <f>IF($A85="","",IFERROR(INDEX('INPUT-SIF_Questions'!$S$2:$S$1000,MATCH($A85,'INPUT-SIF_Questions'!$A$2:$A$1000,0)),""))</f>
        <v/>
      </c>
      <c r="E85" s="1" t="str">
        <f>IF($A85="","",IFERROR(INDEX('INPUT-SIF_Questions'!$V$2:$V$1000,MATCH($A85,'INPUT-SIF_Questions'!$A$2:$A$1000,0)),""))</f>
        <v/>
      </c>
      <c r="F85" s="1" t="str">
        <f>IF($A85="","",IFERROR(INDEX('INPUT-SIF_Questions'!$W$2:$W$1000,MATCH($A85,'INPUT-SIF_Questions'!$A$2:$A$1000,0)),""))</f>
        <v/>
      </c>
      <c r="G85" s="3" t="str">
        <f>IF($A85="","",IFERROR(INDEX('INPUT-SIF_Questions'!$X$2:$X$1000,MATCH($A85,'INPUT-SIF_Questions'!$A$2:$A$1000,0)),""))</f>
        <v/>
      </c>
      <c r="H85" s="3" t="str">
        <f>IF($A85="","",IFERROR(INDEX('INPUT-SIF_Questions'!$Y$2:$Y$1000,MATCH($A85,'INPUT-SIF_Questions'!$A$2:$A$1000,0)),""))</f>
        <v/>
      </c>
      <c r="I85" s="1" t="str">
        <f>IF($A85="","",IFERROR(INDEX('INPUT-SIF_Questions'!$Z$2:$Z$1000,MATCH($A85,'INPUT-SIF_Questions'!$A$2:$A$1000,0)),""))</f>
        <v/>
      </c>
      <c r="J85" s="1" t="str">
        <f>IF($A85="","",IFERROR(INDEX('INPUT-SIF_Questions'!$AA$2:$AA$1000,MATCH($A85,'INPUT-SIF_Questions'!$A$2:$A$1000,0)),""))</f>
        <v/>
      </c>
      <c r="K85" s="3" t="str">
        <f>IF($A85="","",IFERROR(INDEX('INPUT-SIF_Questions'!$AB$2:$AB$1000,MATCH($A85,'INPUT-SIF_Questions'!$A$2:$A$1000,0)),""))</f>
        <v/>
      </c>
      <c r="L85" s="3" t="str">
        <f>IF($A85="","",IFERROR(INDEX('INPUT-SIF_Questions'!$AC$2:$AC$1000,MATCH($A85,'INPUT-SIF_Questions'!$A$2:$A$1000,0)),""))</f>
        <v/>
      </c>
      <c r="M85" s="1" t="str">
        <f>IF($A85="","",COUNTIFS('INPUT-SIF_Questions'!$A$2:$A$1000,$A85,'INPUT-SIF_Questions'!$M$2:$M$1000,1))</f>
        <v/>
      </c>
      <c r="N85" s="1" t="str">
        <f>IF($A85="","",COUNTIFS('INPUT-SIF_Questions'!$A$2:$A$1000,$A85,'INPUT-SIF_Questions'!$N$2:$N$1000,1))</f>
        <v/>
      </c>
      <c r="O85" s="1" t="str">
        <f>IF($A85="","",COUNTIFS('INPUT-SIF_Questions'!$A$2:$A$1000,$A85,'INPUT-SIF_Questions'!$O$2:$O$1000,1))</f>
        <v/>
      </c>
      <c r="P85" s="60" t="str">
        <f t="shared" si="2"/>
        <v/>
      </c>
      <c r="Q85" s="1" t="str">
        <f>IF($A85="","",IFERROR(INDEX('INPUT-SIF_Questions'!$B$2:$B$300,MATCH($A85,'INPUT-SIF_Questions'!$A$2:$A$300,0)),""))</f>
        <v/>
      </c>
      <c r="R85" s="1" t="str">
        <f>IF($A85="","",IFERROR(INDEX('INPUT-SIF_Questions'!$C$2:$C$300,MATCH($A85,'INPUT-SIF_Questions'!$A$2:$A$300,0)),""))</f>
        <v/>
      </c>
      <c r="S85" s="1" t="str">
        <f>IF($A85="","",IFERROR(INDEX('INPUT-SIF_Questions'!$F$2:$F$300,MATCH($A85,'INPUT-SIF_Questions'!$A$2:$A$300,0)),""))</f>
        <v/>
      </c>
      <c r="T85" s="1" t="str">
        <f>IF($A85="","",IFERROR(INDEX('INPUT-SIF_Questions'!$G$2:$G$300,MATCH($A85,'INPUT-SIF_Questions'!$A$2:$A$300,0)),""))</f>
        <v/>
      </c>
      <c r="U85" s="1" t="str">
        <f>IF($A85="","",IFERROR(INDEX('INPUT-SIF_Questions'!$E$2:$E$300,MATCH($A85,'INPUT-SIF_Questions'!$A$2:$A$300,0)),""))</f>
        <v/>
      </c>
    </row>
    <row r="86" spans="2:21" ht="14.25" customHeight="1" x14ac:dyDescent="0.45">
      <c r="B86" s="1" t="str">
        <f>IF($A86="","",IFERROR(INDEX('INPUT-SIF_Questions'!$H$2:$H$1000,MATCH($A86,'INPUT-SIF_Questions'!$A$2:$A$1000,0)),""))</f>
        <v/>
      </c>
      <c r="C86" s="3" t="str">
        <f>IF($A86="","",IFERROR(INDEX('INPUT-SIF_Questions'!$I$2:$I$1000,MATCH($A86,'INPUT-SIF_Questions'!$A$2:$A$1000,0)),""))</f>
        <v/>
      </c>
      <c r="D86" s="59" t="str">
        <f>IF($A86="","",IFERROR(INDEX('INPUT-SIF_Questions'!$S$2:$S$1000,MATCH($A86,'INPUT-SIF_Questions'!$A$2:$A$1000,0)),""))</f>
        <v/>
      </c>
      <c r="E86" s="1" t="str">
        <f>IF($A86="","",IFERROR(INDEX('INPUT-SIF_Questions'!$V$2:$V$1000,MATCH($A86,'INPUT-SIF_Questions'!$A$2:$A$1000,0)),""))</f>
        <v/>
      </c>
      <c r="F86" s="1" t="str">
        <f>IF($A86="","",IFERROR(INDEX('INPUT-SIF_Questions'!$W$2:$W$1000,MATCH($A86,'INPUT-SIF_Questions'!$A$2:$A$1000,0)),""))</f>
        <v/>
      </c>
      <c r="G86" s="3" t="str">
        <f>IF($A86="","",IFERROR(INDEX('INPUT-SIF_Questions'!$X$2:$X$1000,MATCH($A86,'INPUT-SIF_Questions'!$A$2:$A$1000,0)),""))</f>
        <v/>
      </c>
      <c r="H86" s="3" t="str">
        <f>IF($A86="","",IFERROR(INDEX('INPUT-SIF_Questions'!$Y$2:$Y$1000,MATCH($A86,'INPUT-SIF_Questions'!$A$2:$A$1000,0)),""))</f>
        <v/>
      </c>
      <c r="I86" s="1" t="str">
        <f>IF($A86="","",IFERROR(INDEX('INPUT-SIF_Questions'!$Z$2:$Z$1000,MATCH($A86,'INPUT-SIF_Questions'!$A$2:$A$1000,0)),""))</f>
        <v/>
      </c>
      <c r="J86" s="1" t="str">
        <f>IF($A86="","",IFERROR(INDEX('INPUT-SIF_Questions'!$AA$2:$AA$1000,MATCH($A86,'INPUT-SIF_Questions'!$A$2:$A$1000,0)),""))</f>
        <v/>
      </c>
      <c r="K86" s="3" t="str">
        <f>IF($A86="","",IFERROR(INDEX('INPUT-SIF_Questions'!$AB$2:$AB$1000,MATCH($A86,'INPUT-SIF_Questions'!$A$2:$A$1000,0)),""))</f>
        <v/>
      </c>
      <c r="L86" s="3" t="str">
        <f>IF($A86="","",IFERROR(INDEX('INPUT-SIF_Questions'!$AC$2:$AC$1000,MATCH($A86,'INPUT-SIF_Questions'!$A$2:$A$1000,0)),""))</f>
        <v/>
      </c>
      <c r="M86" s="1" t="str">
        <f>IF($A86="","",COUNTIFS('INPUT-SIF_Questions'!$A$2:$A$1000,$A86,'INPUT-SIF_Questions'!$M$2:$M$1000,1))</f>
        <v/>
      </c>
      <c r="N86" s="1" t="str">
        <f>IF($A86="","",COUNTIFS('INPUT-SIF_Questions'!$A$2:$A$1000,$A86,'INPUT-SIF_Questions'!$N$2:$N$1000,1))</f>
        <v/>
      </c>
      <c r="O86" s="1" t="str">
        <f>IF($A86="","",COUNTIFS('INPUT-SIF_Questions'!$A$2:$A$1000,$A86,'INPUT-SIF_Questions'!$O$2:$O$1000,1))</f>
        <v/>
      </c>
      <c r="P86" s="60" t="str">
        <f t="shared" si="2"/>
        <v/>
      </c>
      <c r="Q86" s="1" t="str">
        <f>IF($A86="","",IFERROR(INDEX('INPUT-SIF_Questions'!$B$2:$B$300,MATCH($A86,'INPUT-SIF_Questions'!$A$2:$A$300,0)),""))</f>
        <v/>
      </c>
      <c r="R86" s="1" t="str">
        <f>IF($A86="","",IFERROR(INDEX('INPUT-SIF_Questions'!$C$2:$C$300,MATCH($A86,'INPUT-SIF_Questions'!$A$2:$A$300,0)),""))</f>
        <v/>
      </c>
      <c r="S86" s="1" t="str">
        <f>IF($A86="","",IFERROR(INDEX('INPUT-SIF_Questions'!$F$2:$F$300,MATCH($A86,'INPUT-SIF_Questions'!$A$2:$A$300,0)),""))</f>
        <v/>
      </c>
      <c r="T86" s="1" t="str">
        <f>IF($A86="","",IFERROR(INDEX('INPUT-SIF_Questions'!$G$2:$G$300,MATCH($A86,'INPUT-SIF_Questions'!$A$2:$A$300,0)),""))</f>
        <v/>
      </c>
      <c r="U86" s="1" t="str">
        <f>IF($A86="","",IFERROR(INDEX('INPUT-SIF_Questions'!$E$2:$E$300,MATCH($A86,'INPUT-SIF_Questions'!$A$2:$A$300,0)),""))</f>
        <v/>
      </c>
    </row>
    <row r="87" spans="2:21" ht="14.25" customHeight="1" x14ac:dyDescent="0.45">
      <c r="B87" s="1" t="str">
        <f>IF($A87="","",IFERROR(INDEX('INPUT-SIF_Questions'!$H$2:$H$1000,MATCH($A87,'INPUT-SIF_Questions'!$A$2:$A$1000,0)),""))</f>
        <v/>
      </c>
      <c r="C87" s="3" t="str">
        <f>IF($A87="","",IFERROR(INDEX('INPUT-SIF_Questions'!$I$2:$I$1000,MATCH($A87,'INPUT-SIF_Questions'!$A$2:$A$1000,0)),""))</f>
        <v/>
      </c>
      <c r="D87" s="59" t="str">
        <f>IF($A87="","",IFERROR(INDEX('INPUT-SIF_Questions'!$S$2:$S$1000,MATCH($A87,'INPUT-SIF_Questions'!$A$2:$A$1000,0)),""))</f>
        <v/>
      </c>
      <c r="E87" s="1" t="str">
        <f>IF($A87="","",IFERROR(INDEX('INPUT-SIF_Questions'!$V$2:$V$1000,MATCH($A87,'INPUT-SIF_Questions'!$A$2:$A$1000,0)),""))</f>
        <v/>
      </c>
      <c r="F87" s="1" t="str">
        <f>IF($A87="","",IFERROR(INDEX('INPUT-SIF_Questions'!$W$2:$W$1000,MATCH($A87,'INPUT-SIF_Questions'!$A$2:$A$1000,0)),""))</f>
        <v/>
      </c>
      <c r="G87" s="3" t="str">
        <f>IF($A87="","",IFERROR(INDEX('INPUT-SIF_Questions'!$X$2:$X$1000,MATCH($A87,'INPUT-SIF_Questions'!$A$2:$A$1000,0)),""))</f>
        <v/>
      </c>
      <c r="H87" s="3" t="str">
        <f>IF($A87="","",IFERROR(INDEX('INPUT-SIF_Questions'!$Y$2:$Y$1000,MATCH($A87,'INPUT-SIF_Questions'!$A$2:$A$1000,0)),""))</f>
        <v/>
      </c>
      <c r="I87" s="1" t="str">
        <f>IF($A87="","",IFERROR(INDEX('INPUT-SIF_Questions'!$Z$2:$Z$1000,MATCH($A87,'INPUT-SIF_Questions'!$A$2:$A$1000,0)),""))</f>
        <v/>
      </c>
      <c r="J87" s="1" t="str">
        <f>IF($A87="","",IFERROR(INDEX('INPUT-SIF_Questions'!$AA$2:$AA$1000,MATCH($A87,'INPUT-SIF_Questions'!$A$2:$A$1000,0)),""))</f>
        <v/>
      </c>
      <c r="K87" s="3" t="str">
        <f>IF($A87="","",IFERROR(INDEX('INPUT-SIF_Questions'!$AB$2:$AB$1000,MATCH($A87,'INPUT-SIF_Questions'!$A$2:$A$1000,0)),""))</f>
        <v/>
      </c>
      <c r="L87" s="3" t="str">
        <f>IF($A87="","",IFERROR(INDEX('INPUT-SIF_Questions'!$AC$2:$AC$1000,MATCH($A87,'INPUT-SIF_Questions'!$A$2:$A$1000,0)),""))</f>
        <v/>
      </c>
      <c r="M87" s="1" t="str">
        <f>IF($A87="","",COUNTIFS('INPUT-SIF_Questions'!$A$2:$A$1000,$A87,'INPUT-SIF_Questions'!$M$2:$M$1000,1))</f>
        <v/>
      </c>
      <c r="N87" s="1" t="str">
        <f>IF($A87="","",COUNTIFS('INPUT-SIF_Questions'!$A$2:$A$1000,$A87,'INPUT-SIF_Questions'!$N$2:$N$1000,1))</f>
        <v/>
      </c>
      <c r="O87" s="1" t="str">
        <f>IF($A87="","",COUNTIFS('INPUT-SIF_Questions'!$A$2:$A$1000,$A87,'INPUT-SIF_Questions'!$O$2:$O$1000,1))</f>
        <v/>
      </c>
      <c r="P87" s="60" t="str">
        <f t="shared" si="2"/>
        <v/>
      </c>
      <c r="Q87" s="1" t="str">
        <f>IF($A87="","",IFERROR(INDEX('INPUT-SIF_Questions'!$B$2:$B$300,MATCH($A87,'INPUT-SIF_Questions'!$A$2:$A$300,0)),""))</f>
        <v/>
      </c>
      <c r="R87" s="1" t="str">
        <f>IF($A87="","",IFERROR(INDEX('INPUT-SIF_Questions'!$C$2:$C$300,MATCH($A87,'INPUT-SIF_Questions'!$A$2:$A$300,0)),""))</f>
        <v/>
      </c>
      <c r="S87" s="1" t="str">
        <f>IF($A87="","",IFERROR(INDEX('INPUT-SIF_Questions'!$F$2:$F$300,MATCH($A87,'INPUT-SIF_Questions'!$A$2:$A$300,0)),""))</f>
        <v/>
      </c>
      <c r="T87" s="1" t="str">
        <f>IF($A87="","",IFERROR(INDEX('INPUT-SIF_Questions'!$G$2:$G$300,MATCH($A87,'INPUT-SIF_Questions'!$A$2:$A$300,0)),""))</f>
        <v/>
      </c>
      <c r="U87" s="1" t="str">
        <f>IF($A87="","",IFERROR(INDEX('INPUT-SIF_Questions'!$E$2:$E$300,MATCH($A87,'INPUT-SIF_Questions'!$A$2:$A$300,0)),""))</f>
        <v/>
      </c>
    </row>
    <row r="88" spans="2:21" ht="14.25" customHeight="1" x14ac:dyDescent="0.45">
      <c r="B88" s="1" t="str">
        <f>IF($A88="","",IFERROR(INDEX('INPUT-SIF_Questions'!$H$2:$H$1000,MATCH($A88,'INPUT-SIF_Questions'!$A$2:$A$1000,0)),""))</f>
        <v/>
      </c>
      <c r="C88" s="3" t="str">
        <f>IF($A88="","",IFERROR(INDEX('INPUT-SIF_Questions'!$I$2:$I$1000,MATCH($A88,'INPUT-SIF_Questions'!$A$2:$A$1000,0)),""))</f>
        <v/>
      </c>
      <c r="D88" s="59" t="str">
        <f>IF($A88="","",IFERROR(INDEX('INPUT-SIF_Questions'!$S$2:$S$1000,MATCH($A88,'INPUT-SIF_Questions'!$A$2:$A$1000,0)),""))</f>
        <v/>
      </c>
      <c r="E88" s="1" t="str">
        <f>IF($A88="","",IFERROR(INDEX('INPUT-SIF_Questions'!$V$2:$V$1000,MATCH($A88,'INPUT-SIF_Questions'!$A$2:$A$1000,0)),""))</f>
        <v/>
      </c>
      <c r="F88" s="1" t="str">
        <f>IF($A88="","",IFERROR(INDEX('INPUT-SIF_Questions'!$W$2:$W$1000,MATCH($A88,'INPUT-SIF_Questions'!$A$2:$A$1000,0)),""))</f>
        <v/>
      </c>
      <c r="G88" s="3" t="str">
        <f>IF($A88="","",IFERROR(INDEX('INPUT-SIF_Questions'!$X$2:$X$1000,MATCH($A88,'INPUT-SIF_Questions'!$A$2:$A$1000,0)),""))</f>
        <v/>
      </c>
      <c r="H88" s="3" t="str">
        <f>IF($A88="","",IFERROR(INDEX('INPUT-SIF_Questions'!$Y$2:$Y$1000,MATCH($A88,'INPUT-SIF_Questions'!$A$2:$A$1000,0)),""))</f>
        <v/>
      </c>
      <c r="I88" s="1" t="str">
        <f>IF($A88="","",IFERROR(INDEX('INPUT-SIF_Questions'!$Z$2:$Z$1000,MATCH($A88,'INPUT-SIF_Questions'!$A$2:$A$1000,0)),""))</f>
        <v/>
      </c>
      <c r="J88" s="1" t="str">
        <f>IF($A88="","",IFERROR(INDEX('INPUT-SIF_Questions'!$AA$2:$AA$1000,MATCH($A88,'INPUT-SIF_Questions'!$A$2:$A$1000,0)),""))</f>
        <v/>
      </c>
      <c r="K88" s="3" t="str">
        <f>IF($A88="","",IFERROR(INDEX('INPUT-SIF_Questions'!$AB$2:$AB$1000,MATCH($A88,'INPUT-SIF_Questions'!$A$2:$A$1000,0)),""))</f>
        <v/>
      </c>
      <c r="L88" s="3" t="str">
        <f>IF($A88="","",IFERROR(INDEX('INPUT-SIF_Questions'!$AC$2:$AC$1000,MATCH($A88,'INPUT-SIF_Questions'!$A$2:$A$1000,0)),""))</f>
        <v/>
      </c>
      <c r="M88" s="1" t="str">
        <f>IF($A88="","",COUNTIFS('INPUT-SIF_Questions'!$A$2:$A$1000,$A88,'INPUT-SIF_Questions'!$M$2:$M$1000,1))</f>
        <v/>
      </c>
      <c r="N88" s="1" t="str">
        <f>IF($A88="","",COUNTIFS('INPUT-SIF_Questions'!$A$2:$A$1000,$A88,'INPUT-SIF_Questions'!$N$2:$N$1000,1))</f>
        <v/>
      </c>
      <c r="O88" s="1" t="str">
        <f>IF($A88="","",COUNTIFS('INPUT-SIF_Questions'!$A$2:$A$1000,$A88,'INPUT-SIF_Questions'!$O$2:$O$1000,1))</f>
        <v/>
      </c>
      <c r="P88" s="60" t="str">
        <f t="shared" si="2"/>
        <v/>
      </c>
      <c r="Q88" s="1" t="str">
        <f>IF($A88="","",IFERROR(INDEX('INPUT-SIF_Questions'!$B$2:$B$300,MATCH($A88,'INPUT-SIF_Questions'!$A$2:$A$300,0)),""))</f>
        <v/>
      </c>
      <c r="R88" s="1" t="str">
        <f>IF($A88="","",IFERROR(INDEX('INPUT-SIF_Questions'!$C$2:$C$300,MATCH($A88,'INPUT-SIF_Questions'!$A$2:$A$300,0)),""))</f>
        <v/>
      </c>
      <c r="S88" s="1" t="str">
        <f>IF($A88="","",IFERROR(INDEX('INPUT-SIF_Questions'!$F$2:$F$300,MATCH($A88,'INPUT-SIF_Questions'!$A$2:$A$300,0)),""))</f>
        <v/>
      </c>
      <c r="T88" s="1" t="str">
        <f>IF($A88="","",IFERROR(INDEX('INPUT-SIF_Questions'!$G$2:$G$300,MATCH($A88,'INPUT-SIF_Questions'!$A$2:$A$300,0)),""))</f>
        <v/>
      </c>
      <c r="U88" s="1" t="str">
        <f>IF($A88="","",IFERROR(INDEX('INPUT-SIF_Questions'!$E$2:$E$300,MATCH($A88,'INPUT-SIF_Questions'!$A$2:$A$300,0)),""))</f>
        <v/>
      </c>
    </row>
    <row r="89" spans="2:21" ht="14.25" customHeight="1" x14ac:dyDescent="0.45">
      <c r="B89" s="1" t="str">
        <f>IF($A89="","",IFERROR(INDEX('INPUT-SIF_Questions'!$H$2:$H$1000,MATCH($A89,'INPUT-SIF_Questions'!$A$2:$A$1000,0)),""))</f>
        <v/>
      </c>
      <c r="C89" s="3" t="str">
        <f>IF($A89="","",IFERROR(INDEX('INPUT-SIF_Questions'!$I$2:$I$1000,MATCH($A89,'INPUT-SIF_Questions'!$A$2:$A$1000,0)),""))</f>
        <v/>
      </c>
      <c r="D89" s="59" t="str">
        <f>IF($A89="","",IFERROR(INDEX('INPUT-SIF_Questions'!$S$2:$S$1000,MATCH($A89,'INPUT-SIF_Questions'!$A$2:$A$1000,0)),""))</f>
        <v/>
      </c>
      <c r="E89" s="1" t="str">
        <f>IF($A89="","",IFERROR(INDEX('INPUT-SIF_Questions'!$V$2:$V$1000,MATCH($A89,'INPUT-SIF_Questions'!$A$2:$A$1000,0)),""))</f>
        <v/>
      </c>
      <c r="F89" s="1" t="str">
        <f>IF($A89="","",IFERROR(INDEX('INPUT-SIF_Questions'!$W$2:$W$1000,MATCH($A89,'INPUT-SIF_Questions'!$A$2:$A$1000,0)),""))</f>
        <v/>
      </c>
      <c r="G89" s="3" t="str">
        <f>IF($A89="","",IFERROR(INDEX('INPUT-SIF_Questions'!$X$2:$X$1000,MATCH($A89,'INPUT-SIF_Questions'!$A$2:$A$1000,0)),""))</f>
        <v/>
      </c>
      <c r="H89" s="3" t="str">
        <f>IF($A89="","",IFERROR(INDEX('INPUT-SIF_Questions'!$Y$2:$Y$1000,MATCH($A89,'INPUT-SIF_Questions'!$A$2:$A$1000,0)),""))</f>
        <v/>
      </c>
      <c r="I89" s="1" t="str">
        <f>IF($A89="","",IFERROR(INDEX('INPUT-SIF_Questions'!$Z$2:$Z$1000,MATCH($A89,'INPUT-SIF_Questions'!$A$2:$A$1000,0)),""))</f>
        <v/>
      </c>
      <c r="J89" s="1" t="str">
        <f>IF($A89="","",IFERROR(INDEX('INPUT-SIF_Questions'!$AA$2:$AA$1000,MATCH($A89,'INPUT-SIF_Questions'!$A$2:$A$1000,0)),""))</f>
        <v/>
      </c>
      <c r="K89" s="3" t="str">
        <f>IF($A89="","",IFERROR(INDEX('INPUT-SIF_Questions'!$AB$2:$AB$1000,MATCH($A89,'INPUT-SIF_Questions'!$A$2:$A$1000,0)),""))</f>
        <v/>
      </c>
      <c r="L89" s="3" t="str">
        <f>IF($A89="","",IFERROR(INDEX('INPUT-SIF_Questions'!$AC$2:$AC$1000,MATCH($A89,'INPUT-SIF_Questions'!$A$2:$A$1000,0)),""))</f>
        <v/>
      </c>
      <c r="M89" s="1" t="str">
        <f>IF($A89="","",COUNTIFS('INPUT-SIF_Questions'!$A$2:$A$1000,$A89,'INPUT-SIF_Questions'!$M$2:$M$1000,1))</f>
        <v/>
      </c>
      <c r="N89" s="1" t="str">
        <f>IF($A89="","",COUNTIFS('INPUT-SIF_Questions'!$A$2:$A$1000,$A89,'INPUT-SIF_Questions'!$N$2:$N$1000,1))</f>
        <v/>
      </c>
      <c r="O89" s="1" t="str">
        <f>IF($A89="","",COUNTIFS('INPUT-SIF_Questions'!$A$2:$A$1000,$A89,'INPUT-SIF_Questions'!$O$2:$O$1000,1))</f>
        <v/>
      </c>
      <c r="P89" s="60" t="str">
        <f t="shared" si="2"/>
        <v/>
      </c>
      <c r="Q89" s="1" t="str">
        <f>IF($A89="","",IFERROR(INDEX('INPUT-SIF_Questions'!$B$2:$B$300,MATCH($A89,'INPUT-SIF_Questions'!$A$2:$A$300,0)),""))</f>
        <v/>
      </c>
      <c r="R89" s="1" t="str">
        <f>IF($A89="","",IFERROR(INDEX('INPUT-SIF_Questions'!$C$2:$C$300,MATCH($A89,'INPUT-SIF_Questions'!$A$2:$A$300,0)),""))</f>
        <v/>
      </c>
      <c r="S89" s="1" t="str">
        <f>IF($A89="","",IFERROR(INDEX('INPUT-SIF_Questions'!$F$2:$F$300,MATCH($A89,'INPUT-SIF_Questions'!$A$2:$A$300,0)),""))</f>
        <v/>
      </c>
      <c r="T89" s="1" t="str">
        <f>IF($A89="","",IFERROR(INDEX('INPUT-SIF_Questions'!$G$2:$G$300,MATCH($A89,'INPUT-SIF_Questions'!$A$2:$A$300,0)),""))</f>
        <v/>
      </c>
      <c r="U89" s="1" t="str">
        <f>IF($A89="","",IFERROR(INDEX('INPUT-SIF_Questions'!$E$2:$E$300,MATCH($A89,'INPUT-SIF_Questions'!$A$2:$A$300,0)),""))</f>
        <v/>
      </c>
    </row>
    <row r="90" spans="2:21" ht="14.25" customHeight="1" x14ac:dyDescent="0.45">
      <c r="B90" s="1" t="str">
        <f>IF($A90="","",IFERROR(INDEX('INPUT-SIF_Questions'!$H$2:$H$1000,MATCH($A90,'INPUT-SIF_Questions'!$A$2:$A$1000,0)),""))</f>
        <v/>
      </c>
      <c r="C90" s="3" t="str">
        <f>IF($A90="","",IFERROR(INDEX('INPUT-SIF_Questions'!$I$2:$I$1000,MATCH($A90,'INPUT-SIF_Questions'!$A$2:$A$1000,0)),""))</f>
        <v/>
      </c>
      <c r="D90" s="59" t="str">
        <f>IF($A90="","",IFERROR(INDEX('INPUT-SIF_Questions'!$S$2:$S$1000,MATCH($A90,'INPUT-SIF_Questions'!$A$2:$A$1000,0)),""))</f>
        <v/>
      </c>
      <c r="E90" s="1" t="str">
        <f>IF($A90="","",IFERROR(INDEX('INPUT-SIF_Questions'!$V$2:$V$1000,MATCH($A90,'INPUT-SIF_Questions'!$A$2:$A$1000,0)),""))</f>
        <v/>
      </c>
      <c r="F90" s="1" t="str">
        <f>IF($A90="","",IFERROR(INDEX('INPUT-SIF_Questions'!$W$2:$W$1000,MATCH($A90,'INPUT-SIF_Questions'!$A$2:$A$1000,0)),""))</f>
        <v/>
      </c>
      <c r="G90" s="3" t="str">
        <f>IF($A90="","",IFERROR(INDEX('INPUT-SIF_Questions'!$X$2:$X$1000,MATCH($A90,'INPUT-SIF_Questions'!$A$2:$A$1000,0)),""))</f>
        <v/>
      </c>
      <c r="H90" s="3" t="str">
        <f>IF($A90="","",IFERROR(INDEX('INPUT-SIF_Questions'!$Y$2:$Y$1000,MATCH($A90,'INPUT-SIF_Questions'!$A$2:$A$1000,0)),""))</f>
        <v/>
      </c>
      <c r="I90" s="1" t="str">
        <f>IF($A90="","",IFERROR(INDEX('INPUT-SIF_Questions'!$Z$2:$Z$1000,MATCH($A90,'INPUT-SIF_Questions'!$A$2:$A$1000,0)),""))</f>
        <v/>
      </c>
      <c r="J90" s="1" t="str">
        <f>IF($A90="","",IFERROR(INDEX('INPUT-SIF_Questions'!$AA$2:$AA$1000,MATCH($A90,'INPUT-SIF_Questions'!$A$2:$A$1000,0)),""))</f>
        <v/>
      </c>
      <c r="K90" s="3" t="str">
        <f>IF($A90="","",IFERROR(INDEX('INPUT-SIF_Questions'!$AB$2:$AB$1000,MATCH($A90,'INPUT-SIF_Questions'!$A$2:$A$1000,0)),""))</f>
        <v/>
      </c>
      <c r="L90" s="3" t="str">
        <f>IF($A90="","",IFERROR(INDEX('INPUT-SIF_Questions'!$AC$2:$AC$1000,MATCH($A90,'INPUT-SIF_Questions'!$A$2:$A$1000,0)),""))</f>
        <v/>
      </c>
      <c r="M90" s="1" t="str">
        <f>IF($A90="","",COUNTIFS('INPUT-SIF_Questions'!$A$2:$A$1000,$A90,'INPUT-SIF_Questions'!$M$2:$M$1000,1))</f>
        <v/>
      </c>
      <c r="N90" s="1" t="str">
        <f>IF($A90="","",COUNTIFS('INPUT-SIF_Questions'!$A$2:$A$1000,$A90,'INPUT-SIF_Questions'!$N$2:$N$1000,1))</f>
        <v/>
      </c>
      <c r="O90" s="1" t="str">
        <f>IF($A90="","",COUNTIFS('INPUT-SIF_Questions'!$A$2:$A$1000,$A90,'INPUT-SIF_Questions'!$O$2:$O$1000,1))</f>
        <v/>
      </c>
      <c r="P90" s="60" t="str">
        <f t="shared" si="2"/>
        <v/>
      </c>
      <c r="Q90" s="1" t="str">
        <f>IF($A90="","",IFERROR(INDEX('INPUT-SIF_Questions'!$B$2:$B$300,MATCH($A90,'INPUT-SIF_Questions'!$A$2:$A$300,0)),""))</f>
        <v/>
      </c>
      <c r="R90" s="1" t="str">
        <f>IF($A90="","",IFERROR(INDEX('INPUT-SIF_Questions'!$C$2:$C$300,MATCH($A90,'INPUT-SIF_Questions'!$A$2:$A$300,0)),""))</f>
        <v/>
      </c>
      <c r="S90" s="1" t="str">
        <f>IF($A90="","",IFERROR(INDEX('INPUT-SIF_Questions'!$F$2:$F$300,MATCH($A90,'INPUT-SIF_Questions'!$A$2:$A$300,0)),""))</f>
        <v/>
      </c>
      <c r="T90" s="1" t="str">
        <f>IF($A90="","",IFERROR(INDEX('INPUT-SIF_Questions'!$G$2:$G$300,MATCH($A90,'INPUT-SIF_Questions'!$A$2:$A$300,0)),""))</f>
        <v/>
      </c>
      <c r="U90" s="1" t="str">
        <f>IF($A90="","",IFERROR(INDEX('INPUT-SIF_Questions'!$E$2:$E$300,MATCH($A90,'INPUT-SIF_Questions'!$A$2:$A$300,0)),""))</f>
        <v/>
      </c>
    </row>
    <row r="91" spans="2:21" ht="14.25" customHeight="1" x14ac:dyDescent="0.45">
      <c r="B91" s="1" t="str">
        <f>IF($A91="","",IFERROR(INDEX('INPUT-SIF_Questions'!$H$2:$H$1000,MATCH($A91,'INPUT-SIF_Questions'!$A$2:$A$1000,0)),""))</f>
        <v/>
      </c>
      <c r="C91" s="3" t="str">
        <f>IF($A91="","",IFERROR(INDEX('INPUT-SIF_Questions'!$I$2:$I$1000,MATCH($A91,'INPUT-SIF_Questions'!$A$2:$A$1000,0)),""))</f>
        <v/>
      </c>
      <c r="D91" s="59" t="str">
        <f>IF($A91="","",IFERROR(INDEX('INPUT-SIF_Questions'!$S$2:$S$1000,MATCH($A91,'INPUT-SIF_Questions'!$A$2:$A$1000,0)),""))</f>
        <v/>
      </c>
      <c r="E91" s="1" t="str">
        <f>IF($A91="","",IFERROR(INDEX('INPUT-SIF_Questions'!$V$2:$V$1000,MATCH($A91,'INPUT-SIF_Questions'!$A$2:$A$1000,0)),""))</f>
        <v/>
      </c>
      <c r="F91" s="1" t="str">
        <f>IF($A91="","",IFERROR(INDEX('INPUT-SIF_Questions'!$W$2:$W$1000,MATCH($A91,'INPUT-SIF_Questions'!$A$2:$A$1000,0)),""))</f>
        <v/>
      </c>
      <c r="G91" s="3" t="str">
        <f>IF($A91="","",IFERROR(INDEX('INPUT-SIF_Questions'!$X$2:$X$1000,MATCH($A91,'INPUT-SIF_Questions'!$A$2:$A$1000,0)),""))</f>
        <v/>
      </c>
      <c r="H91" s="3" t="str">
        <f>IF($A91="","",IFERROR(INDEX('INPUT-SIF_Questions'!$Y$2:$Y$1000,MATCH($A91,'INPUT-SIF_Questions'!$A$2:$A$1000,0)),""))</f>
        <v/>
      </c>
      <c r="I91" s="1" t="str">
        <f>IF($A91="","",IFERROR(INDEX('INPUT-SIF_Questions'!$Z$2:$Z$1000,MATCH($A91,'INPUT-SIF_Questions'!$A$2:$A$1000,0)),""))</f>
        <v/>
      </c>
      <c r="J91" s="1" t="str">
        <f>IF($A91="","",IFERROR(INDEX('INPUT-SIF_Questions'!$AA$2:$AA$1000,MATCH($A91,'INPUT-SIF_Questions'!$A$2:$A$1000,0)),""))</f>
        <v/>
      </c>
      <c r="K91" s="3" t="str">
        <f>IF($A91="","",IFERROR(INDEX('INPUT-SIF_Questions'!$AB$2:$AB$1000,MATCH($A91,'INPUT-SIF_Questions'!$A$2:$A$1000,0)),""))</f>
        <v/>
      </c>
      <c r="L91" s="3" t="str">
        <f>IF($A91="","",IFERROR(INDEX('INPUT-SIF_Questions'!$AC$2:$AC$1000,MATCH($A91,'INPUT-SIF_Questions'!$A$2:$A$1000,0)),""))</f>
        <v/>
      </c>
      <c r="M91" s="1" t="str">
        <f>IF($A91="","",COUNTIFS('INPUT-SIF_Questions'!$A$2:$A$1000,$A91,'INPUT-SIF_Questions'!$M$2:$M$1000,1))</f>
        <v/>
      </c>
      <c r="N91" s="1" t="str">
        <f>IF($A91="","",COUNTIFS('INPUT-SIF_Questions'!$A$2:$A$1000,$A91,'INPUT-SIF_Questions'!$N$2:$N$1000,1))</f>
        <v/>
      </c>
      <c r="O91" s="1" t="str">
        <f>IF($A91="","",COUNTIFS('INPUT-SIF_Questions'!$A$2:$A$1000,$A91,'INPUT-SIF_Questions'!$O$2:$O$1000,1))</f>
        <v/>
      </c>
      <c r="P91" s="60" t="str">
        <f t="shared" si="2"/>
        <v/>
      </c>
      <c r="Q91" s="1" t="str">
        <f>IF($A91="","",IFERROR(INDEX('INPUT-SIF_Questions'!$B$2:$B$300,MATCH($A91,'INPUT-SIF_Questions'!$A$2:$A$300,0)),""))</f>
        <v/>
      </c>
      <c r="R91" s="1" t="str">
        <f>IF($A91="","",IFERROR(INDEX('INPUT-SIF_Questions'!$C$2:$C$300,MATCH($A91,'INPUT-SIF_Questions'!$A$2:$A$300,0)),""))</f>
        <v/>
      </c>
      <c r="S91" s="1" t="str">
        <f>IF($A91="","",IFERROR(INDEX('INPUT-SIF_Questions'!$F$2:$F$300,MATCH($A91,'INPUT-SIF_Questions'!$A$2:$A$300,0)),""))</f>
        <v/>
      </c>
      <c r="T91" s="1" t="str">
        <f>IF($A91="","",IFERROR(INDEX('INPUT-SIF_Questions'!$G$2:$G$300,MATCH($A91,'INPUT-SIF_Questions'!$A$2:$A$300,0)),""))</f>
        <v/>
      </c>
      <c r="U91" s="1" t="str">
        <f>IF($A91="","",IFERROR(INDEX('INPUT-SIF_Questions'!$E$2:$E$300,MATCH($A91,'INPUT-SIF_Questions'!$A$2:$A$300,0)),""))</f>
        <v/>
      </c>
    </row>
    <row r="92" spans="2:21" ht="14.25" customHeight="1" x14ac:dyDescent="0.45">
      <c r="B92" s="1" t="str">
        <f>IF($A92="","",IFERROR(INDEX('INPUT-SIF_Questions'!$H$2:$H$1000,MATCH($A92,'INPUT-SIF_Questions'!$A$2:$A$1000,0)),""))</f>
        <v/>
      </c>
      <c r="C92" s="3" t="str">
        <f>IF($A92="","",IFERROR(INDEX('INPUT-SIF_Questions'!$I$2:$I$1000,MATCH($A92,'INPUT-SIF_Questions'!$A$2:$A$1000,0)),""))</f>
        <v/>
      </c>
      <c r="D92" s="59" t="str">
        <f>IF($A92="","",IFERROR(INDEX('INPUT-SIF_Questions'!$S$2:$S$1000,MATCH($A92,'INPUT-SIF_Questions'!$A$2:$A$1000,0)),""))</f>
        <v/>
      </c>
      <c r="E92" s="1" t="str">
        <f>IF($A92="","",IFERROR(INDEX('INPUT-SIF_Questions'!$V$2:$V$1000,MATCH($A92,'INPUT-SIF_Questions'!$A$2:$A$1000,0)),""))</f>
        <v/>
      </c>
      <c r="F92" s="1" t="str">
        <f>IF($A92="","",IFERROR(INDEX('INPUT-SIF_Questions'!$W$2:$W$1000,MATCH($A92,'INPUT-SIF_Questions'!$A$2:$A$1000,0)),""))</f>
        <v/>
      </c>
      <c r="G92" s="3" t="str">
        <f>IF($A92="","",IFERROR(INDEX('INPUT-SIF_Questions'!$X$2:$X$1000,MATCH($A92,'INPUT-SIF_Questions'!$A$2:$A$1000,0)),""))</f>
        <v/>
      </c>
      <c r="H92" s="3" t="str">
        <f>IF($A92="","",IFERROR(INDEX('INPUT-SIF_Questions'!$Y$2:$Y$1000,MATCH($A92,'INPUT-SIF_Questions'!$A$2:$A$1000,0)),""))</f>
        <v/>
      </c>
      <c r="I92" s="1" t="str">
        <f>IF($A92="","",IFERROR(INDEX('INPUT-SIF_Questions'!$Z$2:$Z$1000,MATCH($A92,'INPUT-SIF_Questions'!$A$2:$A$1000,0)),""))</f>
        <v/>
      </c>
      <c r="J92" s="1" t="str">
        <f>IF($A92="","",IFERROR(INDEX('INPUT-SIF_Questions'!$AA$2:$AA$1000,MATCH($A92,'INPUT-SIF_Questions'!$A$2:$A$1000,0)),""))</f>
        <v/>
      </c>
      <c r="K92" s="3" t="str">
        <f>IF($A92="","",IFERROR(INDEX('INPUT-SIF_Questions'!$AB$2:$AB$1000,MATCH($A92,'INPUT-SIF_Questions'!$A$2:$A$1000,0)),""))</f>
        <v/>
      </c>
      <c r="L92" s="3" t="str">
        <f>IF($A92="","",IFERROR(INDEX('INPUT-SIF_Questions'!$AC$2:$AC$1000,MATCH($A92,'INPUT-SIF_Questions'!$A$2:$A$1000,0)),""))</f>
        <v/>
      </c>
      <c r="M92" s="1" t="str">
        <f>IF($A92="","",COUNTIFS('INPUT-SIF_Questions'!$A$2:$A$1000,$A92,'INPUT-SIF_Questions'!$M$2:$M$1000,1))</f>
        <v/>
      </c>
      <c r="N92" s="1" t="str">
        <f>IF($A92="","",COUNTIFS('INPUT-SIF_Questions'!$A$2:$A$1000,$A92,'INPUT-SIF_Questions'!$N$2:$N$1000,1))</f>
        <v/>
      </c>
      <c r="O92" s="1" t="str">
        <f>IF($A92="","",COUNTIFS('INPUT-SIF_Questions'!$A$2:$A$1000,$A92,'INPUT-SIF_Questions'!$O$2:$O$1000,1))</f>
        <v/>
      </c>
      <c r="P92" s="60" t="str">
        <f t="shared" si="2"/>
        <v/>
      </c>
      <c r="Q92" s="1" t="str">
        <f>IF($A92="","",IFERROR(INDEX('INPUT-SIF_Questions'!$B$2:$B$300,MATCH($A92,'INPUT-SIF_Questions'!$A$2:$A$300,0)),""))</f>
        <v/>
      </c>
      <c r="R92" s="1" t="str">
        <f>IF($A92="","",IFERROR(INDEX('INPUT-SIF_Questions'!$C$2:$C$300,MATCH($A92,'INPUT-SIF_Questions'!$A$2:$A$300,0)),""))</f>
        <v/>
      </c>
      <c r="S92" s="1" t="str">
        <f>IF($A92="","",IFERROR(INDEX('INPUT-SIF_Questions'!$F$2:$F$300,MATCH($A92,'INPUT-SIF_Questions'!$A$2:$A$300,0)),""))</f>
        <v/>
      </c>
      <c r="T92" s="1" t="str">
        <f>IF($A92="","",IFERROR(INDEX('INPUT-SIF_Questions'!$G$2:$G$300,MATCH($A92,'INPUT-SIF_Questions'!$A$2:$A$300,0)),""))</f>
        <v/>
      </c>
      <c r="U92" s="1" t="str">
        <f>IF($A92="","",IFERROR(INDEX('INPUT-SIF_Questions'!$E$2:$E$300,MATCH($A92,'INPUT-SIF_Questions'!$A$2:$A$300,0)),""))</f>
        <v/>
      </c>
    </row>
    <row r="93" spans="2:21" ht="14.25" customHeight="1" x14ac:dyDescent="0.45">
      <c r="B93" s="1" t="str">
        <f>IF($A93="","",IFERROR(INDEX('INPUT-SIF_Questions'!$H$2:$H$1000,MATCH($A93,'INPUT-SIF_Questions'!$A$2:$A$1000,0)),""))</f>
        <v/>
      </c>
      <c r="C93" s="3" t="str">
        <f>IF($A93="","",IFERROR(INDEX('INPUT-SIF_Questions'!$I$2:$I$1000,MATCH($A93,'INPUT-SIF_Questions'!$A$2:$A$1000,0)),""))</f>
        <v/>
      </c>
      <c r="D93" s="59" t="str">
        <f>IF($A93="","",IFERROR(INDEX('INPUT-SIF_Questions'!$S$2:$S$1000,MATCH($A93,'INPUT-SIF_Questions'!$A$2:$A$1000,0)),""))</f>
        <v/>
      </c>
      <c r="E93" s="1" t="str">
        <f>IF($A93="","",IFERROR(INDEX('INPUT-SIF_Questions'!$V$2:$V$1000,MATCH($A93,'INPUT-SIF_Questions'!$A$2:$A$1000,0)),""))</f>
        <v/>
      </c>
      <c r="F93" s="1" t="str">
        <f>IF($A93="","",IFERROR(INDEX('INPUT-SIF_Questions'!$W$2:$W$1000,MATCH($A93,'INPUT-SIF_Questions'!$A$2:$A$1000,0)),""))</f>
        <v/>
      </c>
      <c r="G93" s="3" t="str">
        <f>IF($A93="","",IFERROR(INDEX('INPUT-SIF_Questions'!$X$2:$X$1000,MATCH($A93,'INPUT-SIF_Questions'!$A$2:$A$1000,0)),""))</f>
        <v/>
      </c>
      <c r="H93" s="3" t="str">
        <f>IF($A93="","",IFERROR(INDEX('INPUT-SIF_Questions'!$Y$2:$Y$1000,MATCH($A93,'INPUT-SIF_Questions'!$A$2:$A$1000,0)),""))</f>
        <v/>
      </c>
      <c r="I93" s="1" t="str">
        <f>IF($A93="","",IFERROR(INDEX('INPUT-SIF_Questions'!$Z$2:$Z$1000,MATCH($A93,'INPUT-SIF_Questions'!$A$2:$A$1000,0)),""))</f>
        <v/>
      </c>
      <c r="J93" s="1" t="str">
        <f>IF($A93="","",IFERROR(INDEX('INPUT-SIF_Questions'!$AA$2:$AA$1000,MATCH($A93,'INPUT-SIF_Questions'!$A$2:$A$1000,0)),""))</f>
        <v/>
      </c>
      <c r="K93" s="3" t="str">
        <f>IF($A93="","",IFERROR(INDEX('INPUT-SIF_Questions'!$AB$2:$AB$1000,MATCH($A93,'INPUT-SIF_Questions'!$A$2:$A$1000,0)),""))</f>
        <v/>
      </c>
      <c r="L93" s="3" t="str">
        <f>IF($A93="","",IFERROR(INDEX('INPUT-SIF_Questions'!$AC$2:$AC$1000,MATCH($A93,'INPUT-SIF_Questions'!$A$2:$A$1000,0)),""))</f>
        <v/>
      </c>
      <c r="M93" s="1" t="str">
        <f>IF($A93="","",COUNTIFS('INPUT-SIF_Questions'!$A$2:$A$1000,$A93,'INPUT-SIF_Questions'!$M$2:$M$1000,1))</f>
        <v/>
      </c>
      <c r="N93" s="1" t="str">
        <f>IF($A93="","",COUNTIFS('INPUT-SIF_Questions'!$A$2:$A$1000,$A93,'INPUT-SIF_Questions'!$N$2:$N$1000,1))</f>
        <v/>
      </c>
      <c r="O93" s="1" t="str">
        <f>IF($A93="","",COUNTIFS('INPUT-SIF_Questions'!$A$2:$A$1000,$A93,'INPUT-SIF_Questions'!$O$2:$O$1000,1))</f>
        <v/>
      </c>
      <c r="P93" s="60" t="str">
        <f t="shared" si="2"/>
        <v/>
      </c>
      <c r="Q93" s="1" t="str">
        <f>IF($A93="","",IFERROR(INDEX('INPUT-SIF_Questions'!$B$2:$B$300,MATCH($A93,'INPUT-SIF_Questions'!$A$2:$A$300,0)),""))</f>
        <v/>
      </c>
      <c r="R93" s="1" t="str">
        <f>IF($A93="","",IFERROR(INDEX('INPUT-SIF_Questions'!$C$2:$C$300,MATCH($A93,'INPUT-SIF_Questions'!$A$2:$A$300,0)),""))</f>
        <v/>
      </c>
      <c r="S93" s="1" t="str">
        <f>IF($A93="","",IFERROR(INDEX('INPUT-SIF_Questions'!$F$2:$F$300,MATCH($A93,'INPUT-SIF_Questions'!$A$2:$A$300,0)),""))</f>
        <v/>
      </c>
      <c r="T93" s="1" t="str">
        <f>IF($A93="","",IFERROR(INDEX('INPUT-SIF_Questions'!$G$2:$G$300,MATCH($A93,'INPUT-SIF_Questions'!$A$2:$A$300,0)),""))</f>
        <v/>
      </c>
      <c r="U93" s="1" t="str">
        <f>IF($A93="","",IFERROR(INDEX('INPUT-SIF_Questions'!$E$2:$E$300,MATCH($A93,'INPUT-SIF_Questions'!$A$2:$A$300,0)),""))</f>
        <v/>
      </c>
    </row>
    <row r="94" spans="2:21" ht="14.25" customHeight="1" x14ac:dyDescent="0.45">
      <c r="B94" s="1" t="str">
        <f>IF($A94="","",IFERROR(INDEX('INPUT-SIF_Questions'!$H$2:$H$1000,MATCH($A94,'INPUT-SIF_Questions'!$A$2:$A$1000,0)),""))</f>
        <v/>
      </c>
      <c r="C94" s="3" t="str">
        <f>IF($A94="","",IFERROR(INDEX('INPUT-SIF_Questions'!$I$2:$I$1000,MATCH($A94,'INPUT-SIF_Questions'!$A$2:$A$1000,0)),""))</f>
        <v/>
      </c>
      <c r="D94" s="59" t="str">
        <f>IF($A94="","",IFERROR(INDEX('INPUT-SIF_Questions'!$S$2:$S$1000,MATCH($A94,'INPUT-SIF_Questions'!$A$2:$A$1000,0)),""))</f>
        <v/>
      </c>
      <c r="E94" s="1" t="str">
        <f>IF($A94="","",IFERROR(INDEX('INPUT-SIF_Questions'!$V$2:$V$1000,MATCH($A94,'INPUT-SIF_Questions'!$A$2:$A$1000,0)),""))</f>
        <v/>
      </c>
      <c r="F94" s="1" t="str">
        <f>IF($A94="","",IFERROR(INDEX('INPUT-SIF_Questions'!$W$2:$W$1000,MATCH($A94,'INPUT-SIF_Questions'!$A$2:$A$1000,0)),""))</f>
        <v/>
      </c>
      <c r="G94" s="3" t="str">
        <f>IF($A94="","",IFERROR(INDEX('INPUT-SIF_Questions'!$X$2:$X$1000,MATCH($A94,'INPUT-SIF_Questions'!$A$2:$A$1000,0)),""))</f>
        <v/>
      </c>
      <c r="H94" s="3" t="str">
        <f>IF($A94="","",IFERROR(INDEX('INPUT-SIF_Questions'!$Y$2:$Y$1000,MATCH($A94,'INPUT-SIF_Questions'!$A$2:$A$1000,0)),""))</f>
        <v/>
      </c>
      <c r="I94" s="1" t="str">
        <f>IF($A94="","",IFERROR(INDEX('INPUT-SIF_Questions'!$Z$2:$Z$1000,MATCH($A94,'INPUT-SIF_Questions'!$A$2:$A$1000,0)),""))</f>
        <v/>
      </c>
      <c r="J94" s="1" t="str">
        <f>IF($A94="","",IFERROR(INDEX('INPUT-SIF_Questions'!$AA$2:$AA$1000,MATCH($A94,'INPUT-SIF_Questions'!$A$2:$A$1000,0)),""))</f>
        <v/>
      </c>
      <c r="K94" s="3" t="str">
        <f>IF($A94="","",IFERROR(INDEX('INPUT-SIF_Questions'!$AB$2:$AB$1000,MATCH($A94,'INPUT-SIF_Questions'!$A$2:$A$1000,0)),""))</f>
        <v/>
      </c>
      <c r="L94" s="3" t="str">
        <f>IF($A94="","",IFERROR(INDEX('INPUT-SIF_Questions'!$AC$2:$AC$1000,MATCH($A94,'INPUT-SIF_Questions'!$A$2:$A$1000,0)),""))</f>
        <v/>
      </c>
      <c r="M94" s="1" t="str">
        <f>IF($A94="","",COUNTIFS('INPUT-SIF_Questions'!$A$2:$A$1000,$A94,'INPUT-SIF_Questions'!$M$2:$M$1000,1))</f>
        <v/>
      </c>
      <c r="N94" s="1" t="str">
        <f>IF($A94="","",COUNTIFS('INPUT-SIF_Questions'!$A$2:$A$1000,$A94,'INPUT-SIF_Questions'!$N$2:$N$1000,1))</f>
        <v/>
      </c>
      <c r="O94" s="1" t="str">
        <f>IF($A94="","",COUNTIFS('INPUT-SIF_Questions'!$A$2:$A$1000,$A94,'INPUT-SIF_Questions'!$O$2:$O$1000,1))</f>
        <v/>
      </c>
      <c r="P94" s="60" t="str">
        <f t="shared" si="2"/>
        <v/>
      </c>
      <c r="Q94" s="1" t="str">
        <f>IF($A94="","",IFERROR(INDEX('INPUT-SIF_Questions'!$B$2:$B$300,MATCH($A94,'INPUT-SIF_Questions'!$A$2:$A$300,0)),""))</f>
        <v/>
      </c>
      <c r="R94" s="1" t="str">
        <f>IF($A94="","",IFERROR(INDEX('INPUT-SIF_Questions'!$C$2:$C$300,MATCH($A94,'INPUT-SIF_Questions'!$A$2:$A$300,0)),""))</f>
        <v/>
      </c>
      <c r="S94" s="1" t="str">
        <f>IF($A94="","",IFERROR(INDEX('INPUT-SIF_Questions'!$F$2:$F$300,MATCH($A94,'INPUT-SIF_Questions'!$A$2:$A$300,0)),""))</f>
        <v/>
      </c>
      <c r="T94" s="1" t="str">
        <f>IF($A94="","",IFERROR(INDEX('INPUT-SIF_Questions'!$G$2:$G$300,MATCH($A94,'INPUT-SIF_Questions'!$A$2:$A$300,0)),""))</f>
        <v/>
      </c>
      <c r="U94" s="1" t="str">
        <f>IF($A94="","",IFERROR(INDEX('INPUT-SIF_Questions'!$E$2:$E$300,MATCH($A94,'INPUT-SIF_Questions'!$A$2:$A$300,0)),""))</f>
        <v/>
      </c>
    </row>
    <row r="95" spans="2:21" ht="14.25" customHeight="1" x14ac:dyDescent="0.45">
      <c r="B95" s="1" t="str">
        <f>IF($A95="","",IFERROR(INDEX('INPUT-SIF_Questions'!$H$2:$H$1000,MATCH($A95,'INPUT-SIF_Questions'!$A$2:$A$1000,0)),""))</f>
        <v/>
      </c>
      <c r="C95" s="3" t="str">
        <f>IF($A95="","",IFERROR(INDEX('INPUT-SIF_Questions'!$I$2:$I$1000,MATCH($A95,'INPUT-SIF_Questions'!$A$2:$A$1000,0)),""))</f>
        <v/>
      </c>
      <c r="D95" s="59" t="str">
        <f>IF($A95="","",IFERROR(INDEX('INPUT-SIF_Questions'!$S$2:$S$1000,MATCH($A95,'INPUT-SIF_Questions'!$A$2:$A$1000,0)),""))</f>
        <v/>
      </c>
      <c r="E95" s="1" t="str">
        <f>IF($A95="","",IFERROR(INDEX('INPUT-SIF_Questions'!$V$2:$V$1000,MATCH($A95,'INPUT-SIF_Questions'!$A$2:$A$1000,0)),""))</f>
        <v/>
      </c>
      <c r="F95" s="1" t="str">
        <f>IF($A95="","",IFERROR(INDEX('INPUT-SIF_Questions'!$W$2:$W$1000,MATCH($A95,'INPUT-SIF_Questions'!$A$2:$A$1000,0)),""))</f>
        <v/>
      </c>
      <c r="G95" s="3" t="str">
        <f>IF($A95="","",IFERROR(INDEX('INPUT-SIF_Questions'!$X$2:$X$1000,MATCH($A95,'INPUT-SIF_Questions'!$A$2:$A$1000,0)),""))</f>
        <v/>
      </c>
      <c r="H95" s="3" t="str">
        <f>IF($A95="","",IFERROR(INDEX('INPUT-SIF_Questions'!$Y$2:$Y$1000,MATCH($A95,'INPUT-SIF_Questions'!$A$2:$A$1000,0)),""))</f>
        <v/>
      </c>
      <c r="I95" s="1" t="str">
        <f>IF($A95="","",IFERROR(INDEX('INPUT-SIF_Questions'!$Z$2:$Z$1000,MATCH($A95,'INPUT-SIF_Questions'!$A$2:$A$1000,0)),""))</f>
        <v/>
      </c>
      <c r="J95" s="1" t="str">
        <f>IF($A95="","",IFERROR(INDEX('INPUT-SIF_Questions'!$AA$2:$AA$1000,MATCH($A95,'INPUT-SIF_Questions'!$A$2:$A$1000,0)),""))</f>
        <v/>
      </c>
      <c r="K95" s="3" t="str">
        <f>IF($A95="","",IFERROR(INDEX('INPUT-SIF_Questions'!$AB$2:$AB$1000,MATCH($A95,'INPUT-SIF_Questions'!$A$2:$A$1000,0)),""))</f>
        <v/>
      </c>
      <c r="L95" s="3" t="str">
        <f>IF($A95="","",IFERROR(INDEX('INPUT-SIF_Questions'!$AC$2:$AC$1000,MATCH($A95,'INPUT-SIF_Questions'!$A$2:$A$1000,0)),""))</f>
        <v/>
      </c>
      <c r="M95" s="1" t="str">
        <f>IF($A95="","",COUNTIFS('INPUT-SIF_Questions'!$A$2:$A$1000,$A95,'INPUT-SIF_Questions'!$M$2:$M$1000,1))</f>
        <v/>
      </c>
      <c r="N95" s="1" t="str">
        <f>IF($A95="","",COUNTIFS('INPUT-SIF_Questions'!$A$2:$A$1000,$A95,'INPUT-SIF_Questions'!$N$2:$N$1000,1))</f>
        <v/>
      </c>
      <c r="O95" s="1" t="str">
        <f>IF($A95="","",COUNTIFS('INPUT-SIF_Questions'!$A$2:$A$1000,$A95,'INPUT-SIF_Questions'!$O$2:$O$1000,1))</f>
        <v/>
      </c>
      <c r="P95" s="60" t="str">
        <f t="shared" si="2"/>
        <v/>
      </c>
      <c r="Q95" s="1" t="str">
        <f>IF($A95="","",IFERROR(INDEX('INPUT-SIF_Questions'!$B$2:$B$300,MATCH($A95,'INPUT-SIF_Questions'!$A$2:$A$300,0)),""))</f>
        <v/>
      </c>
      <c r="R95" s="1" t="str">
        <f>IF($A95="","",IFERROR(INDEX('INPUT-SIF_Questions'!$C$2:$C$300,MATCH($A95,'INPUT-SIF_Questions'!$A$2:$A$300,0)),""))</f>
        <v/>
      </c>
      <c r="S95" s="1" t="str">
        <f>IF($A95="","",IFERROR(INDEX('INPUT-SIF_Questions'!$F$2:$F$300,MATCH($A95,'INPUT-SIF_Questions'!$A$2:$A$300,0)),""))</f>
        <v/>
      </c>
      <c r="T95" s="1" t="str">
        <f>IF($A95="","",IFERROR(INDEX('INPUT-SIF_Questions'!$G$2:$G$300,MATCH($A95,'INPUT-SIF_Questions'!$A$2:$A$300,0)),""))</f>
        <v/>
      </c>
      <c r="U95" s="1" t="str">
        <f>IF($A95="","",IFERROR(INDEX('INPUT-SIF_Questions'!$E$2:$E$300,MATCH($A95,'INPUT-SIF_Questions'!$A$2:$A$300,0)),""))</f>
        <v/>
      </c>
    </row>
    <row r="96" spans="2:21" ht="14.25" customHeight="1" x14ac:dyDescent="0.45">
      <c r="B96" s="1" t="str">
        <f>IF($A96="","",IFERROR(INDEX('INPUT-SIF_Questions'!$H$2:$H$1000,MATCH($A96,'INPUT-SIF_Questions'!$A$2:$A$1000,0)),""))</f>
        <v/>
      </c>
      <c r="C96" s="3" t="str">
        <f>IF($A96="","",IFERROR(INDEX('INPUT-SIF_Questions'!$I$2:$I$1000,MATCH($A96,'INPUT-SIF_Questions'!$A$2:$A$1000,0)),""))</f>
        <v/>
      </c>
      <c r="D96" s="59" t="str">
        <f>IF($A96="","",IFERROR(INDEX('INPUT-SIF_Questions'!$S$2:$S$1000,MATCH($A96,'INPUT-SIF_Questions'!$A$2:$A$1000,0)),""))</f>
        <v/>
      </c>
      <c r="E96" s="1" t="str">
        <f>IF($A96="","",IFERROR(INDEX('INPUT-SIF_Questions'!$V$2:$V$1000,MATCH($A96,'INPUT-SIF_Questions'!$A$2:$A$1000,0)),""))</f>
        <v/>
      </c>
      <c r="F96" s="1" t="str">
        <f>IF($A96="","",IFERROR(INDEX('INPUT-SIF_Questions'!$W$2:$W$1000,MATCH($A96,'INPUT-SIF_Questions'!$A$2:$A$1000,0)),""))</f>
        <v/>
      </c>
      <c r="G96" s="3" t="str">
        <f>IF($A96="","",IFERROR(INDEX('INPUT-SIF_Questions'!$X$2:$X$1000,MATCH($A96,'INPUT-SIF_Questions'!$A$2:$A$1000,0)),""))</f>
        <v/>
      </c>
      <c r="H96" s="3" t="str">
        <f>IF($A96="","",IFERROR(INDEX('INPUT-SIF_Questions'!$Y$2:$Y$1000,MATCH($A96,'INPUT-SIF_Questions'!$A$2:$A$1000,0)),""))</f>
        <v/>
      </c>
      <c r="I96" s="1" t="str">
        <f>IF($A96="","",IFERROR(INDEX('INPUT-SIF_Questions'!$Z$2:$Z$1000,MATCH($A96,'INPUT-SIF_Questions'!$A$2:$A$1000,0)),""))</f>
        <v/>
      </c>
      <c r="J96" s="1" t="str">
        <f>IF($A96="","",IFERROR(INDEX('INPUT-SIF_Questions'!$AA$2:$AA$1000,MATCH($A96,'INPUT-SIF_Questions'!$A$2:$A$1000,0)),""))</f>
        <v/>
      </c>
      <c r="K96" s="3" t="str">
        <f>IF($A96="","",IFERROR(INDEX('INPUT-SIF_Questions'!$AB$2:$AB$1000,MATCH($A96,'INPUT-SIF_Questions'!$A$2:$A$1000,0)),""))</f>
        <v/>
      </c>
      <c r="L96" s="3" t="str">
        <f>IF($A96="","",IFERROR(INDEX('INPUT-SIF_Questions'!$AC$2:$AC$1000,MATCH($A96,'INPUT-SIF_Questions'!$A$2:$A$1000,0)),""))</f>
        <v/>
      </c>
      <c r="M96" s="1" t="str">
        <f>IF($A96="","",COUNTIFS('INPUT-SIF_Questions'!$A$2:$A$1000,$A96,'INPUT-SIF_Questions'!$M$2:$M$1000,1))</f>
        <v/>
      </c>
      <c r="N96" s="1" t="str">
        <f>IF($A96="","",COUNTIFS('INPUT-SIF_Questions'!$A$2:$A$1000,$A96,'INPUT-SIF_Questions'!$N$2:$N$1000,1))</f>
        <v/>
      </c>
      <c r="O96" s="1" t="str">
        <f>IF($A96="","",COUNTIFS('INPUT-SIF_Questions'!$A$2:$A$1000,$A96,'INPUT-SIF_Questions'!$O$2:$O$1000,1))</f>
        <v/>
      </c>
      <c r="P96" s="60" t="str">
        <f t="shared" si="2"/>
        <v/>
      </c>
      <c r="Q96" s="1" t="str">
        <f>IF($A96="","",IFERROR(INDEX('INPUT-SIF_Questions'!$B$2:$B$300,MATCH($A96,'INPUT-SIF_Questions'!$A$2:$A$300,0)),""))</f>
        <v/>
      </c>
      <c r="R96" s="1" t="str">
        <f>IF($A96="","",IFERROR(INDEX('INPUT-SIF_Questions'!$C$2:$C$300,MATCH($A96,'INPUT-SIF_Questions'!$A$2:$A$300,0)),""))</f>
        <v/>
      </c>
      <c r="S96" s="1" t="str">
        <f>IF($A96="","",IFERROR(INDEX('INPUT-SIF_Questions'!$F$2:$F$300,MATCH($A96,'INPUT-SIF_Questions'!$A$2:$A$300,0)),""))</f>
        <v/>
      </c>
      <c r="T96" s="1" t="str">
        <f>IF($A96="","",IFERROR(INDEX('INPUT-SIF_Questions'!$G$2:$G$300,MATCH($A96,'INPUT-SIF_Questions'!$A$2:$A$300,0)),""))</f>
        <v/>
      </c>
      <c r="U96" s="1" t="str">
        <f>IF($A96="","",IFERROR(INDEX('INPUT-SIF_Questions'!$E$2:$E$300,MATCH($A96,'INPUT-SIF_Questions'!$A$2:$A$300,0)),""))</f>
        <v/>
      </c>
    </row>
    <row r="97" spans="2:21" ht="14.25" customHeight="1" x14ac:dyDescent="0.45">
      <c r="B97" s="1" t="str">
        <f>IF($A97="","",IFERROR(INDEX('INPUT-SIF_Questions'!$H$2:$H$1000,MATCH($A97,'INPUT-SIF_Questions'!$A$2:$A$1000,0)),""))</f>
        <v/>
      </c>
      <c r="C97" s="3" t="str">
        <f>IF($A97="","",IFERROR(INDEX('INPUT-SIF_Questions'!$I$2:$I$1000,MATCH($A97,'INPUT-SIF_Questions'!$A$2:$A$1000,0)),""))</f>
        <v/>
      </c>
      <c r="D97" s="59" t="str">
        <f>IF($A97="","",IFERROR(INDEX('INPUT-SIF_Questions'!$S$2:$S$1000,MATCH($A97,'INPUT-SIF_Questions'!$A$2:$A$1000,0)),""))</f>
        <v/>
      </c>
      <c r="E97" s="1" t="str">
        <f>IF($A97="","",IFERROR(INDEX('INPUT-SIF_Questions'!$V$2:$V$1000,MATCH($A97,'INPUT-SIF_Questions'!$A$2:$A$1000,0)),""))</f>
        <v/>
      </c>
      <c r="F97" s="1" t="str">
        <f>IF($A97="","",IFERROR(INDEX('INPUT-SIF_Questions'!$W$2:$W$1000,MATCH($A97,'INPUT-SIF_Questions'!$A$2:$A$1000,0)),""))</f>
        <v/>
      </c>
      <c r="G97" s="3" t="str">
        <f>IF($A97="","",IFERROR(INDEX('INPUT-SIF_Questions'!$X$2:$X$1000,MATCH($A97,'INPUT-SIF_Questions'!$A$2:$A$1000,0)),""))</f>
        <v/>
      </c>
      <c r="H97" s="3" t="str">
        <f>IF($A97="","",IFERROR(INDEX('INPUT-SIF_Questions'!$Y$2:$Y$1000,MATCH($A97,'INPUT-SIF_Questions'!$A$2:$A$1000,0)),""))</f>
        <v/>
      </c>
      <c r="I97" s="1" t="str">
        <f>IF($A97="","",IFERROR(INDEX('INPUT-SIF_Questions'!$Z$2:$Z$1000,MATCH($A97,'INPUT-SIF_Questions'!$A$2:$A$1000,0)),""))</f>
        <v/>
      </c>
      <c r="J97" s="1" t="str">
        <f>IF($A97="","",IFERROR(INDEX('INPUT-SIF_Questions'!$AA$2:$AA$1000,MATCH($A97,'INPUT-SIF_Questions'!$A$2:$A$1000,0)),""))</f>
        <v/>
      </c>
      <c r="K97" s="3" t="str">
        <f>IF($A97="","",IFERROR(INDEX('INPUT-SIF_Questions'!$AB$2:$AB$1000,MATCH($A97,'INPUT-SIF_Questions'!$A$2:$A$1000,0)),""))</f>
        <v/>
      </c>
      <c r="L97" s="3" t="str">
        <f>IF($A97="","",IFERROR(INDEX('INPUT-SIF_Questions'!$AC$2:$AC$1000,MATCH($A97,'INPUT-SIF_Questions'!$A$2:$A$1000,0)),""))</f>
        <v/>
      </c>
      <c r="M97" s="1" t="str">
        <f>IF($A97="","",COUNTIFS('INPUT-SIF_Questions'!$A$2:$A$1000,$A97,'INPUT-SIF_Questions'!$M$2:$M$1000,1))</f>
        <v/>
      </c>
      <c r="N97" s="1" t="str">
        <f>IF($A97="","",COUNTIFS('INPUT-SIF_Questions'!$A$2:$A$1000,$A97,'INPUT-SIF_Questions'!$N$2:$N$1000,1))</f>
        <v/>
      </c>
      <c r="O97" s="1" t="str">
        <f>IF($A97="","",COUNTIFS('INPUT-SIF_Questions'!$A$2:$A$1000,$A97,'INPUT-SIF_Questions'!$O$2:$O$1000,1))</f>
        <v/>
      </c>
      <c r="P97" s="60" t="str">
        <f t="shared" si="2"/>
        <v/>
      </c>
      <c r="Q97" s="1" t="str">
        <f>IF($A97="","",IFERROR(INDEX('INPUT-SIF_Questions'!$B$2:$B$300,MATCH($A97,'INPUT-SIF_Questions'!$A$2:$A$300,0)),""))</f>
        <v/>
      </c>
      <c r="R97" s="1" t="str">
        <f>IF($A97="","",IFERROR(INDEX('INPUT-SIF_Questions'!$C$2:$C$300,MATCH($A97,'INPUT-SIF_Questions'!$A$2:$A$300,0)),""))</f>
        <v/>
      </c>
      <c r="S97" s="1" t="str">
        <f>IF($A97="","",IFERROR(INDEX('INPUT-SIF_Questions'!$F$2:$F$300,MATCH($A97,'INPUT-SIF_Questions'!$A$2:$A$300,0)),""))</f>
        <v/>
      </c>
      <c r="T97" s="1" t="str">
        <f>IF($A97="","",IFERROR(INDEX('INPUT-SIF_Questions'!$G$2:$G$300,MATCH($A97,'INPUT-SIF_Questions'!$A$2:$A$300,0)),""))</f>
        <v/>
      </c>
      <c r="U97" s="1" t="str">
        <f>IF($A97="","",IFERROR(INDEX('INPUT-SIF_Questions'!$E$2:$E$300,MATCH($A97,'INPUT-SIF_Questions'!$A$2:$A$300,0)),""))</f>
        <v/>
      </c>
    </row>
    <row r="98" spans="2:21" ht="14.25" customHeight="1" x14ac:dyDescent="0.45">
      <c r="B98" s="1" t="str">
        <f>IF($A98="","",IFERROR(INDEX('INPUT-SIF_Questions'!$H$2:$H$1000,MATCH($A98,'INPUT-SIF_Questions'!$A$2:$A$1000,0)),""))</f>
        <v/>
      </c>
      <c r="C98" s="3" t="str">
        <f>IF($A98="","",IFERROR(INDEX('INPUT-SIF_Questions'!$I$2:$I$1000,MATCH($A98,'INPUT-SIF_Questions'!$A$2:$A$1000,0)),""))</f>
        <v/>
      </c>
      <c r="D98" s="59" t="str">
        <f>IF($A98="","",IFERROR(INDEX('INPUT-SIF_Questions'!$S$2:$S$1000,MATCH($A98,'INPUT-SIF_Questions'!$A$2:$A$1000,0)),""))</f>
        <v/>
      </c>
      <c r="E98" s="1" t="str">
        <f>IF($A98="","",IFERROR(INDEX('INPUT-SIF_Questions'!$V$2:$V$1000,MATCH($A98,'INPUT-SIF_Questions'!$A$2:$A$1000,0)),""))</f>
        <v/>
      </c>
      <c r="F98" s="1" t="str">
        <f>IF($A98="","",IFERROR(INDEX('INPUT-SIF_Questions'!$W$2:$W$1000,MATCH($A98,'INPUT-SIF_Questions'!$A$2:$A$1000,0)),""))</f>
        <v/>
      </c>
      <c r="G98" s="3" t="str">
        <f>IF($A98="","",IFERROR(INDEX('INPUT-SIF_Questions'!$X$2:$X$1000,MATCH($A98,'INPUT-SIF_Questions'!$A$2:$A$1000,0)),""))</f>
        <v/>
      </c>
      <c r="H98" s="3" t="str">
        <f>IF($A98="","",IFERROR(INDEX('INPUT-SIF_Questions'!$Y$2:$Y$1000,MATCH($A98,'INPUT-SIF_Questions'!$A$2:$A$1000,0)),""))</f>
        <v/>
      </c>
      <c r="I98" s="1" t="str">
        <f>IF($A98="","",IFERROR(INDEX('INPUT-SIF_Questions'!$Z$2:$Z$1000,MATCH($A98,'INPUT-SIF_Questions'!$A$2:$A$1000,0)),""))</f>
        <v/>
      </c>
      <c r="J98" s="1" t="str">
        <f>IF($A98="","",IFERROR(INDEX('INPUT-SIF_Questions'!$AA$2:$AA$1000,MATCH($A98,'INPUT-SIF_Questions'!$A$2:$A$1000,0)),""))</f>
        <v/>
      </c>
      <c r="K98" s="3" t="str">
        <f>IF($A98="","",IFERROR(INDEX('INPUT-SIF_Questions'!$AB$2:$AB$1000,MATCH($A98,'INPUT-SIF_Questions'!$A$2:$A$1000,0)),""))</f>
        <v/>
      </c>
      <c r="L98" s="3" t="str">
        <f>IF($A98="","",IFERROR(INDEX('INPUT-SIF_Questions'!$AC$2:$AC$1000,MATCH($A98,'INPUT-SIF_Questions'!$A$2:$A$1000,0)),""))</f>
        <v/>
      </c>
      <c r="M98" s="1" t="str">
        <f>IF($A98="","",COUNTIFS('INPUT-SIF_Questions'!$A$2:$A$1000,$A98,'INPUT-SIF_Questions'!$M$2:$M$1000,1))</f>
        <v/>
      </c>
      <c r="N98" s="1" t="str">
        <f>IF($A98="","",COUNTIFS('INPUT-SIF_Questions'!$A$2:$A$1000,$A98,'INPUT-SIF_Questions'!$N$2:$N$1000,1))</f>
        <v/>
      </c>
      <c r="O98" s="1" t="str">
        <f>IF($A98="","",COUNTIFS('INPUT-SIF_Questions'!$A$2:$A$1000,$A98,'INPUT-SIF_Questions'!$O$2:$O$1000,1))</f>
        <v/>
      </c>
      <c r="P98" s="60" t="str">
        <f t="shared" si="2"/>
        <v/>
      </c>
      <c r="Q98" s="1" t="str">
        <f>IF($A98="","",IFERROR(INDEX('INPUT-SIF_Questions'!$B$2:$B$300,MATCH($A98,'INPUT-SIF_Questions'!$A$2:$A$300,0)),""))</f>
        <v/>
      </c>
      <c r="R98" s="1" t="str">
        <f>IF($A98="","",IFERROR(INDEX('INPUT-SIF_Questions'!$C$2:$C$300,MATCH($A98,'INPUT-SIF_Questions'!$A$2:$A$300,0)),""))</f>
        <v/>
      </c>
      <c r="S98" s="1" t="str">
        <f>IF($A98="","",IFERROR(INDEX('INPUT-SIF_Questions'!$F$2:$F$300,MATCH($A98,'INPUT-SIF_Questions'!$A$2:$A$300,0)),""))</f>
        <v/>
      </c>
      <c r="T98" s="1" t="str">
        <f>IF($A98="","",IFERROR(INDEX('INPUT-SIF_Questions'!$G$2:$G$300,MATCH($A98,'INPUT-SIF_Questions'!$A$2:$A$300,0)),""))</f>
        <v/>
      </c>
      <c r="U98" s="1" t="str">
        <f>IF($A98="","",IFERROR(INDEX('INPUT-SIF_Questions'!$E$2:$E$300,MATCH($A98,'INPUT-SIF_Questions'!$A$2:$A$300,0)),""))</f>
        <v/>
      </c>
    </row>
    <row r="99" spans="2:21" ht="14.25" customHeight="1" x14ac:dyDescent="0.45">
      <c r="B99" s="1" t="str">
        <f>IF($A99="","",IFERROR(INDEX('INPUT-SIF_Questions'!$H$2:$H$1000,MATCH($A99,'INPUT-SIF_Questions'!$A$2:$A$1000,0)),""))</f>
        <v/>
      </c>
      <c r="C99" s="3" t="str">
        <f>IF($A99="","",IFERROR(INDEX('INPUT-SIF_Questions'!$I$2:$I$1000,MATCH($A99,'INPUT-SIF_Questions'!$A$2:$A$1000,0)),""))</f>
        <v/>
      </c>
      <c r="D99" s="59" t="str">
        <f>IF($A99="","",IFERROR(INDEX('INPUT-SIF_Questions'!$S$2:$S$1000,MATCH($A99,'INPUT-SIF_Questions'!$A$2:$A$1000,0)),""))</f>
        <v/>
      </c>
      <c r="E99" s="1" t="str">
        <f>IF($A99="","",IFERROR(INDEX('INPUT-SIF_Questions'!$V$2:$V$1000,MATCH($A99,'INPUT-SIF_Questions'!$A$2:$A$1000,0)),""))</f>
        <v/>
      </c>
      <c r="F99" s="1" t="str">
        <f>IF($A99="","",IFERROR(INDEX('INPUT-SIF_Questions'!$W$2:$W$1000,MATCH($A99,'INPUT-SIF_Questions'!$A$2:$A$1000,0)),""))</f>
        <v/>
      </c>
      <c r="G99" s="3" t="str">
        <f>IF($A99="","",IFERROR(INDEX('INPUT-SIF_Questions'!$X$2:$X$1000,MATCH($A99,'INPUT-SIF_Questions'!$A$2:$A$1000,0)),""))</f>
        <v/>
      </c>
      <c r="H99" s="3" t="str">
        <f>IF($A99="","",IFERROR(INDEX('INPUT-SIF_Questions'!$Y$2:$Y$1000,MATCH($A99,'INPUT-SIF_Questions'!$A$2:$A$1000,0)),""))</f>
        <v/>
      </c>
      <c r="I99" s="1" t="str">
        <f>IF($A99="","",IFERROR(INDEX('INPUT-SIF_Questions'!$Z$2:$Z$1000,MATCH($A99,'INPUT-SIF_Questions'!$A$2:$A$1000,0)),""))</f>
        <v/>
      </c>
      <c r="J99" s="1" t="str">
        <f>IF($A99="","",IFERROR(INDEX('INPUT-SIF_Questions'!$AA$2:$AA$1000,MATCH($A99,'INPUT-SIF_Questions'!$A$2:$A$1000,0)),""))</f>
        <v/>
      </c>
      <c r="K99" s="3" t="str">
        <f>IF($A99="","",IFERROR(INDEX('INPUT-SIF_Questions'!$AB$2:$AB$1000,MATCH($A99,'INPUT-SIF_Questions'!$A$2:$A$1000,0)),""))</f>
        <v/>
      </c>
      <c r="L99" s="3" t="str">
        <f>IF($A99="","",IFERROR(INDEX('INPUT-SIF_Questions'!$AC$2:$AC$1000,MATCH($A99,'INPUT-SIF_Questions'!$A$2:$A$1000,0)),""))</f>
        <v/>
      </c>
      <c r="M99" s="1" t="str">
        <f>IF($A99="","",COUNTIFS('INPUT-SIF_Questions'!$A$2:$A$1000,$A99,'INPUT-SIF_Questions'!$M$2:$M$1000,1))</f>
        <v/>
      </c>
      <c r="N99" s="1" t="str">
        <f>IF($A99="","",COUNTIFS('INPUT-SIF_Questions'!$A$2:$A$1000,$A99,'INPUT-SIF_Questions'!$N$2:$N$1000,1))</f>
        <v/>
      </c>
      <c r="O99" s="1" t="str">
        <f>IF($A99="","",COUNTIFS('INPUT-SIF_Questions'!$A$2:$A$1000,$A99,'INPUT-SIF_Questions'!$O$2:$O$1000,1))</f>
        <v/>
      </c>
      <c r="P99" s="60" t="str">
        <f t="shared" si="2"/>
        <v/>
      </c>
      <c r="Q99" s="1" t="str">
        <f>IF($A99="","",IFERROR(INDEX('INPUT-SIF_Questions'!$B$2:$B$300,MATCH($A99,'INPUT-SIF_Questions'!$A$2:$A$300,0)),""))</f>
        <v/>
      </c>
      <c r="R99" s="1" t="str">
        <f>IF($A99="","",IFERROR(INDEX('INPUT-SIF_Questions'!$C$2:$C$300,MATCH($A99,'INPUT-SIF_Questions'!$A$2:$A$300,0)),""))</f>
        <v/>
      </c>
      <c r="S99" s="1" t="str">
        <f>IF($A99="","",IFERROR(INDEX('INPUT-SIF_Questions'!$F$2:$F$300,MATCH($A99,'INPUT-SIF_Questions'!$A$2:$A$300,0)),""))</f>
        <v/>
      </c>
      <c r="T99" s="1" t="str">
        <f>IF($A99="","",IFERROR(INDEX('INPUT-SIF_Questions'!$G$2:$G$300,MATCH($A99,'INPUT-SIF_Questions'!$A$2:$A$300,0)),""))</f>
        <v/>
      </c>
      <c r="U99" s="1" t="str">
        <f>IF($A99="","",IFERROR(INDEX('INPUT-SIF_Questions'!$E$2:$E$300,MATCH($A99,'INPUT-SIF_Questions'!$A$2:$A$300,0)),""))</f>
        <v/>
      </c>
    </row>
    <row r="100" spans="2:21" ht="14.25" customHeight="1" x14ac:dyDescent="0.45">
      <c r="B100" s="1" t="str">
        <f>IF($A100="","",IFERROR(INDEX('INPUT-SIF_Questions'!$H$2:$H$1000,MATCH($A100,'INPUT-SIF_Questions'!$A$2:$A$1000,0)),""))</f>
        <v/>
      </c>
      <c r="C100" s="3" t="str">
        <f>IF($A100="","",IFERROR(INDEX('INPUT-SIF_Questions'!$I$2:$I$1000,MATCH($A100,'INPUT-SIF_Questions'!$A$2:$A$1000,0)),""))</f>
        <v/>
      </c>
      <c r="D100" s="59" t="str">
        <f>IF($A100="","",IFERROR(INDEX('INPUT-SIF_Questions'!$S$2:$S$1000,MATCH($A100,'INPUT-SIF_Questions'!$A$2:$A$1000,0)),""))</f>
        <v/>
      </c>
      <c r="E100" s="1" t="str">
        <f>IF($A100="","",IFERROR(INDEX('INPUT-SIF_Questions'!$V$2:$V$1000,MATCH($A100,'INPUT-SIF_Questions'!$A$2:$A$1000,0)),""))</f>
        <v/>
      </c>
      <c r="F100" s="1" t="str">
        <f>IF($A100="","",IFERROR(INDEX('INPUT-SIF_Questions'!$W$2:$W$1000,MATCH($A100,'INPUT-SIF_Questions'!$A$2:$A$1000,0)),""))</f>
        <v/>
      </c>
      <c r="G100" s="3" t="str">
        <f>IF($A100="","",IFERROR(INDEX('INPUT-SIF_Questions'!$X$2:$X$1000,MATCH($A100,'INPUT-SIF_Questions'!$A$2:$A$1000,0)),""))</f>
        <v/>
      </c>
      <c r="H100" s="3" t="str">
        <f>IF($A100="","",IFERROR(INDEX('INPUT-SIF_Questions'!$Y$2:$Y$1000,MATCH($A100,'INPUT-SIF_Questions'!$A$2:$A$1000,0)),""))</f>
        <v/>
      </c>
      <c r="I100" s="1" t="str">
        <f>IF($A100="","",IFERROR(INDEX('INPUT-SIF_Questions'!$Z$2:$Z$1000,MATCH($A100,'INPUT-SIF_Questions'!$A$2:$A$1000,0)),""))</f>
        <v/>
      </c>
      <c r="J100" s="1" t="str">
        <f>IF($A100="","",IFERROR(INDEX('INPUT-SIF_Questions'!$AA$2:$AA$1000,MATCH($A100,'INPUT-SIF_Questions'!$A$2:$A$1000,0)),""))</f>
        <v/>
      </c>
      <c r="K100" s="3" t="str">
        <f>IF($A100="","",IFERROR(INDEX('INPUT-SIF_Questions'!$AB$2:$AB$1000,MATCH($A100,'INPUT-SIF_Questions'!$A$2:$A$1000,0)),""))</f>
        <v/>
      </c>
      <c r="L100" s="3" t="str">
        <f>IF($A100="","",IFERROR(INDEX('INPUT-SIF_Questions'!$AC$2:$AC$1000,MATCH($A100,'INPUT-SIF_Questions'!$A$2:$A$1000,0)),""))</f>
        <v/>
      </c>
      <c r="M100" s="1" t="str">
        <f>IF($A100="","",COUNTIFS('INPUT-SIF_Questions'!$A$2:$A$1000,$A100,'INPUT-SIF_Questions'!$M$2:$M$1000,1))</f>
        <v/>
      </c>
      <c r="N100" s="1" t="str">
        <f>IF($A100="","",COUNTIFS('INPUT-SIF_Questions'!$A$2:$A$1000,$A100,'INPUT-SIF_Questions'!$N$2:$N$1000,1))</f>
        <v/>
      </c>
      <c r="O100" s="1" t="str">
        <f>IF($A100="","",COUNTIFS('INPUT-SIF_Questions'!$A$2:$A$1000,$A100,'INPUT-SIF_Questions'!$O$2:$O$1000,1))</f>
        <v/>
      </c>
      <c r="P100" s="60" t="str">
        <f t="shared" si="2"/>
        <v/>
      </c>
      <c r="Q100" s="1" t="str">
        <f>IF($A100="","",IFERROR(INDEX('INPUT-SIF_Questions'!$B$2:$B$300,MATCH($A100,'INPUT-SIF_Questions'!$A$2:$A$300,0)),""))</f>
        <v/>
      </c>
      <c r="R100" s="1" t="str">
        <f>IF($A100="","",IFERROR(INDEX('INPUT-SIF_Questions'!$C$2:$C$300,MATCH($A100,'INPUT-SIF_Questions'!$A$2:$A$300,0)),""))</f>
        <v/>
      </c>
      <c r="S100" s="1" t="str">
        <f>IF($A100="","",IFERROR(INDEX('INPUT-SIF_Questions'!$F$2:$F$300,MATCH($A100,'INPUT-SIF_Questions'!$A$2:$A$300,0)),""))</f>
        <v/>
      </c>
      <c r="T100" s="1" t="str">
        <f>IF($A100="","",IFERROR(INDEX('INPUT-SIF_Questions'!$G$2:$G$300,MATCH($A100,'INPUT-SIF_Questions'!$A$2:$A$300,0)),""))</f>
        <v/>
      </c>
      <c r="U100" s="1" t="str">
        <f>IF($A100="","",IFERROR(INDEX('INPUT-SIF_Questions'!$E$2:$E$300,MATCH($A100,'INPUT-SIF_Questions'!$A$2:$A$300,0)),""))</f>
        <v/>
      </c>
    </row>
  </sheetData>
  <dataValidations count="3">
    <dataValidation type="list" sqref="R2:R6 R12:R100" xr:uid="{00000000-0002-0000-0700-000000000000}">
      <formula1>"Procedural Drift,Skill-Based Performance Drift,Administrative Compliance Drift,Engineering / Operating Drift,Barrier Management Drift"</formula1>
      <formula2>0</formula2>
    </dataValidation>
    <dataValidation type="list" sqref="T2:T100" xr:uid="{00000000-0002-0000-0700-000001000000}">
      <formula1>"Competency / Training,Procedure / Documentation,Leadership / Supervision,Planning / Risk Assessment"</formula1>
      <formula2>0</formula2>
    </dataValidation>
    <dataValidation type="list" sqref="S2:S6 U2:U100 S12:S100" xr:uid="{00000000-0002-0000-0700-000002000000}">
      <formula1>INDIRECT(SUBSTITUTE(SUBSTITUTE(R2," ","_"),"/","_"))</formula1>
      <formula2>0</formula2>
    </dataValidation>
  </dataValidation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H6"/>
  <sheetViews>
    <sheetView zoomScaleNormal="100" workbookViewId="0"/>
  </sheetViews>
  <sheetFormatPr defaultColWidth="9.06640625" defaultRowHeight="14.25" customHeight="1" x14ac:dyDescent="0.45"/>
  <cols>
    <col min="1" max="1" width="14" style="1" customWidth="1"/>
    <col min="2" max="2" width="42" style="3" customWidth="1"/>
    <col min="3" max="4" width="13" style="1" customWidth="1"/>
    <col min="5" max="6" width="13" style="24" customWidth="1"/>
    <col min="7" max="7" width="14" style="24" customWidth="1"/>
    <col min="8" max="8" width="56" style="3" customWidth="1"/>
    <col min="9" max="16384" width="9.06640625" style="1"/>
  </cols>
  <sheetData>
    <row r="1" spans="1:8" ht="14.25" customHeight="1" x14ac:dyDescent="0.45">
      <c r="A1" s="54" t="s">
        <v>1957</v>
      </c>
      <c r="B1" s="54" t="s">
        <v>1958</v>
      </c>
      <c r="C1" s="54" t="s">
        <v>1959</v>
      </c>
      <c r="D1" s="54" t="s">
        <v>1960</v>
      </c>
      <c r="E1" s="54" t="s">
        <v>1961</v>
      </c>
      <c r="F1" s="54" t="s">
        <v>1962</v>
      </c>
      <c r="G1" s="54" t="s">
        <v>1963</v>
      </c>
      <c r="H1" s="54" t="s">
        <v>1964</v>
      </c>
    </row>
    <row r="2" spans="1:8" ht="14.25" customHeight="1" x14ac:dyDescent="0.45">
      <c r="A2" s="2" t="s">
        <v>1965</v>
      </c>
      <c r="B2" s="18" t="s">
        <v>1966</v>
      </c>
      <c r="C2" s="61">
        <f>--(COUNTIF('ANALYZE-CONFORMANCE_SCORE'!$B$2:$B$100,"T&amp;E")&gt;0)+--(COUNTIF('ANALYZE-CONFORMANCE_SCORE'!$B$2:$B$100,"LoF")&gt;0)+--(COUNTIF('ANALYZE-CONFORMANCE_SCORE'!$B$2:$B$100,"HW")&gt;0)+--(COUNTIF('ANALYZE-CONFORMANCE_SCORE'!$B$2:$B$100,"CSE")&gt;0)+--(COUNTIF('ANALYZE-CONFORMANCE_SCORE'!$B$2:$B$100,"IHE")&gt;0)+--(COUNTIF('ANALYZE-CONFORMANCE_SCORE'!$B$2:$B$100,"L&amp;R")&gt;0)+--(COUNTIF('ANALYZE-CONFORMANCE_SCORE'!$B$2:$B$100,"WAH")&gt;0)+--(COUNTIF('ANALYZE-CONFORMANCE_SCORE'!$B$2:$B$100,"GD")&gt;0)+--(COUNTIF('ANALYZE-CONFORMANCE_SCORE'!$B$2:$B$100,"WBA")&gt;0)+--(COUNTIF('ANALYZE-CONFORMANCE_SCORE'!$B$2:$B$100,"LT")&gt;0)</f>
        <v>7</v>
      </c>
      <c r="D2" s="2">
        <v>10</v>
      </c>
      <c r="E2" s="58">
        <f>IFERROR(C2/D2,0)</f>
        <v>0.7</v>
      </c>
      <c r="F2" s="58">
        <v>1</v>
      </c>
      <c r="G2" s="2" t="str">
        <f>IF(E2&gt;=F2,"On Target","Gap")</f>
        <v>Gap</v>
      </c>
      <c r="H2" s="18" t="str">
        <f>C2&amp;"/"&amp;D2&amp;" CLSR Verified"</f>
        <v>7/10 CLSR Verified</v>
      </c>
    </row>
    <row r="3" spans="1:8" ht="14.25" customHeight="1" x14ac:dyDescent="0.45">
      <c r="A3" s="2" t="s">
        <v>1967</v>
      </c>
      <c r="B3" s="18" t="s">
        <v>1968</v>
      </c>
      <c r="C3" s="61">
        <v>43</v>
      </c>
      <c r="D3" s="2">
        <v>77</v>
      </c>
      <c r="E3" s="58">
        <f>IFERROR(C3/D3,0)</f>
        <v>0.55844155844155841</v>
      </c>
      <c r="F3" s="58">
        <v>1</v>
      </c>
      <c r="G3" s="2" t="str">
        <f>IF(E3&gt;=F3,"On Target","Gap")</f>
        <v>Gap</v>
      </c>
      <c r="H3" s="18" t="str">
        <f>C3&amp;"/"&amp;D3&amp;" Critical Safeguards Applicable Verified"</f>
        <v>43/77 Critical Safeguards Applicable Verified</v>
      </c>
    </row>
    <row r="4" spans="1:8" ht="14.25" customHeight="1" x14ac:dyDescent="0.45">
      <c r="A4" s="62" t="s">
        <v>1969</v>
      </c>
      <c r="B4" s="63" t="s">
        <v>1970</v>
      </c>
      <c r="C4" s="2"/>
      <c r="D4" s="2"/>
      <c r="E4" s="58"/>
      <c r="F4" s="58">
        <v>1</v>
      </c>
      <c r="G4" s="2" t="s">
        <v>1971</v>
      </c>
      <c r="H4" s="18" t="s">
        <v>1972</v>
      </c>
    </row>
    <row r="5" spans="1:8" ht="14.25" customHeight="1" x14ac:dyDescent="0.45">
      <c r="A5" s="64" t="s">
        <v>1973</v>
      </c>
      <c r="B5" s="65" t="s">
        <v>1974</v>
      </c>
      <c r="C5" s="2">
        <f>SUMIFS('ANALYZE-CONFORMANCE_SCORE'!$M$2:$M$100,'ANALYZE-CONFORMANCE_SCORE'!$T$2:$T$100,"Y")</f>
        <v>83</v>
      </c>
      <c r="D5" s="2">
        <f>SUMIFS('ANALYZE-CONFORMANCE_SCORE'!$M$2:$M$100,'ANALYZE-CONFORMANCE_SCORE'!$T$2:$T$100,"Y")+SUMIFS('ANALYZE-CONFORMANCE_SCORE'!$N$2:$N$100,'ANALYZE-CONFORMANCE_SCORE'!$T$2:$T$100,"Y")</f>
        <v>160</v>
      </c>
      <c r="E5" s="58">
        <f>IFERROR(C5/D5,0)</f>
        <v>0.51875000000000004</v>
      </c>
      <c r="F5" s="58">
        <v>1</v>
      </c>
      <c r="G5" s="2" t="str">
        <f>IF(E5&gt;=F5,"On Target","Gap")</f>
        <v>Gap</v>
      </c>
      <c r="H5" s="18" t="s">
        <v>1975</v>
      </c>
    </row>
    <row r="6" spans="1:8" ht="14.25" customHeight="1" x14ac:dyDescent="0.45">
      <c r="A6" s="24"/>
      <c r="C6" s="24"/>
      <c r="D6" s="24"/>
      <c r="E6" s="66"/>
      <c r="F6" s="66"/>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C10"/>
  <sheetViews>
    <sheetView zoomScaleNormal="100" workbookViewId="0"/>
  </sheetViews>
  <sheetFormatPr defaultColWidth="8.6640625" defaultRowHeight="14.25" customHeight="1" x14ac:dyDescent="0.45"/>
  <cols>
    <col min="1" max="1" width="44" style="4" customWidth="1"/>
    <col min="2" max="2" width="30" style="24" customWidth="1"/>
    <col min="3" max="3" width="40" style="4" customWidth="1"/>
  </cols>
  <sheetData>
    <row r="1" spans="1:3" ht="14.25" customHeight="1" x14ac:dyDescent="0.45">
      <c r="A1" s="54" t="s">
        <v>1976</v>
      </c>
      <c r="B1" s="54" t="s">
        <v>1977</v>
      </c>
      <c r="C1" s="54" t="s">
        <v>1964</v>
      </c>
    </row>
    <row r="2" spans="1:3" ht="14.25" customHeight="1" x14ac:dyDescent="0.45">
      <c r="A2" s="27" t="s">
        <v>1978</v>
      </c>
      <c r="B2" s="2">
        <v>23</v>
      </c>
      <c r="C2" s="27" t="s">
        <v>1979</v>
      </c>
    </row>
    <row r="3" spans="1:3" ht="14.25" customHeight="1" x14ac:dyDescent="0.45">
      <c r="A3" s="27" t="s">
        <v>1980</v>
      </c>
      <c r="B3" s="67" t="str">
        <f>'ANALYZE-EXECUTIVE_MEASURES'!C2&amp;" / "&amp;'ANALYZE-EXECUTIVE_MEASURES'!D2</f>
        <v>7 / 10</v>
      </c>
      <c r="C3" s="27" t="s">
        <v>1981</v>
      </c>
    </row>
    <row r="4" spans="1:3" ht="14.25" customHeight="1" x14ac:dyDescent="0.45">
      <c r="A4" s="27" t="s">
        <v>1982</v>
      </c>
      <c r="B4" s="2" t="str">
        <f>'ANALYZE-EXECUTIVE_MEASURES'!C3&amp;" / "&amp;'ANALYZE-EXECUTIVE_MEASURES'!D3</f>
        <v>43 / 77</v>
      </c>
      <c r="C4" s="27" t="s">
        <v>1983</v>
      </c>
    </row>
    <row r="5" spans="1:3" ht="14.25" customHeight="1" x14ac:dyDescent="0.45">
      <c r="A5" s="4" t="s">
        <v>1974</v>
      </c>
      <c r="B5" s="66">
        <f>'ANALYZE-EXECUTIVE_MEASURES'!E5</f>
        <v>0.51875000000000004</v>
      </c>
      <c r="C5" s="4" t="s">
        <v>1984</v>
      </c>
    </row>
    <row r="6" spans="1:3" ht="14.25" customHeight="1" x14ac:dyDescent="0.45">
      <c r="B6" s="66"/>
    </row>
    <row r="7" spans="1:3" ht="14.25" customHeight="1" x14ac:dyDescent="0.45">
      <c r="A7" s="27" t="s">
        <v>1985</v>
      </c>
      <c r="B7" s="2" t="s">
        <v>1986</v>
      </c>
      <c r="C7" s="27" t="s">
        <v>1987</v>
      </c>
    </row>
    <row r="8" spans="1:3" ht="14.25" customHeight="1" x14ac:dyDescent="0.45">
      <c r="A8" s="27" t="s">
        <v>1988</v>
      </c>
      <c r="B8" s="2" t="s">
        <v>1989</v>
      </c>
      <c r="C8" s="27" t="s">
        <v>1990</v>
      </c>
    </row>
    <row r="9" spans="1:3" ht="14.25" customHeight="1" x14ac:dyDescent="0.45">
      <c r="A9" s="27" t="s">
        <v>1991</v>
      </c>
      <c r="B9" s="2">
        <v>9</v>
      </c>
      <c r="C9" s="27" t="s">
        <v>1992</v>
      </c>
    </row>
    <row r="10" spans="1:3" ht="14.25" customHeight="1" x14ac:dyDescent="0.45">
      <c r="A10" s="27" t="s">
        <v>1993</v>
      </c>
      <c r="B10" s="2" t="str">
        <f>IF(COUNTIF('INPUT-SIF_Questions'!$V$2:$V$1000,14)=0,"Zona 14","None")</f>
        <v>Zona 14</v>
      </c>
      <c r="C10" s="27" t="s">
        <v>1994</v>
      </c>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O11"/>
  <sheetViews>
    <sheetView zoomScaleNormal="100" workbookViewId="0">
      <selection activeCell="C16" sqref="C16"/>
    </sheetView>
  </sheetViews>
  <sheetFormatPr defaultColWidth="8.6640625" defaultRowHeight="14.25" customHeight="1" x14ac:dyDescent="0.45"/>
  <cols>
    <col min="1" max="1" width="9" style="24" customWidth="1"/>
    <col min="2" max="2" width="12" style="68" customWidth="1"/>
    <col min="3" max="3" width="42" style="68" customWidth="1"/>
    <col min="4" max="4" width="15" style="24" customWidth="1"/>
    <col min="5" max="5" width="22" style="24" customWidth="1"/>
    <col min="6" max="6" width="15" style="24" customWidth="1"/>
    <col min="7" max="7" width="22" style="24" customWidth="1"/>
    <col min="8" max="8" width="15" style="24" customWidth="1"/>
    <col min="9" max="9" width="22" style="24" customWidth="1"/>
    <col min="10" max="10" width="15" style="24" customWidth="1"/>
    <col min="11" max="11" width="22" style="24" customWidth="1"/>
    <col min="12" max="12" width="18" style="24" customWidth="1"/>
    <col min="13" max="13" width="22" style="24" customWidth="1"/>
    <col min="15" max="15" width="90" style="4" customWidth="1"/>
  </cols>
  <sheetData>
    <row r="1" spans="1:15" ht="14.25" customHeight="1" x14ac:dyDescent="0.45">
      <c r="A1" s="54" t="s">
        <v>1995</v>
      </c>
      <c r="B1" s="54" t="s">
        <v>1996</v>
      </c>
      <c r="C1" s="69" t="s">
        <v>1997</v>
      </c>
      <c r="D1" s="54" t="s">
        <v>1998</v>
      </c>
      <c r="E1" s="54" t="s">
        <v>1999</v>
      </c>
      <c r="F1" s="54" t="s">
        <v>2000</v>
      </c>
      <c r="G1" s="54" t="s">
        <v>2001</v>
      </c>
      <c r="H1" s="54" t="s">
        <v>2002</v>
      </c>
      <c r="I1" s="54" t="s">
        <v>2003</v>
      </c>
      <c r="J1" s="54" t="s">
        <v>2004</v>
      </c>
      <c r="K1" s="54" t="s">
        <v>2005</v>
      </c>
      <c r="L1" s="54" t="s">
        <v>2006</v>
      </c>
      <c r="M1" s="54" t="s">
        <v>2007</v>
      </c>
      <c r="O1" s="4" t="s">
        <v>2008</v>
      </c>
    </row>
    <row r="2" spans="1:15" ht="14.25" customHeight="1" x14ac:dyDescent="0.45">
      <c r="A2" s="2">
        <v>1</v>
      </c>
      <c r="B2" s="18" t="s">
        <v>996</v>
      </c>
      <c r="C2" s="18" t="s">
        <v>426</v>
      </c>
      <c r="D2" s="58" t="str">
        <f>IFERROR(SUMIFS('INPUT-SIF_Questions'!$M$2:$M$300,'INPUT-SIF_Questions'!$H$2:$H$300,"T&amp;E",'INPUT-SIF_Questions'!$V$2:$V$300,11,'INPUT-SIF_Questions'!$G$2:$G$300,"Y")/(SUMIFS('INPUT-SIF_Questions'!$M$2:$M$300,'INPUT-SIF_Questions'!$H$2:$H$300,"T&amp;E",'INPUT-SIF_Questions'!$V$2:$V$300,11,'INPUT-SIF_Questions'!$G$2:$G$300,"Y")+SUMIFS('INPUT-SIF_Questions'!$N$2:$N$300,'INPUT-SIF_Questions'!$H$2:$H$300,"T&amp;E",'INPUT-SIF_Questions'!$V$2:$V$300,11,'INPUT-SIF_Questions'!$G$2:$G$300,"Y")),"")</f>
        <v/>
      </c>
      <c r="E2" s="2" t="str">
        <f t="shared" ref="E2:E11" si="0">IF(D2="","No Data",IF(D2&gt;=80%,"Effective",IF(D2&gt;=50%,"Degraded","Failed / High Concern")))</f>
        <v>No Data</v>
      </c>
      <c r="F2" s="58">
        <f>IFERROR(SUMIFS('INPUT-SIF_Questions'!$M$2:$M$300,'INPUT-SIF_Questions'!$H$2:$H$300,"T&amp;E",'INPUT-SIF_Questions'!$V$2:$V$300,12,'INPUT-SIF_Questions'!$G$2:$G$300,"Y")/(SUMIFS('INPUT-SIF_Questions'!$M$2:$M$300,'INPUT-SIF_Questions'!$H$2:$H$300,"T&amp;E",'INPUT-SIF_Questions'!$V$2:$V$300,12,'INPUT-SIF_Questions'!$G$2:$G$300,"Y")+SUMIFS('INPUT-SIF_Questions'!$N$2:$N$300,'INPUT-SIF_Questions'!$H$2:$H$300,"T&amp;E",'INPUT-SIF_Questions'!$V$2:$V$300,12,'INPUT-SIF_Questions'!$G$2:$G$300,"Y")),"")</f>
        <v>1</v>
      </c>
      <c r="G2" s="2" t="str">
        <f t="shared" ref="G2:G11" si="1">IF(F2="","No Data",IF(F2&gt;=80%,"Effective",IF(F2&gt;=50%,"Degraded","Failed / High Concern")))</f>
        <v>Effective</v>
      </c>
      <c r="H2" s="58" t="str">
        <f>IFERROR(SUMIFS('INPUT-SIF_Questions'!$M$2:$M$300,'INPUT-SIF_Questions'!$H$2:$H$300,"T&amp;E",'INPUT-SIF_Questions'!$V$2:$V$300,13,'INPUT-SIF_Questions'!$G$2:$G$300,"Y")/(SUMIFS('INPUT-SIF_Questions'!$M$2:$M$300,'INPUT-SIF_Questions'!$H$2:$H$300,"T&amp;E",'INPUT-SIF_Questions'!$V$2:$V$300,13,'INPUT-SIF_Questions'!$G$2:$G$300,"Y")+SUMIFS('INPUT-SIF_Questions'!$N$2:$N$300,'INPUT-SIF_Questions'!$H$2:$H$300,"T&amp;E",'INPUT-SIF_Questions'!$V$2:$V$300,13,'INPUT-SIF_Questions'!$G$2:$G$300,"Y")),"")</f>
        <v/>
      </c>
      <c r="I2" s="24" t="str">
        <f t="shared" ref="I2:I11" si="2">IF(H2="","No Data",IF(H2&gt;=80%,"Effective",IF(H2&gt;=50%,"Degraded","Failed / High Concern")))</f>
        <v>No Data</v>
      </c>
      <c r="J2" s="66" t="str">
        <f>IFERROR(SUMIFS('INPUT-SIF_Questions'!$M$2:$M$300,'INPUT-SIF_Questions'!$H$2:$H$300,"T&amp;E",'INPUT-SIF_Questions'!$V$2:$V$300,14,'INPUT-SIF_Questions'!$G$2:$G$300,"Y")/(SUMIFS('INPUT-SIF_Questions'!$M$2:$M$300,'INPUT-SIF_Questions'!$H$2:$H$300,"T&amp;E",'INPUT-SIF_Questions'!$V$2:$V$300,14,'INPUT-SIF_Questions'!$G$2:$G$300,"Y")+SUMIFS('INPUT-SIF_Questions'!$N$2:$N$300,'INPUT-SIF_Questions'!$H$2:$H$300,"T&amp;E",'INPUT-SIF_Questions'!$V$2:$V$300,14,'INPUT-SIF_Questions'!$G$2:$G$300,"Y")),"")</f>
        <v/>
      </c>
      <c r="K2" s="24" t="str">
        <f t="shared" ref="K2:K11" si="3">IF(J2="","No Data",IF(J2&gt;=80%,"Effective",IF(J2&gt;=50%,"Degraded","Failed / High Concern")))</f>
        <v>No Data</v>
      </c>
      <c r="L2" s="66">
        <f>IFERROR(SUMIFS('INPUT-SIF_Questions'!$M$2:$M$300,'INPUT-SIF_Questions'!$H$2:$H$300,"T&amp;E",'INPUT-SIF_Questions'!$G$2:$G$300,"Y")/(SUMIFS('INPUT-SIF_Questions'!$M$2:$M$300,'INPUT-SIF_Questions'!$H$2:$H$300,"T&amp;E",'INPUT-SIF_Questions'!$G$2:$G$300,"Y")+SUMIFS('INPUT-SIF_Questions'!$N$2:$N$300,'INPUT-SIF_Questions'!$H$2:$H$300,"T&amp;E",'INPUT-SIF_Questions'!$G$2:$G$300,"Y")),"")</f>
        <v>1</v>
      </c>
      <c r="M2" s="24" t="str">
        <f t="shared" ref="M2:M11" si="4">IF(L2="","No Data",IF(L2&gt;=80%,"Effective",IF(L2&gt;=50%,"Degraded","Failed / High Concern")))</f>
        <v>Effective</v>
      </c>
      <c r="O2" s="4" t="s">
        <v>2009</v>
      </c>
    </row>
    <row r="3" spans="1:15" ht="14.25" customHeight="1" x14ac:dyDescent="0.45">
      <c r="A3" s="2">
        <v>2</v>
      </c>
      <c r="B3" s="18" t="s">
        <v>1002</v>
      </c>
      <c r="C3" s="18" t="s">
        <v>154</v>
      </c>
      <c r="D3" s="58" t="str">
        <f>IFERROR(SUMIFS('INPUT-SIF_Questions'!$M$2:$M$300,'INPUT-SIF_Questions'!$H$2:$H$300,"LoF",'INPUT-SIF_Questions'!$V$2:$V$300,11,'INPUT-SIF_Questions'!$G$2:$G$300,"Y")/(SUMIFS('INPUT-SIF_Questions'!$M$2:$M$300,'INPUT-SIF_Questions'!$H$2:$H$300,"LoF",'INPUT-SIF_Questions'!$V$2:$V$300,11,'INPUT-SIF_Questions'!$G$2:$G$300,"Y")+SUMIFS('INPUT-SIF_Questions'!$N$2:$N$300,'INPUT-SIF_Questions'!$H$2:$H$300,"LoF",'INPUT-SIF_Questions'!$V$2:$V$300,11,'INPUT-SIF_Questions'!$G$2:$G$300,"Y")),"")</f>
        <v/>
      </c>
      <c r="E3" s="2" t="str">
        <f t="shared" si="0"/>
        <v>No Data</v>
      </c>
      <c r="F3" s="58">
        <f>IFERROR(SUMIFS('INPUT-SIF_Questions'!$M$2:$M$300,'INPUT-SIF_Questions'!$H$2:$H$300,"LoF",'INPUT-SIF_Questions'!$V$2:$V$300,12,'INPUT-SIF_Questions'!$G$2:$G$300,"Y")/(SUMIFS('INPUT-SIF_Questions'!$M$2:$M$300,'INPUT-SIF_Questions'!$H$2:$H$300,"LoF",'INPUT-SIF_Questions'!$V$2:$V$300,12,'INPUT-SIF_Questions'!$G$2:$G$300,"Y")+SUMIFS('INPUT-SIF_Questions'!$N$2:$N$300,'INPUT-SIF_Questions'!$H$2:$H$300,"LoF",'INPUT-SIF_Questions'!$V$2:$V$300,12,'INPUT-SIF_Questions'!$G$2:$G$300,"Y")),"")</f>
        <v>0.33333333333333331</v>
      </c>
      <c r="G3" s="2" t="str">
        <f t="shared" si="1"/>
        <v>Failed / High Concern</v>
      </c>
      <c r="H3" s="58" t="str">
        <f>IFERROR(SUMIFS('INPUT-SIF_Questions'!$M$2:$M$300,'INPUT-SIF_Questions'!$H$2:$H$300,"LoF",'INPUT-SIF_Questions'!$V$2:$V$300,13,'INPUT-SIF_Questions'!$G$2:$G$300,"Y")/(SUMIFS('INPUT-SIF_Questions'!$M$2:$M$300,'INPUT-SIF_Questions'!$H$2:$H$300,"LoF",'INPUT-SIF_Questions'!$V$2:$V$300,13,'INPUT-SIF_Questions'!$G$2:$G$300,"Y")+SUMIFS('INPUT-SIF_Questions'!$N$2:$N$300,'INPUT-SIF_Questions'!$H$2:$H$300,"LoF",'INPUT-SIF_Questions'!$V$2:$V$300,13,'INPUT-SIF_Questions'!$G$2:$G$300,"Y")),"")</f>
        <v/>
      </c>
      <c r="I3" s="24" t="str">
        <f t="shared" si="2"/>
        <v>No Data</v>
      </c>
      <c r="J3" s="66" t="str">
        <f>IFERROR(SUMIFS('INPUT-SIF_Questions'!$M$2:$M$300,'INPUT-SIF_Questions'!$H$2:$H$300,"LoF",'INPUT-SIF_Questions'!$V$2:$V$300,14,'INPUT-SIF_Questions'!$G$2:$G$300,"Y")/(SUMIFS('INPUT-SIF_Questions'!$M$2:$M$300,'INPUT-SIF_Questions'!$H$2:$H$300,"LoF",'INPUT-SIF_Questions'!$V$2:$V$300,14,'INPUT-SIF_Questions'!$G$2:$G$300,"Y")+SUMIFS('INPUT-SIF_Questions'!$N$2:$N$300,'INPUT-SIF_Questions'!$H$2:$H$300,"LoF",'INPUT-SIF_Questions'!$V$2:$V$300,14,'INPUT-SIF_Questions'!$G$2:$G$300,"Y")),"")</f>
        <v/>
      </c>
      <c r="K3" s="24" t="str">
        <f t="shared" si="3"/>
        <v>No Data</v>
      </c>
      <c r="L3" s="66">
        <f>IFERROR(SUMIFS('INPUT-SIF_Questions'!$M$2:$M$300,'INPUT-SIF_Questions'!$H$2:$H$300,"LoF",'INPUT-SIF_Questions'!$G$2:$G$300,"Y")/(SUMIFS('INPUT-SIF_Questions'!$M$2:$M$300,'INPUT-SIF_Questions'!$H$2:$H$300,"LoF",'INPUT-SIF_Questions'!$G$2:$G$300,"Y")+SUMIFS('INPUT-SIF_Questions'!$N$2:$N$300,'INPUT-SIF_Questions'!$H$2:$H$300,"LoF",'INPUT-SIF_Questions'!$G$2:$G$300,"Y")),"")</f>
        <v>0.33333333333333331</v>
      </c>
      <c r="M3" s="24" t="str">
        <f t="shared" si="4"/>
        <v>Failed / High Concern</v>
      </c>
      <c r="O3" s="4" t="s">
        <v>2010</v>
      </c>
    </row>
    <row r="4" spans="1:15" ht="14.25" customHeight="1" x14ac:dyDescent="0.45">
      <c r="A4" s="2">
        <v>3</v>
      </c>
      <c r="B4" s="18" t="s">
        <v>1007</v>
      </c>
      <c r="C4" s="18" t="s">
        <v>1008</v>
      </c>
      <c r="D4" s="58">
        <f>IFERROR(SUMIFS('INPUT-SIF_Questions'!$M$2:$M$300,'INPUT-SIF_Questions'!$H$2:$H$300,"HW",'INPUT-SIF_Questions'!$V$2:$V$300,11,'INPUT-SIF_Questions'!$G$2:$G$300,"Y")/(SUMIFS('INPUT-SIF_Questions'!$M$2:$M$300,'INPUT-SIF_Questions'!$H$2:$H$300,"HW",'INPUT-SIF_Questions'!$V$2:$V$300,11,'INPUT-SIF_Questions'!$G$2:$G$300,"Y")+SUMIFS('INPUT-SIF_Questions'!$N$2:$N$300,'INPUT-SIF_Questions'!$H$2:$H$300,"HW",'INPUT-SIF_Questions'!$V$2:$V$300,11,'INPUT-SIF_Questions'!$G$2:$G$300,"Y")),"")</f>
        <v>0.42857142857142855</v>
      </c>
      <c r="E4" s="2" t="str">
        <f t="shared" si="0"/>
        <v>Failed / High Concern</v>
      </c>
      <c r="F4" s="58">
        <f>IFERROR(SUMIFS('INPUT-SIF_Questions'!$M$2:$M$300,'INPUT-SIF_Questions'!$H$2:$H$300,"HW",'INPUT-SIF_Questions'!$V$2:$V$300,12,'INPUT-SIF_Questions'!$G$2:$G$300,"Y")/(SUMIFS('INPUT-SIF_Questions'!$M$2:$M$300,'INPUT-SIF_Questions'!$H$2:$H$300,"HW",'INPUT-SIF_Questions'!$V$2:$V$300,12,'INPUT-SIF_Questions'!$G$2:$G$300,"Y")+SUMIFS('INPUT-SIF_Questions'!$N$2:$N$300,'INPUT-SIF_Questions'!$H$2:$H$300,"HW",'INPUT-SIF_Questions'!$V$2:$V$300,12,'INPUT-SIF_Questions'!$G$2:$G$300,"Y")),"")</f>
        <v>0.75</v>
      </c>
      <c r="G4" s="2" t="str">
        <f t="shared" si="1"/>
        <v>Degraded</v>
      </c>
      <c r="H4" s="58" t="str">
        <f>IFERROR(SUMIFS('INPUT-SIF_Questions'!$M$2:$M$300,'INPUT-SIF_Questions'!$H$2:$H$300,"HW",'INPUT-SIF_Questions'!$V$2:$V$300,13,'INPUT-SIF_Questions'!$G$2:$G$300,"Y")/(SUMIFS('INPUT-SIF_Questions'!$M$2:$M$300,'INPUT-SIF_Questions'!$H$2:$H$300,"HW",'INPUT-SIF_Questions'!$V$2:$V$300,13,'INPUT-SIF_Questions'!$G$2:$G$300,"Y")+SUMIFS('INPUT-SIF_Questions'!$N$2:$N$300,'INPUT-SIF_Questions'!$H$2:$H$300,"HW",'INPUT-SIF_Questions'!$V$2:$V$300,13,'INPUT-SIF_Questions'!$G$2:$G$300,"Y")),"")</f>
        <v/>
      </c>
      <c r="I4" s="24" t="str">
        <f t="shared" si="2"/>
        <v>No Data</v>
      </c>
      <c r="J4" s="66" t="str">
        <f>IFERROR(SUMIFS('INPUT-SIF_Questions'!$M$2:$M$300,'INPUT-SIF_Questions'!$H$2:$H$300,"HW",'INPUT-SIF_Questions'!$V$2:$V$300,14,'INPUT-SIF_Questions'!$G$2:$G$300,"Y")/(SUMIFS('INPUT-SIF_Questions'!$M$2:$M$300,'INPUT-SIF_Questions'!$H$2:$H$300,"HW",'INPUT-SIF_Questions'!$V$2:$V$300,14,'INPUT-SIF_Questions'!$G$2:$G$300,"Y")+SUMIFS('INPUT-SIF_Questions'!$N$2:$N$300,'INPUT-SIF_Questions'!$H$2:$H$300,"HW",'INPUT-SIF_Questions'!$V$2:$V$300,14,'INPUT-SIF_Questions'!$G$2:$G$300,"Y")),"")</f>
        <v/>
      </c>
      <c r="K4" s="24" t="str">
        <f t="shared" si="3"/>
        <v>No Data</v>
      </c>
      <c r="L4" s="66">
        <f>IFERROR(SUMIFS('INPUT-SIF_Questions'!$M$2:$M$300,'INPUT-SIF_Questions'!$H$2:$H$300,"HW",'INPUT-SIF_Questions'!$G$2:$G$300,"Y")/(SUMIFS('INPUT-SIF_Questions'!$M$2:$M$300,'INPUT-SIF_Questions'!$H$2:$H$300,"HW",'INPUT-SIF_Questions'!$G$2:$G$300,"Y")+SUMIFS('INPUT-SIF_Questions'!$N$2:$N$300,'INPUT-SIF_Questions'!$H$2:$H$300,"HW",'INPUT-SIF_Questions'!$G$2:$G$300,"Y")),"")</f>
        <v>0.54545454545454541</v>
      </c>
      <c r="M4" s="24" t="str">
        <f t="shared" si="4"/>
        <v>Degraded</v>
      </c>
    </row>
    <row r="5" spans="1:15" ht="14.25" customHeight="1" x14ac:dyDescent="0.45">
      <c r="A5" s="2">
        <v>4</v>
      </c>
      <c r="B5" s="18" t="s">
        <v>1016</v>
      </c>
      <c r="C5" s="18" t="s">
        <v>1017</v>
      </c>
      <c r="D5" s="58">
        <f>IFERROR(SUMIFS('INPUT-SIF_Questions'!$M$2:$M$300,'INPUT-SIF_Questions'!$H$2:$H$300,"CSE",'INPUT-SIF_Questions'!$V$2:$V$300,11,'INPUT-SIF_Questions'!$G$2:$G$300,"Y")/(SUMIFS('INPUT-SIF_Questions'!$M$2:$M$300,'INPUT-SIF_Questions'!$H$2:$H$300,"CSE",'INPUT-SIF_Questions'!$V$2:$V$300,11,'INPUT-SIF_Questions'!$G$2:$G$300,"Y")+SUMIFS('INPUT-SIF_Questions'!$N$2:$N$300,'INPUT-SIF_Questions'!$H$2:$H$300,"CSE",'INPUT-SIF_Questions'!$V$2:$V$300,11,'INPUT-SIF_Questions'!$G$2:$G$300,"Y")),"")</f>
        <v>0.6</v>
      </c>
      <c r="E5" s="2" t="str">
        <f t="shared" si="0"/>
        <v>Degraded</v>
      </c>
      <c r="F5" s="58">
        <f>IFERROR(SUMIFS('INPUT-SIF_Questions'!$M$2:$M$300,'INPUT-SIF_Questions'!$H$2:$H$300,"CSE",'INPUT-SIF_Questions'!$V$2:$V$300,12,'INPUT-SIF_Questions'!$G$2:$G$300,"Y")/(SUMIFS('INPUT-SIF_Questions'!$M$2:$M$300,'INPUT-SIF_Questions'!$H$2:$H$300,"CSE",'INPUT-SIF_Questions'!$V$2:$V$300,12,'INPUT-SIF_Questions'!$G$2:$G$300,"Y")+SUMIFS('INPUT-SIF_Questions'!$N$2:$N$300,'INPUT-SIF_Questions'!$H$2:$H$300,"CSE",'INPUT-SIF_Questions'!$V$2:$V$300,12,'INPUT-SIF_Questions'!$G$2:$G$300,"Y")),"")</f>
        <v>0.5</v>
      </c>
      <c r="G5" s="2" t="str">
        <f t="shared" si="1"/>
        <v>Degraded</v>
      </c>
      <c r="H5" s="58" t="str">
        <f>IFERROR(SUMIFS('INPUT-SIF_Questions'!$M$2:$M$300,'INPUT-SIF_Questions'!$H$2:$H$300,"CSE",'INPUT-SIF_Questions'!$V$2:$V$300,13,'INPUT-SIF_Questions'!$G$2:$G$300,"Y")/(SUMIFS('INPUT-SIF_Questions'!$M$2:$M$300,'INPUT-SIF_Questions'!$H$2:$H$300,"CSE",'INPUT-SIF_Questions'!$V$2:$V$300,13,'INPUT-SIF_Questions'!$G$2:$G$300,"Y")+SUMIFS('INPUT-SIF_Questions'!$N$2:$N$300,'INPUT-SIF_Questions'!$H$2:$H$300,"CSE",'INPUT-SIF_Questions'!$V$2:$V$300,13,'INPUT-SIF_Questions'!$G$2:$G$300,"Y")),"")</f>
        <v/>
      </c>
      <c r="I5" s="24" t="str">
        <f t="shared" si="2"/>
        <v>No Data</v>
      </c>
      <c r="J5" s="66" t="str">
        <f>IFERROR(SUMIFS('INPUT-SIF_Questions'!$M$2:$M$300,'INPUT-SIF_Questions'!$H$2:$H$300,"CSE",'INPUT-SIF_Questions'!$V$2:$V$300,14,'INPUT-SIF_Questions'!$G$2:$G$300,"Y")/(SUMIFS('INPUT-SIF_Questions'!$M$2:$M$300,'INPUT-SIF_Questions'!$H$2:$H$300,"CSE",'INPUT-SIF_Questions'!$V$2:$V$300,14,'INPUT-SIF_Questions'!$G$2:$G$300,"Y")+SUMIFS('INPUT-SIF_Questions'!$N$2:$N$300,'INPUT-SIF_Questions'!$H$2:$H$300,"CSE",'INPUT-SIF_Questions'!$V$2:$V$300,14,'INPUT-SIF_Questions'!$G$2:$G$300,"Y")),"")</f>
        <v/>
      </c>
      <c r="K5" s="24" t="str">
        <f t="shared" si="3"/>
        <v>No Data</v>
      </c>
      <c r="L5" s="66">
        <f>IFERROR(SUMIFS('INPUT-SIF_Questions'!$M$2:$M$300,'INPUT-SIF_Questions'!$H$2:$H$300,"CSE",'INPUT-SIF_Questions'!$G$2:$G$300,"Y")/(SUMIFS('INPUT-SIF_Questions'!$M$2:$M$300,'INPUT-SIF_Questions'!$H$2:$H$300,"CSE",'INPUT-SIF_Questions'!$G$2:$G$300,"Y")+SUMIFS('INPUT-SIF_Questions'!$N$2:$N$300,'INPUT-SIF_Questions'!$H$2:$H$300,"CSE",'INPUT-SIF_Questions'!$G$2:$G$300,"Y")),"")</f>
        <v>0.57692307692307687</v>
      </c>
      <c r="M5" s="24" t="str">
        <f t="shared" si="4"/>
        <v>Degraded</v>
      </c>
    </row>
    <row r="6" spans="1:15" ht="14.25" customHeight="1" x14ac:dyDescent="0.45">
      <c r="A6" s="24">
        <v>5</v>
      </c>
      <c r="B6" s="68" t="s">
        <v>1025</v>
      </c>
      <c r="C6" s="68" t="s">
        <v>1937</v>
      </c>
      <c r="D6" s="66" t="str">
        <f>IFERROR(SUMIFS('INPUT-SIF_Questions'!$M$2:$M$300,'INPUT-SIF_Questions'!$H$2:$H$300,"IHE",'INPUT-SIF_Questions'!$V$2:$V$300,11,'INPUT-SIF_Questions'!$G$2:$G$300,"Y")/(SUMIFS('INPUT-SIF_Questions'!$M$2:$M$300,'INPUT-SIF_Questions'!$H$2:$H$300,"IHE",'INPUT-SIF_Questions'!$V$2:$V$300,11,'INPUT-SIF_Questions'!$G$2:$G$300,"Y")+SUMIFS('INPUT-SIF_Questions'!$N$2:$N$300,'INPUT-SIF_Questions'!$H$2:$H$300,"IHE",'INPUT-SIF_Questions'!$V$2:$V$300,11,'INPUT-SIF_Questions'!$G$2:$G$300,"Y")),"")</f>
        <v/>
      </c>
      <c r="E6" s="24" t="str">
        <f t="shared" si="0"/>
        <v>No Data</v>
      </c>
      <c r="F6" s="66">
        <f>IFERROR(SUMIFS('INPUT-SIF_Questions'!$M$2:$M$300,'INPUT-SIF_Questions'!$H$2:$H$300,"IHE",'INPUT-SIF_Questions'!$V$2:$V$300,12,'INPUT-SIF_Questions'!$G$2:$G$300,"Y")/(SUMIFS('INPUT-SIF_Questions'!$M$2:$M$300,'INPUT-SIF_Questions'!$H$2:$H$300,"IHE",'INPUT-SIF_Questions'!$V$2:$V$300,12,'INPUT-SIF_Questions'!$G$2:$G$300,"Y")+SUMIFS('INPUT-SIF_Questions'!$N$2:$N$300,'INPUT-SIF_Questions'!$H$2:$H$300,"IHE",'INPUT-SIF_Questions'!$V$2:$V$300,12,'INPUT-SIF_Questions'!$G$2:$G$300,"Y")),"")</f>
        <v>0.73333333333333328</v>
      </c>
      <c r="G6" s="24" t="str">
        <f t="shared" si="1"/>
        <v>Degraded</v>
      </c>
      <c r="H6" s="66">
        <f>IFERROR(SUMIFS('INPUT-SIF_Questions'!$M$2:$M$300,'INPUT-SIF_Questions'!$H$2:$H$300,"IHE",'INPUT-SIF_Questions'!$V$2:$V$300,13,'INPUT-SIF_Questions'!$G$2:$G$300,"Y")/(SUMIFS('INPUT-SIF_Questions'!$M$2:$M$300,'INPUT-SIF_Questions'!$H$2:$H$300,"IHE",'INPUT-SIF_Questions'!$V$2:$V$300,13,'INPUT-SIF_Questions'!$G$2:$G$300,"Y")+SUMIFS('INPUT-SIF_Questions'!$N$2:$N$300,'INPUT-SIF_Questions'!$H$2:$H$300,"IHE",'INPUT-SIF_Questions'!$V$2:$V$300,13,'INPUT-SIF_Questions'!$G$2:$G$300,"Y")),"")</f>
        <v>0.625</v>
      </c>
      <c r="I6" s="24" t="str">
        <f t="shared" si="2"/>
        <v>Degraded</v>
      </c>
      <c r="J6" s="66" t="str">
        <f>IFERROR(SUMIFS('INPUT-SIF_Questions'!$M$2:$M$300,'INPUT-SIF_Questions'!$H$2:$H$300,"IHE",'INPUT-SIF_Questions'!$V$2:$V$300,14,'INPUT-SIF_Questions'!$G$2:$G$300,"Y")/(SUMIFS('INPUT-SIF_Questions'!$M$2:$M$300,'INPUT-SIF_Questions'!$H$2:$H$300,"IHE",'INPUT-SIF_Questions'!$V$2:$V$300,14,'INPUT-SIF_Questions'!$G$2:$G$300,"Y")+SUMIFS('INPUT-SIF_Questions'!$N$2:$N$300,'INPUT-SIF_Questions'!$H$2:$H$300,"IHE",'INPUT-SIF_Questions'!$V$2:$V$300,14,'INPUT-SIF_Questions'!$G$2:$G$300,"Y")),"")</f>
        <v/>
      </c>
      <c r="K6" s="24" t="str">
        <f t="shared" si="3"/>
        <v>No Data</v>
      </c>
      <c r="L6" s="66">
        <f>IFERROR(SUMIFS('INPUT-SIF_Questions'!$M$2:$M$300,'INPUT-SIF_Questions'!$H$2:$H$300,"IHE",'INPUT-SIF_Questions'!$G$2:$G$300,"Y")/(SUMIFS('INPUT-SIF_Questions'!$M$2:$M$300,'INPUT-SIF_Questions'!$H$2:$H$300,"IHE",'INPUT-SIF_Questions'!$G$2:$G$300,"Y")+SUMIFS('INPUT-SIF_Questions'!$N$2:$N$300,'INPUT-SIF_Questions'!$H$2:$H$300,"IHE",'INPUT-SIF_Questions'!$G$2:$G$300,"Y")),"")</f>
        <v>0.67741935483870963</v>
      </c>
      <c r="M6" s="24" t="str">
        <f t="shared" si="4"/>
        <v>Degraded</v>
      </c>
    </row>
    <row r="7" spans="1:15" ht="14.25" customHeight="1" x14ac:dyDescent="0.45">
      <c r="A7" s="24">
        <v>6</v>
      </c>
      <c r="B7" s="68" t="s">
        <v>1036</v>
      </c>
      <c r="C7" s="68" t="s">
        <v>1037</v>
      </c>
      <c r="D7" s="66" t="str">
        <f>IFERROR(SUMIFS('INPUT-SIF_Questions'!$M$2:$M$300,'INPUT-SIF_Questions'!$H$2:$H$300,"L&amp;R",'INPUT-SIF_Questions'!$V$2:$V$300,11,'INPUT-SIF_Questions'!$G$2:$G$300,"Y")/(SUMIFS('INPUT-SIF_Questions'!$M$2:$M$300,'INPUT-SIF_Questions'!$H$2:$H$300,"L&amp;R",'INPUT-SIF_Questions'!$V$2:$V$300,11,'INPUT-SIF_Questions'!$G$2:$G$300,"Y")+SUMIFS('INPUT-SIF_Questions'!$N$2:$N$300,'INPUT-SIF_Questions'!$H$2:$H$300,"L&amp;R",'INPUT-SIF_Questions'!$V$2:$V$300,11,'INPUT-SIF_Questions'!$G$2:$G$300,"Y")),"")</f>
        <v/>
      </c>
      <c r="E7" s="24" t="str">
        <f t="shared" si="0"/>
        <v>No Data</v>
      </c>
      <c r="F7" s="66" t="str">
        <f>IFERROR(SUMIFS('INPUT-SIF_Questions'!$M$2:$M$300,'INPUT-SIF_Questions'!$H$2:$H$300,"L&amp;R",'INPUT-SIF_Questions'!$V$2:$V$300,12,'INPUT-SIF_Questions'!$G$2:$G$300,"Y")/(SUMIFS('INPUT-SIF_Questions'!$M$2:$M$300,'INPUT-SIF_Questions'!$H$2:$H$300,"L&amp;R",'INPUT-SIF_Questions'!$V$2:$V$300,12,'INPUT-SIF_Questions'!$G$2:$G$300,"Y")+SUMIFS('INPUT-SIF_Questions'!$N$2:$N$300,'INPUT-SIF_Questions'!$H$2:$H$300,"L&amp;R",'INPUT-SIF_Questions'!$V$2:$V$300,12,'INPUT-SIF_Questions'!$G$2:$G$300,"Y")),"")</f>
        <v/>
      </c>
      <c r="G7" s="24" t="str">
        <f t="shared" si="1"/>
        <v>No Data</v>
      </c>
      <c r="H7" s="66" t="str">
        <f>IFERROR(SUMIFS('INPUT-SIF_Questions'!$M$2:$M$300,'INPUT-SIF_Questions'!$H$2:$H$300,"L&amp;R",'INPUT-SIF_Questions'!$V$2:$V$300,13,'INPUT-SIF_Questions'!$G$2:$G$300,"Y")/(SUMIFS('INPUT-SIF_Questions'!$M$2:$M$300,'INPUT-SIF_Questions'!$H$2:$H$300,"L&amp;R",'INPUT-SIF_Questions'!$V$2:$V$300,13,'INPUT-SIF_Questions'!$G$2:$G$300,"Y")+SUMIFS('INPUT-SIF_Questions'!$N$2:$N$300,'INPUT-SIF_Questions'!$H$2:$H$300,"L&amp;R",'INPUT-SIF_Questions'!$V$2:$V$300,13,'INPUT-SIF_Questions'!$G$2:$G$300,"Y")),"")</f>
        <v/>
      </c>
      <c r="I7" s="24" t="str">
        <f t="shared" si="2"/>
        <v>No Data</v>
      </c>
      <c r="J7" s="66" t="str">
        <f>IFERROR(SUMIFS('INPUT-SIF_Questions'!$M$2:$M$300,'INPUT-SIF_Questions'!$H$2:$H$300,"L&amp;R",'INPUT-SIF_Questions'!$V$2:$V$300,14,'INPUT-SIF_Questions'!$G$2:$G$300,"Y")/(SUMIFS('INPUT-SIF_Questions'!$M$2:$M$300,'INPUT-SIF_Questions'!$H$2:$H$300,"L&amp;R",'INPUT-SIF_Questions'!$V$2:$V$300,14,'INPUT-SIF_Questions'!$G$2:$G$300,"Y")+SUMIFS('INPUT-SIF_Questions'!$N$2:$N$300,'INPUT-SIF_Questions'!$H$2:$H$300,"L&amp;R",'INPUT-SIF_Questions'!$V$2:$V$300,14,'INPUT-SIF_Questions'!$G$2:$G$300,"Y")),"")</f>
        <v/>
      </c>
      <c r="K7" s="24" t="str">
        <f t="shared" si="3"/>
        <v>No Data</v>
      </c>
      <c r="L7" s="66" t="str">
        <f>IFERROR(SUMIFS('INPUT-SIF_Questions'!$M$2:$M$300,'INPUT-SIF_Questions'!$H$2:$H$300,"L&amp;R",'INPUT-SIF_Questions'!$G$2:$G$300,"Y")/(SUMIFS('INPUT-SIF_Questions'!$M$2:$M$300,'INPUT-SIF_Questions'!$H$2:$H$300,"L&amp;R",'INPUT-SIF_Questions'!$G$2:$G$300,"Y")+SUMIFS('INPUT-SIF_Questions'!$N$2:$N$300,'INPUT-SIF_Questions'!$H$2:$H$300,"L&amp;R",'INPUT-SIF_Questions'!$G$2:$G$300,"Y")),"")</f>
        <v/>
      </c>
      <c r="M7" s="24" t="str">
        <f t="shared" si="4"/>
        <v>No Data</v>
      </c>
    </row>
    <row r="8" spans="1:15" ht="14.25" customHeight="1" x14ac:dyDescent="0.45">
      <c r="A8" s="24">
        <v>7</v>
      </c>
      <c r="B8" s="68" t="s">
        <v>1068</v>
      </c>
      <c r="C8" s="68" t="s">
        <v>1939</v>
      </c>
      <c r="D8" s="66">
        <f>IFERROR(SUMIFS('INPUT-SIF_Questions'!$M$2:$M$300,'INPUT-SIF_Questions'!$H$2:$H$300,"WAH",'INPUT-SIF_Questions'!$V$2:$V$300,11,'INPUT-SIF_Questions'!$G$2:$G$300,"Y")/(SUMIFS('INPUT-SIF_Questions'!$M$2:$M$300,'INPUT-SIF_Questions'!$H$2:$H$300,"WAH",'INPUT-SIF_Questions'!$V$2:$V$300,11,'INPUT-SIF_Questions'!$G$2:$G$300,"Y")+SUMIFS('INPUT-SIF_Questions'!$N$2:$N$300,'INPUT-SIF_Questions'!$H$2:$H$300,"WAH",'INPUT-SIF_Questions'!$V$2:$V$300,11,'INPUT-SIF_Questions'!$G$2:$G$300,"Y")),"")</f>
        <v>0.29629629629629628</v>
      </c>
      <c r="E8" s="24" t="str">
        <f t="shared" si="0"/>
        <v>Failed / High Concern</v>
      </c>
      <c r="F8" s="66">
        <f>IFERROR(SUMIFS('INPUT-SIF_Questions'!$M$2:$M$300,'INPUT-SIF_Questions'!$H$2:$H$300,"WAH",'INPUT-SIF_Questions'!$V$2:$V$300,12,'INPUT-SIF_Questions'!$G$2:$G$300,"Y")/(SUMIFS('INPUT-SIF_Questions'!$M$2:$M$300,'INPUT-SIF_Questions'!$H$2:$H$300,"WAH",'INPUT-SIF_Questions'!$V$2:$V$300,12,'INPUT-SIF_Questions'!$G$2:$G$300,"Y")+SUMIFS('INPUT-SIF_Questions'!$N$2:$N$300,'INPUT-SIF_Questions'!$H$2:$H$300,"WAH",'INPUT-SIF_Questions'!$V$2:$V$300,12,'INPUT-SIF_Questions'!$G$2:$G$300,"Y")),"")</f>
        <v>0.41666666666666669</v>
      </c>
      <c r="G8" s="24" t="str">
        <f t="shared" si="1"/>
        <v>Failed / High Concern</v>
      </c>
      <c r="H8" s="66">
        <f>IFERROR(SUMIFS('INPUT-SIF_Questions'!$M$2:$M$300,'INPUT-SIF_Questions'!$H$2:$H$300,"WAH",'INPUT-SIF_Questions'!$V$2:$V$300,13,'INPUT-SIF_Questions'!$G$2:$G$300,"Y")/(SUMIFS('INPUT-SIF_Questions'!$M$2:$M$300,'INPUT-SIF_Questions'!$H$2:$H$300,"WAH",'INPUT-SIF_Questions'!$V$2:$V$300,13,'INPUT-SIF_Questions'!$G$2:$G$300,"Y")+SUMIFS('INPUT-SIF_Questions'!$N$2:$N$300,'INPUT-SIF_Questions'!$H$2:$H$300,"WAH",'INPUT-SIF_Questions'!$V$2:$V$300,13,'INPUT-SIF_Questions'!$G$2:$G$300,"Y")),"")</f>
        <v>0.44444444444444442</v>
      </c>
      <c r="I8" s="24" t="str">
        <f t="shared" si="2"/>
        <v>Failed / High Concern</v>
      </c>
      <c r="J8" s="66" t="str">
        <f>IFERROR(SUMIFS('INPUT-SIF_Questions'!$M$2:$M$300,'INPUT-SIF_Questions'!$H$2:$H$300,"WAH",'INPUT-SIF_Questions'!$V$2:$V$300,14,'INPUT-SIF_Questions'!$G$2:$G$300,"Y")/(SUMIFS('INPUT-SIF_Questions'!$M$2:$M$300,'INPUT-SIF_Questions'!$H$2:$H$300,"WAH",'INPUT-SIF_Questions'!$V$2:$V$300,14,'INPUT-SIF_Questions'!$G$2:$G$300,"Y")+SUMIFS('INPUT-SIF_Questions'!$N$2:$N$300,'INPUT-SIF_Questions'!$H$2:$H$300,"WAH",'INPUT-SIF_Questions'!$V$2:$V$300,14,'INPUT-SIF_Questions'!$G$2:$G$300,"Y")),"")</f>
        <v/>
      </c>
      <c r="K8" s="24" t="str">
        <f t="shared" si="3"/>
        <v>No Data</v>
      </c>
      <c r="L8" s="66">
        <f>IFERROR(SUMIFS('INPUT-SIF_Questions'!$M$2:$M$300,'INPUT-SIF_Questions'!$H$2:$H$300,"WAH",'INPUT-SIF_Questions'!$G$2:$G$300,"Y")/(SUMIFS('INPUT-SIF_Questions'!$M$2:$M$300,'INPUT-SIF_Questions'!$H$2:$H$300,"WAH",'INPUT-SIF_Questions'!$G$2:$G$300,"Y")+SUMIFS('INPUT-SIF_Questions'!$N$2:$N$300,'INPUT-SIF_Questions'!$H$2:$H$300,"WAH",'INPUT-SIF_Questions'!$G$2:$G$300,"Y")),"")</f>
        <v>0.375</v>
      </c>
      <c r="M8" s="24" t="str">
        <f t="shared" si="4"/>
        <v>Failed / High Concern</v>
      </c>
    </row>
    <row r="9" spans="1:15" ht="14.25" customHeight="1" x14ac:dyDescent="0.45">
      <c r="A9" s="24">
        <v>8</v>
      </c>
      <c r="B9" s="68" t="s">
        <v>1079</v>
      </c>
      <c r="C9" s="68" t="s">
        <v>1080</v>
      </c>
      <c r="D9" s="66" t="str">
        <f>IFERROR(SUMIFS('INPUT-SIF_Questions'!$M$2:$M$300,'INPUT-SIF_Questions'!$H$2:$H$300,"GD",'INPUT-SIF_Questions'!$V$2:$V$300,11,'INPUT-SIF_Questions'!$G$2:$G$300,"Y")/(SUMIFS('INPUT-SIF_Questions'!$M$2:$M$300,'INPUT-SIF_Questions'!$H$2:$H$300,"GD",'INPUT-SIF_Questions'!$V$2:$V$300,11,'INPUT-SIF_Questions'!$G$2:$G$300,"Y")+SUMIFS('INPUT-SIF_Questions'!$N$2:$N$300,'INPUT-SIF_Questions'!$H$2:$H$300,"GD",'INPUT-SIF_Questions'!$V$2:$V$300,11,'INPUT-SIF_Questions'!$G$2:$G$300,"Y")),"")</f>
        <v/>
      </c>
      <c r="E9" s="24" t="str">
        <f t="shared" si="0"/>
        <v>No Data</v>
      </c>
      <c r="F9" s="66">
        <f>IFERROR(SUMIFS('INPUT-SIF_Questions'!$M$2:$M$300,'INPUT-SIF_Questions'!$H$2:$H$300,"GD",'INPUT-SIF_Questions'!$V$2:$V$300,12,'INPUT-SIF_Questions'!$G$2:$G$300,"Y")/(SUMIFS('INPUT-SIF_Questions'!$M$2:$M$300,'INPUT-SIF_Questions'!$H$2:$H$300,"GD",'INPUT-SIF_Questions'!$V$2:$V$300,12,'INPUT-SIF_Questions'!$G$2:$G$300,"Y")+SUMIFS('INPUT-SIF_Questions'!$N$2:$N$300,'INPUT-SIF_Questions'!$H$2:$H$300,"GD",'INPUT-SIF_Questions'!$V$2:$V$300,12,'INPUT-SIF_Questions'!$G$2:$G$300,"Y")),"")</f>
        <v>0.77777777777777779</v>
      </c>
      <c r="G9" s="24" t="str">
        <f t="shared" si="1"/>
        <v>Degraded</v>
      </c>
      <c r="H9" s="66">
        <f>IFERROR(SUMIFS('INPUT-SIF_Questions'!$M$2:$M$300,'INPUT-SIF_Questions'!$H$2:$H$300,"GD",'INPUT-SIF_Questions'!$V$2:$V$300,13,'INPUT-SIF_Questions'!$G$2:$G$300,"Y")/(SUMIFS('INPUT-SIF_Questions'!$M$2:$M$300,'INPUT-SIF_Questions'!$H$2:$H$300,"GD",'INPUT-SIF_Questions'!$V$2:$V$300,13,'INPUT-SIF_Questions'!$G$2:$G$300,"Y")+SUMIFS('INPUT-SIF_Questions'!$N$2:$N$300,'INPUT-SIF_Questions'!$H$2:$H$300,"GD",'INPUT-SIF_Questions'!$V$2:$V$300,13,'INPUT-SIF_Questions'!$G$2:$G$300,"Y")),"")</f>
        <v>0.5</v>
      </c>
      <c r="I9" s="24" t="str">
        <f t="shared" si="2"/>
        <v>Degraded</v>
      </c>
      <c r="J9" s="66" t="str">
        <f>IFERROR(SUMIFS('INPUT-SIF_Questions'!$M$2:$M$300,'INPUT-SIF_Questions'!$H$2:$H$300,"GD",'INPUT-SIF_Questions'!$V$2:$V$300,14,'INPUT-SIF_Questions'!$G$2:$G$300,"Y")/(SUMIFS('INPUT-SIF_Questions'!$M$2:$M$300,'INPUT-SIF_Questions'!$H$2:$H$300,"GD",'INPUT-SIF_Questions'!$V$2:$V$300,14,'INPUT-SIF_Questions'!$G$2:$G$300,"Y")+SUMIFS('INPUT-SIF_Questions'!$N$2:$N$300,'INPUT-SIF_Questions'!$H$2:$H$300,"GD",'INPUT-SIF_Questions'!$V$2:$V$300,14,'INPUT-SIF_Questions'!$G$2:$G$300,"Y")),"")</f>
        <v/>
      </c>
      <c r="K9" s="24" t="str">
        <f t="shared" si="3"/>
        <v>No Data</v>
      </c>
      <c r="L9" s="66">
        <f>IFERROR(SUMIFS('INPUT-SIF_Questions'!$M$2:$M$300,'INPUT-SIF_Questions'!$H$2:$H$300,"GD",'INPUT-SIF_Questions'!$G$2:$G$300,"Y")/(SUMIFS('INPUT-SIF_Questions'!$M$2:$M$300,'INPUT-SIF_Questions'!$H$2:$H$300,"GD",'INPUT-SIF_Questions'!$G$2:$G$300,"Y")+SUMIFS('INPUT-SIF_Questions'!$N$2:$N$300,'INPUT-SIF_Questions'!$H$2:$H$300,"GD",'INPUT-SIF_Questions'!$G$2:$G$300,"Y")),"")</f>
        <v>0.69230769230769229</v>
      </c>
      <c r="M9" s="24" t="str">
        <f t="shared" si="4"/>
        <v>Degraded</v>
      </c>
    </row>
    <row r="10" spans="1:15" ht="14.25" customHeight="1" x14ac:dyDescent="0.45">
      <c r="A10" s="24">
        <v>9</v>
      </c>
      <c r="B10" s="68" t="s">
        <v>1086</v>
      </c>
      <c r="C10" s="68" t="s">
        <v>1087</v>
      </c>
      <c r="D10" s="66" t="str">
        <f>IFERROR(SUMIFS('INPUT-SIF_Questions'!$M$2:$M$300,'INPUT-SIF_Questions'!$H$2:$H$300,"WBA",'INPUT-SIF_Questions'!$V$2:$V$300,11,'INPUT-SIF_Questions'!$G$2:$G$300,"Y")/(SUMIFS('INPUT-SIF_Questions'!$M$2:$M$300,'INPUT-SIF_Questions'!$H$2:$H$300,"WBA",'INPUT-SIF_Questions'!$V$2:$V$300,11,'INPUT-SIF_Questions'!$G$2:$G$300,"Y")+SUMIFS('INPUT-SIF_Questions'!$N$2:$N$300,'INPUT-SIF_Questions'!$H$2:$H$300,"WBA",'INPUT-SIF_Questions'!$V$2:$V$300,11,'INPUT-SIF_Questions'!$G$2:$G$300,"Y")),"")</f>
        <v/>
      </c>
      <c r="E10" s="24" t="str">
        <f t="shared" si="0"/>
        <v>No Data</v>
      </c>
      <c r="F10" s="66" t="str">
        <f>IFERROR(SUMIFS('INPUT-SIF_Questions'!$M$2:$M$300,'INPUT-SIF_Questions'!$H$2:$H$300,"WBA",'INPUT-SIF_Questions'!$V$2:$V$300,12,'INPUT-SIF_Questions'!$G$2:$G$300,"Y")/(SUMIFS('INPUT-SIF_Questions'!$M$2:$M$300,'INPUT-SIF_Questions'!$H$2:$H$300,"WBA",'INPUT-SIF_Questions'!$V$2:$V$300,12,'INPUT-SIF_Questions'!$G$2:$G$300,"Y")+SUMIFS('INPUT-SIF_Questions'!$N$2:$N$300,'INPUT-SIF_Questions'!$H$2:$H$300,"WBA",'INPUT-SIF_Questions'!$V$2:$V$300,12,'INPUT-SIF_Questions'!$G$2:$G$300,"Y")),"")</f>
        <v/>
      </c>
      <c r="G10" s="24" t="str">
        <f t="shared" si="1"/>
        <v>No Data</v>
      </c>
      <c r="H10" s="66" t="str">
        <f>IFERROR(SUMIFS('INPUT-SIF_Questions'!$M$2:$M$300,'INPUT-SIF_Questions'!$H$2:$H$300,"WBA",'INPUT-SIF_Questions'!$V$2:$V$300,13,'INPUT-SIF_Questions'!$G$2:$G$300,"Y")/(SUMIFS('INPUT-SIF_Questions'!$M$2:$M$300,'INPUT-SIF_Questions'!$H$2:$H$300,"WBA",'INPUT-SIF_Questions'!$V$2:$V$300,13,'INPUT-SIF_Questions'!$G$2:$G$300,"Y")+SUMIFS('INPUT-SIF_Questions'!$N$2:$N$300,'INPUT-SIF_Questions'!$H$2:$H$300,"WBA",'INPUT-SIF_Questions'!$V$2:$V$300,13,'INPUT-SIF_Questions'!$G$2:$G$300,"Y")),"")</f>
        <v/>
      </c>
      <c r="I10" s="24" t="str">
        <f t="shared" si="2"/>
        <v>No Data</v>
      </c>
      <c r="J10" s="66" t="str">
        <f>IFERROR(SUMIFS('INPUT-SIF_Questions'!$M$2:$M$300,'INPUT-SIF_Questions'!$H$2:$H$300,"WBA",'INPUT-SIF_Questions'!$V$2:$V$300,14,'INPUT-SIF_Questions'!$G$2:$G$300,"Y")/(SUMIFS('INPUT-SIF_Questions'!$M$2:$M$300,'INPUT-SIF_Questions'!$H$2:$H$300,"WBA",'INPUT-SIF_Questions'!$V$2:$V$300,14,'INPUT-SIF_Questions'!$G$2:$G$300,"Y")+SUMIFS('INPUT-SIF_Questions'!$N$2:$N$300,'INPUT-SIF_Questions'!$H$2:$H$300,"WBA",'INPUT-SIF_Questions'!$V$2:$V$300,14,'INPUT-SIF_Questions'!$G$2:$G$300,"Y")),"")</f>
        <v/>
      </c>
      <c r="K10" s="24" t="str">
        <f t="shared" si="3"/>
        <v>No Data</v>
      </c>
      <c r="L10" s="66" t="str">
        <f>IFERROR(SUMIFS('INPUT-SIF_Questions'!$M$2:$M$300,'INPUT-SIF_Questions'!$H$2:$H$300,"WBA",'INPUT-SIF_Questions'!$G$2:$G$300,"Y")/(SUMIFS('INPUT-SIF_Questions'!$M$2:$M$300,'INPUT-SIF_Questions'!$H$2:$H$300,"WBA",'INPUT-SIF_Questions'!$G$2:$G$300,"Y")+SUMIFS('INPUT-SIF_Questions'!$N$2:$N$300,'INPUT-SIF_Questions'!$H$2:$H$300,"WBA",'INPUT-SIF_Questions'!$G$2:$G$300,"Y")),"")</f>
        <v/>
      </c>
      <c r="M10" s="24" t="str">
        <f t="shared" si="4"/>
        <v>No Data</v>
      </c>
    </row>
    <row r="11" spans="1:15" ht="14.25" customHeight="1" x14ac:dyDescent="0.45">
      <c r="A11" s="24">
        <v>10</v>
      </c>
      <c r="B11" s="68" t="s">
        <v>2011</v>
      </c>
      <c r="C11" s="68" t="s">
        <v>1943</v>
      </c>
      <c r="D11" s="66" t="str">
        <f>IFERROR(SUMIFS('INPUT-SIF_Questions'!$M$2:$M$300,'INPUT-SIF_Questions'!$H$2:$H$300,"LT",'INPUT-SIF_Questions'!$V$2:$V$300,11,'INPUT-SIF_Questions'!$G$2:$G$300,"Y")/(SUMIFS('INPUT-SIF_Questions'!$M$2:$M$300,'INPUT-SIF_Questions'!$H$2:$H$300,"LT",'INPUT-SIF_Questions'!$V$2:$V$300,11,'INPUT-SIF_Questions'!$G$2:$G$300,"Y")+SUMIFS('INPUT-SIF_Questions'!$N$2:$N$300,'INPUT-SIF_Questions'!$H$2:$H$300,"LT",'INPUT-SIF_Questions'!$V$2:$V$300,11,'INPUT-SIF_Questions'!$G$2:$G$300,"Y")),"")</f>
        <v/>
      </c>
      <c r="E11" s="24" t="str">
        <f t="shared" si="0"/>
        <v>No Data</v>
      </c>
      <c r="F11" s="66" t="str">
        <f>IFERROR(SUMIFS('INPUT-SIF_Questions'!$M$2:$M$300,'INPUT-SIF_Questions'!$H$2:$H$300,"LT",'INPUT-SIF_Questions'!$V$2:$V$300,12,'INPUT-SIF_Questions'!$G$2:$G$300,"Y")/(SUMIFS('INPUT-SIF_Questions'!$M$2:$M$300,'INPUT-SIF_Questions'!$H$2:$H$300,"LT",'INPUT-SIF_Questions'!$V$2:$V$300,12,'INPUT-SIF_Questions'!$G$2:$G$300,"Y")+SUMIFS('INPUT-SIF_Questions'!$N$2:$N$300,'INPUT-SIF_Questions'!$H$2:$H$300,"LT",'INPUT-SIF_Questions'!$V$2:$V$300,12,'INPUT-SIF_Questions'!$G$2:$G$300,"Y")),"")</f>
        <v/>
      </c>
      <c r="G11" s="24" t="str">
        <f t="shared" si="1"/>
        <v>No Data</v>
      </c>
      <c r="H11" s="66" t="str">
        <f>IFERROR(SUMIFS('INPUT-SIF_Questions'!$M$2:$M$300,'INPUT-SIF_Questions'!$H$2:$H$300,"LT",'INPUT-SIF_Questions'!$V$2:$V$300,13,'INPUT-SIF_Questions'!$G$2:$G$300,"Y")/(SUMIFS('INPUT-SIF_Questions'!$M$2:$M$300,'INPUT-SIF_Questions'!$H$2:$H$300,"LT",'INPUT-SIF_Questions'!$V$2:$V$300,13,'INPUT-SIF_Questions'!$G$2:$G$300,"Y")+SUMIFS('INPUT-SIF_Questions'!$N$2:$N$300,'INPUT-SIF_Questions'!$H$2:$H$300,"LT",'INPUT-SIF_Questions'!$V$2:$V$300,13,'INPUT-SIF_Questions'!$G$2:$G$300,"Y")),"")</f>
        <v/>
      </c>
      <c r="I11" s="24" t="str">
        <f t="shared" si="2"/>
        <v>No Data</v>
      </c>
      <c r="J11" s="66" t="str">
        <f>IFERROR(SUMIFS('INPUT-SIF_Questions'!$M$2:$M$300,'INPUT-SIF_Questions'!$H$2:$H$300,"LT",'INPUT-SIF_Questions'!$V$2:$V$300,14,'INPUT-SIF_Questions'!$G$2:$G$300,"Y")/(SUMIFS('INPUT-SIF_Questions'!$M$2:$M$300,'INPUT-SIF_Questions'!$H$2:$H$300,"LT",'INPUT-SIF_Questions'!$V$2:$V$300,14,'INPUT-SIF_Questions'!$G$2:$G$300,"Y")+SUMIFS('INPUT-SIF_Questions'!$N$2:$N$300,'INPUT-SIF_Questions'!$H$2:$H$300,"LT",'INPUT-SIF_Questions'!$V$2:$V$300,14,'INPUT-SIF_Questions'!$G$2:$G$300,"Y")),"")</f>
        <v/>
      </c>
      <c r="K11" s="24" t="str">
        <f t="shared" si="3"/>
        <v>No Data</v>
      </c>
      <c r="L11" s="66" t="str">
        <f>IFERROR(SUMIFS('INPUT-SIF_Questions'!$M$2:$M$300,'INPUT-SIF_Questions'!$H$2:$H$300,"LT",'INPUT-SIF_Questions'!$G$2:$G$300,"Y")/(SUMIFS('INPUT-SIF_Questions'!$M$2:$M$300,'INPUT-SIF_Questions'!$H$2:$H$300,"LT",'INPUT-SIF_Questions'!$G$2:$G$300,"Y")+SUMIFS('INPUT-SIF_Questions'!$N$2:$N$300,'INPUT-SIF_Questions'!$H$2:$H$300,"LT",'INPUT-SIF_Questions'!$G$2:$G$300,"Y")),"")</f>
        <v/>
      </c>
      <c r="M11" s="24" t="str">
        <f t="shared" si="4"/>
        <v>No Data</v>
      </c>
    </row>
  </sheetData>
  <conditionalFormatting sqref="E2:E11">
    <cfRule type="expression" dxfId="22" priority="2">
      <formula>E2="Effective"</formula>
    </cfRule>
    <cfRule type="expression" dxfId="21" priority="3">
      <formula>E2="Degraded"</formula>
    </cfRule>
    <cfRule type="expression" dxfId="20" priority="4">
      <formula>E2="Failed / High Concern"</formula>
    </cfRule>
    <cfRule type="expression" dxfId="19" priority="5">
      <formula>E2="No Data"</formula>
    </cfRule>
  </conditionalFormatting>
  <conditionalFormatting sqref="G2:G11">
    <cfRule type="expression" dxfId="18" priority="6">
      <formula>G2="Effective"</formula>
    </cfRule>
    <cfRule type="expression" dxfId="17" priority="7">
      <formula>G2="Degraded"</formula>
    </cfRule>
    <cfRule type="expression" dxfId="16" priority="8">
      <formula>G2="Failed / High Concern"</formula>
    </cfRule>
    <cfRule type="expression" dxfId="15" priority="9">
      <formula>G2="No Data"</formula>
    </cfRule>
  </conditionalFormatting>
  <conditionalFormatting sqref="I2:I11">
    <cfRule type="expression" dxfId="14" priority="10">
      <formula>I2="Effective"</formula>
    </cfRule>
    <cfRule type="expression" dxfId="13" priority="11">
      <formula>I2="Degraded"</formula>
    </cfRule>
    <cfRule type="expression" dxfId="12" priority="12">
      <formula>I2="Failed / High Concern"</formula>
    </cfRule>
    <cfRule type="expression" dxfId="11" priority="13">
      <formula>I2="No Data"</formula>
    </cfRule>
  </conditionalFormatting>
  <conditionalFormatting sqref="K2:K11">
    <cfRule type="expression" dxfId="10" priority="14">
      <formula>K2="Effective"</formula>
    </cfRule>
    <cfRule type="expression" dxfId="9" priority="15">
      <formula>K2="Degraded"</formula>
    </cfRule>
    <cfRule type="expression" dxfId="8" priority="16">
      <formula>K2="Failed / High Concern"</formula>
    </cfRule>
    <cfRule type="expression" dxfId="7" priority="17">
      <formula>K2="No Data"</formula>
    </cfRule>
  </conditionalFormatting>
  <conditionalFormatting sqref="M2:M11">
    <cfRule type="expression" dxfId="6" priority="18">
      <formula>M2="Effective"</formula>
    </cfRule>
    <cfRule type="expression" dxfId="5" priority="19">
      <formula>M2="Degraded"</formula>
    </cfRule>
    <cfRule type="expression" dxfId="4" priority="20">
      <formula>M2="Failed / High Concern"</formula>
    </cfRule>
    <cfRule type="expression" dxfId="3" priority="21">
      <formula>M2="No Data"</formula>
    </cfRule>
  </conditionalFormatting>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H21"/>
  <sheetViews>
    <sheetView zoomScaleNormal="100" workbookViewId="0"/>
  </sheetViews>
  <sheetFormatPr defaultColWidth="9.06640625" defaultRowHeight="14.25" customHeight="1" x14ac:dyDescent="0.45"/>
  <cols>
    <col min="1" max="1" width="32" style="3" customWidth="1"/>
    <col min="2" max="2" width="8" style="1" customWidth="1"/>
    <col min="3" max="3" width="50" style="3" customWidth="1"/>
    <col min="4" max="4" width="10" style="24" customWidth="1"/>
    <col min="5" max="5" width="12" style="24" customWidth="1"/>
    <col min="6" max="6" width="14" style="1" customWidth="1"/>
    <col min="7" max="7" width="55" style="24" customWidth="1"/>
    <col min="8" max="8" width="14" style="24" customWidth="1"/>
    <col min="9" max="16384" width="9.06640625" style="1"/>
  </cols>
  <sheetData>
    <row r="1" spans="1:8" ht="14.25" customHeight="1" x14ac:dyDescent="0.45">
      <c r="A1" s="54" t="s">
        <v>2012</v>
      </c>
      <c r="B1" s="54" t="s">
        <v>2013</v>
      </c>
      <c r="C1" s="69" t="s">
        <v>2014</v>
      </c>
      <c r="D1" s="54" t="s">
        <v>2015</v>
      </c>
      <c r="E1" s="54" t="s">
        <v>2016</v>
      </c>
      <c r="F1" s="54" t="s">
        <v>2017</v>
      </c>
      <c r="G1" s="54" t="s">
        <v>2018</v>
      </c>
      <c r="H1" s="54" t="s">
        <v>1960</v>
      </c>
    </row>
    <row r="2" spans="1:8" ht="14.25" customHeight="1" x14ac:dyDescent="0.45">
      <c r="A2" s="18" t="s">
        <v>2019</v>
      </c>
      <c r="B2" s="2">
        <v>1</v>
      </c>
      <c r="C2" s="18" t="str">
        <f>IFERROR(INDEX(Helper_Exposure!$B$2:$B$100,MATCH(B2,Helper_Exposure!$D$2:$D$100,0)),"")</f>
        <v>Work at Height</v>
      </c>
      <c r="D2" s="2">
        <f>IFERROR(INDEX(Helper_Exposure!$C$2:$C$100,MATCH(B2,Helper_Exposure!$D$2:$D$100,0)),0)</f>
        <v>8</v>
      </c>
      <c r="E2" s="58">
        <f t="shared" ref="E2:E21" si="0">IFERROR(D2/H2,0)</f>
        <v>0.34782608695652173</v>
      </c>
      <c r="F2" s="2" t="str">
        <f t="shared" ref="F2:F21" si="1">IF(B2&lt;=3,"Red","Yellow")</f>
        <v>Red</v>
      </c>
      <c r="G2" s="2" t="s">
        <v>2020</v>
      </c>
      <c r="H2" s="24">
        <f>COUNTIF('INPUT-SIF_Questions'!$J$2:$J$1000,"A")</f>
        <v>23</v>
      </c>
    </row>
    <row r="3" spans="1:8" ht="14.25" customHeight="1" x14ac:dyDescent="0.45">
      <c r="A3" s="18" t="s">
        <v>2019</v>
      </c>
      <c r="B3" s="2">
        <v>2</v>
      </c>
      <c r="C3" s="18" t="str">
        <f>IFERROR(INDEX(Helper_Exposure!$B$2:$B$100,MATCH(B3,Helper_Exposure!$D$2:$D$100,0)),"")</f>
        <v>Confined Space Entry</v>
      </c>
      <c r="D3" s="2">
        <f>IFERROR(INDEX(Helper_Exposure!$C$2:$C$100,MATCH(B3,Helper_Exposure!$D$2:$D$100,0)),0)</f>
        <v>4</v>
      </c>
      <c r="E3" s="58">
        <f t="shared" si="0"/>
        <v>0.17391304347826086</v>
      </c>
      <c r="F3" s="2" t="str">
        <f t="shared" si="1"/>
        <v>Red</v>
      </c>
      <c r="G3" s="2" t="s">
        <v>2020</v>
      </c>
      <c r="H3" s="24">
        <f>COUNTIF('INPUT-SIF_Questions'!$J$2:$J$1000,"A")</f>
        <v>23</v>
      </c>
    </row>
    <row r="4" spans="1:8" ht="14.25" customHeight="1" x14ac:dyDescent="0.45">
      <c r="A4" s="18" t="s">
        <v>2019</v>
      </c>
      <c r="B4" s="2">
        <v>3</v>
      </c>
      <c r="C4" s="18" t="str">
        <f>IFERROR(INDEX(Helper_Exposure!$B$2:$B$100,MATCH(B4,Helper_Exposure!$D$2:$D$100,0)),"")</f>
        <v>Powered System / Isolation of Hazardous Energy</v>
      </c>
      <c r="D4" s="2">
        <f>IFERROR(INDEX(Helper_Exposure!$C$2:$C$100,MATCH(B4,Helper_Exposure!$D$2:$D$100,0)),0)</f>
        <v>4</v>
      </c>
      <c r="E4" s="58">
        <f t="shared" si="0"/>
        <v>0.17391304347826086</v>
      </c>
      <c r="F4" s="2" t="str">
        <f t="shared" si="1"/>
        <v>Red</v>
      </c>
      <c r="G4" s="2" t="s">
        <v>2020</v>
      </c>
      <c r="H4" s="24">
        <f>COUNTIF('INPUT-SIF_Questions'!$J$2:$J$1000,"A")</f>
        <v>23</v>
      </c>
    </row>
    <row r="5" spans="1:8" ht="14.25" customHeight="1" x14ac:dyDescent="0.45">
      <c r="A5" s="18" t="s">
        <v>2019</v>
      </c>
      <c r="B5" s="2">
        <v>4</v>
      </c>
      <c r="C5" s="18" t="str">
        <f>IFERROR(INDEX(Helper_Exposure!$B$2:$B$100,MATCH(B5,Helper_Exposure!$D$2:$D$100,0)),"")</f>
        <v>Ground Disturbance / Excavation</v>
      </c>
      <c r="D5" s="2">
        <f>IFERROR(INDEX(Helper_Exposure!$C$2:$C$100,MATCH(B5,Helper_Exposure!$D$2:$D$100,0)),0)</f>
        <v>3</v>
      </c>
      <c r="E5" s="58">
        <f t="shared" si="0"/>
        <v>0.13043478260869565</v>
      </c>
      <c r="F5" s="2" t="str">
        <f t="shared" si="1"/>
        <v>Yellow</v>
      </c>
      <c r="G5" s="2" t="s">
        <v>2020</v>
      </c>
      <c r="H5" s="24">
        <f>COUNTIF('INPUT-SIF_Questions'!$J$2:$J$1000,"A")</f>
        <v>23</v>
      </c>
    </row>
    <row r="6" spans="1:8" ht="14.25" customHeight="1" x14ac:dyDescent="0.45">
      <c r="A6" s="3" t="s">
        <v>2019</v>
      </c>
      <c r="B6" s="24">
        <v>5</v>
      </c>
      <c r="C6" s="68" t="str">
        <f>IFERROR(INDEX(Helper_Exposure!$B$2:$B$100,MATCH(B6,Helper_Exposure!$D$2:$D$100,0)),"")</f>
        <v>Hot Work</v>
      </c>
      <c r="D6" s="24">
        <f>IFERROR(INDEX(Helper_Exposure!$C$2:$C$100,MATCH(B6,Helper_Exposure!$D$2:$D$100,0)),0)</f>
        <v>2</v>
      </c>
      <c r="E6" s="66">
        <f t="shared" si="0"/>
        <v>8.6956521739130432E-2</v>
      </c>
      <c r="F6" s="24" t="str">
        <f t="shared" si="1"/>
        <v>Yellow</v>
      </c>
      <c r="G6" s="24" t="s">
        <v>2020</v>
      </c>
      <c r="H6" s="24">
        <f>COUNTIF('INPUT-SIF_Questions'!$J$2:$J$1000,"A")</f>
        <v>23</v>
      </c>
    </row>
    <row r="7" spans="1:8" ht="14.25" customHeight="1" x14ac:dyDescent="0.45">
      <c r="A7" s="3" t="s">
        <v>2021</v>
      </c>
      <c r="B7" s="24">
        <v>1</v>
      </c>
      <c r="C7" s="68" t="str">
        <f>IFERROR(INDEX(Helper_Gaps!$A$2:$A$100,MATCH(B7,Helper_Gaps!$C$2:$C$100,0)),"")</f>
        <v>Rescue Preparedness</v>
      </c>
      <c r="D7" s="24">
        <f>IFERROR(INDEX(Helper_Gaps!$B$2:$B$100,MATCH(B7,Helper_Gaps!$C$2:$C$100,0)),0)</f>
        <v>11</v>
      </c>
      <c r="E7" s="66">
        <f t="shared" si="0"/>
        <v>0.14285714285714285</v>
      </c>
      <c r="F7" s="24" t="str">
        <f t="shared" si="1"/>
        <v>Red</v>
      </c>
      <c r="G7" s="24" t="s">
        <v>2022</v>
      </c>
      <c r="H7" s="24">
        <f>COUNTIF('INPUT-SIF_Questions'!$N$2:$N$1000,1)</f>
        <v>77</v>
      </c>
    </row>
    <row r="8" spans="1:8" ht="14.25" customHeight="1" x14ac:dyDescent="0.45">
      <c r="A8" s="3" t="s">
        <v>2021</v>
      </c>
      <c r="B8" s="24">
        <v>2</v>
      </c>
      <c r="C8" s="68" t="str">
        <f>IFERROR(INDEX(Helper_Gaps!$A$2:$A$100,MATCH(B8,Helper_Gaps!$C$2:$C$100,0)),"")</f>
        <v>Correct Equipment</v>
      </c>
      <c r="D8" s="24">
        <f>IFERROR(INDEX(Helper_Gaps!$B$2:$B$100,MATCH(B8,Helper_Gaps!$C$2:$C$100,0)),0)</f>
        <v>8</v>
      </c>
      <c r="E8" s="66">
        <f t="shared" si="0"/>
        <v>0.1038961038961039</v>
      </c>
      <c r="F8" s="24" t="str">
        <f t="shared" si="1"/>
        <v>Red</v>
      </c>
      <c r="G8" s="24" t="s">
        <v>2022</v>
      </c>
      <c r="H8" s="24">
        <f>COUNTIF('INPUT-SIF_Questions'!$N$2:$N$1000,1)</f>
        <v>77</v>
      </c>
    </row>
    <row r="9" spans="1:8" ht="14.25" customHeight="1" x14ac:dyDescent="0.45">
      <c r="A9" s="3" t="s">
        <v>2021</v>
      </c>
      <c r="B9" s="24">
        <v>3</v>
      </c>
      <c r="C9" s="68" t="str">
        <f>IFERROR(INDEX(Helper_Gaps!$A$2:$A$100,MATCH(B9,Helper_Gaps!$C$2:$C$100,0)),"")</f>
        <v>Fall Protection</v>
      </c>
      <c r="D9" s="24">
        <f>IFERROR(INDEX(Helper_Gaps!$B$2:$B$100,MATCH(B9,Helper_Gaps!$C$2:$C$100,0)),0)</f>
        <v>8</v>
      </c>
      <c r="E9" s="66">
        <f t="shared" si="0"/>
        <v>0.1038961038961039</v>
      </c>
      <c r="F9" s="24" t="str">
        <f t="shared" si="1"/>
        <v>Red</v>
      </c>
      <c r="G9" s="24" t="s">
        <v>2022</v>
      </c>
      <c r="H9" s="24">
        <f>COUNTIF('INPUT-SIF_Questions'!$N$2:$N$1000,1)</f>
        <v>77</v>
      </c>
    </row>
    <row r="10" spans="1:8" ht="14.25" customHeight="1" x14ac:dyDescent="0.45">
      <c r="A10" s="3" t="s">
        <v>2021</v>
      </c>
      <c r="B10" s="24">
        <v>4</v>
      </c>
      <c r="C10" s="68" t="str">
        <f>IFERROR(INDEX(Helper_Gaps!$A$2:$A$100,MATCH(B10,Helper_Gaps!$C$2:$C$100,0)),"")</f>
        <v>Engineering Safeguard</v>
      </c>
      <c r="D10" s="24">
        <f>IFERROR(INDEX(Helper_Gaps!$B$2:$B$100,MATCH(B10,Helper_Gaps!$C$2:$C$100,0)),0)</f>
        <v>7</v>
      </c>
      <c r="E10" s="66">
        <f t="shared" si="0"/>
        <v>9.0909090909090912E-2</v>
      </c>
      <c r="F10" s="24" t="str">
        <f t="shared" si="1"/>
        <v>Yellow</v>
      </c>
      <c r="G10" s="24" t="s">
        <v>2022</v>
      </c>
      <c r="H10" s="24">
        <f>COUNTIF('INPUT-SIF_Questions'!$N$2:$N$1000,1)</f>
        <v>77</v>
      </c>
    </row>
    <row r="11" spans="1:8" ht="14.25" customHeight="1" x14ac:dyDescent="0.45">
      <c r="A11" s="3" t="s">
        <v>2021</v>
      </c>
      <c r="B11" s="24">
        <v>5</v>
      </c>
      <c r="C11" s="68" t="str">
        <f>IFERROR(INDEX(Helper_Gaps!$A$2:$A$100,MATCH(B11,Helper_Gaps!$C$2:$C$100,0)),"")</f>
        <v>Anchorage Integrity</v>
      </c>
      <c r="D11" s="24">
        <f>IFERROR(INDEX(Helper_Gaps!$B$2:$B$100,MATCH(B11,Helper_Gaps!$C$2:$C$100,0)),0)</f>
        <v>6</v>
      </c>
      <c r="E11" s="66">
        <f t="shared" si="0"/>
        <v>7.792207792207792E-2</v>
      </c>
      <c r="F11" s="24" t="str">
        <f t="shared" si="1"/>
        <v>Yellow</v>
      </c>
      <c r="G11" s="24" t="s">
        <v>2022</v>
      </c>
      <c r="H11" s="24">
        <f>COUNTIF('INPUT-SIF_Questions'!$N$2:$N$1000,1)</f>
        <v>77</v>
      </c>
    </row>
    <row r="12" spans="1:8" ht="14.25" customHeight="1" x14ac:dyDescent="0.45">
      <c r="A12" s="3" t="s">
        <v>2023</v>
      </c>
      <c r="B12" s="24">
        <v>1</v>
      </c>
      <c r="C12" s="68" t="str">
        <f>IFERROR(INDEX(Helper_Drift!$A$2:$A$100,MATCH(B12,Helper_Drift!$C$2:$C$100,0)),"")</f>
        <v>Barrier Management Drift</v>
      </c>
      <c r="D12" s="24">
        <f>IFERROR(INDEX(Helper_Drift!$B$2:$B$100,MATCH(B12,Helper_Drift!$C$2:$C$100,0)),0)</f>
        <v>49</v>
      </c>
      <c r="E12" s="66">
        <f t="shared" si="0"/>
        <v>0.35251798561151076</v>
      </c>
      <c r="F12" s="24" t="str">
        <f t="shared" si="1"/>
        <v>Red</v>
      </c>
      <c r="G12" s="24" t="s">
        <v>2024</v>
      </c>
      <c r="H12" s="24">
        <f>COUNTIF('INPUT-Drift_Conditions'!$K$2:$K$300,"Y")</f>
        <v>139</v>
      </c>
    </row>
    <row r="13" spans="1:8" ht="14.25" customHeight="1" x14ac:dyDescent="0.45">
      <c r="A13" s="3" t="s">
        <v>2023</v>
      </c>
      <c r="B13" s="24">
        <v>2</v>
      </c>
      <c r="C13" s="68" t="str">
        <f>IFERROR(INDEX(Helper_Drift!$A$2:$A$100,MATCH(B13,Helper_Drift!$C$2:$C$100,0)),"")</f>
        <v>Risk Assessment Drift</v>
      </c>
      <c r="D13" s="24">
        <f>IFERROR(INDEX(Helper_Drift!$B$2:$B$100,MATCH(B13,Helper_Drift!$C$2:$C$100,0)),0)</f>
        <v>29</v>
      </c>
      <c r="E13" s="66">
        <f t="shared" si="0"/>
        <v>0.20863309352517986</v>
      </c>
      <c r="F13" s="24" t="str">
        <f t="shared" si="1"/>
        <v>Red</v>
      </c>
      <c r="G13" s="24" t="s">
        <v>2024</v>
      </c>
      <c r="H13" s="24">
        <f>COUNTIF('INPUT-Drift_Conditions'!$K$2:$K$300,"Y")</f>
        <v>139</v>
      </c>
    </row>
    <row r="14" spans="1:8" ht="14.25" customHeight="1" x14ac:dyDescent="0.45">
      <c r="A14" s="3" t="s">
        <v>2023</v>
      </c>
      <c r="B14" s="24">
        <v>3</v>
      </c>
      <c r="C14" s="68" t="str">
        <f>IFERROR(INDEX(Helper_Drift!$A$2:$A$100,MATCH(B14,Helper_Drift!$C$2:$C$100,0)),"")</f>
        <v>Administrative Compliance Drift</v>
      </c>
      <c r="D14" s="24">
        <f>IFERROR(INDEX(Helper_Drift!$B$2:$B$100,MATCH(B14,Helper_Drift!$C$2:$C$100,0)),0)</f>
        <v>26</v>
      </c>
      <c r="E14" s="66">
        <f t="shared" si="0"/>
        <v>0.18705035971223022</v>
      </c>
      <c r="F14" s="24" t="str">
        <f t="shared" si="1"/>
        <v>Red</v>
      </c>
      <c r="G14" s="24" t="s">
        <v>2024</v>
      </c>
      <c r="H14" s="24">
        <f>COUNTIF('INPUT-Drift_Conditions'!$K$2:$K$300,"Y")</f>
        <v>139</v>
      </c>
    </row>
    <row r="15" spans="1:8" ht="14.25" customHeight="1" x14ac:dyDescent="0.45">
      <c r="A15" s="3" t="s">
        <v>2023</v>
      </c>
      <c r="B15" s="24">
        <v>4</v>
      </c>
      <c r="C15" s="68" t="str">
        <f>IFERROR(INDEX(Helper_Drift!$A$2:$A$100,MATCH(B15,Helper_Drift!$C$2:$C$100,0)),"")</f>
        <v>Procedural Drift</v>
      </c>
      <c r="D15" s="24">
        <f>IFERROR(INDEX(Helper_Drift!$B$2:$B$100,MATCH(B15,Helper_Drift!$C$2:$C$100,0)),0)</f>
        <v>18</v>
      </c>
      <c r="E15" s="66">
        <f t="shared" si="0"/>
        <v>0.12949640287769784</v>
      </c>
      <c r="F15" s="24" t="str">
        <f t="shared" si="1"/>
        <v>Yellow</v>
      </c>
      <c r="G15" s="24" t="s">
        <v>2024</v>
      </c>
      <c r="H15" s="24">
        <f>COUNTIF('INPUT-Drift_Conditions'!$K$2:$K$300,"Y")</f>
        <v>139</v>
      </c>
    </row>
    <row r="16" spans="1:8" ht="14.25" customHeight="1" x14ac:dyDescent="0.45">
      <c r="A16" s="3" t="s">
        <v>2023</v>
      </c>
      <c r="B16" s="24">
        <v>5</v>
      </c>
      <c r="C16" s="68" t="str">
        <f>IFERROR(INDEX(Helper_Drift!$A$2:$A$100,MATCH(B16,Helper_Drift!$C$2:$C$100,0)),"")</f>
        <v>Engineering / Operating Drift</v>
      </c>
      <c r="D16" s="24">
        <f>IFERROR(INDEX(Helper_Drift!$B$2:$B$100,MATCH(B16,Helper_Drift!$C$2:$C$100,0)),0)</f>
        <v>6</v>
      </c>
      <c r="E16" s="66">
        <f t="shared" si="0"/>
        <v>4.3165467625899283E-2</v>
      </c>
      <c r="F16" s="24" t="str">
        <f t="shared" si="1"/>
        <v>Yellow</v>
      </c>
      <c r="G16" s="24" t="s">
        <v>2024</v>
      </c>
      <c r="H16" s="24">
        <f>COUNTIF('INPUT-Drift_Conditions'!$K$2:$K$300,"Y")</f>
        <v>139</v>
      </c>
    </row>
    <row r="17" spans="1:8" ht="14.25" customHeight="1" x14ac:dyDescent="0.45">
      <c r="A17" s="3" t="s">
        <v>2025</v>
      </c>
      <c r="B17" s="24">
        <v>1</v>
      </c>
      <c r="C17" s="68" t="str">
        <f>IFERROR(INDEX(Helper_Latent!$A$2:$A$100,MATCH(B17,Helper_Latent!$C$2:$C$100,0)),"")</f>
        <v>Competency / Training</v>
      </c>
      <c r="D17" s="24">
        <f>IFERROR(INDEX(Helper_Latent!$B$2:$B$100,MATCH(B17,Helper_Latent!$C$2:$C$100,0)),0)</f>
        <v>39</v>
      </c>
      <c r="E17" s="66">
        <f t="shared" si="0"/>
        <v>0.25</v>
      </c>
      <c r="F17" s="24" t="str">
        <f t="shared" si="1"/>
        <v>Red</v>
      </c>
      <c r="G17" s="24" t="s">
        <v>2026</v>
      </c>
      <c r="H17" s="24">
        <f>COUNTIF('INPUT-Latent_Conditions'!$M$2:$M$300,"Y")</f>
        <v>156</v>
      </c>
    </row>
    <row r="18" spans="1:8" ht="14.25" customHeight="1" x14ac:dyDescent="0.45">
      <c r="A18" s="3" t="s">
        <v>2025</v>
      </c>
      <c r="B18" s="24">
        <v>2</v>
      </c>
      <c r="C18" s="68" t="str">
        <f>IFERROR(INDEX(Helper_Latent!$A$2:$A$100,MATCH(B18,Helper_Latent!$C$2:$C$100,0)),"")</f>
        <v>Procedure / Documentation</v>
      </c>
      <c r="D18" s="24">
        <f>IFERROR(INDEX(Helper_Latent!$B$2:$B$100,MATCH(B18,Helper_Latent!$C$2:$C$100,0)),0)</f>
        <v>37</v>
      </c>
      <c r="E18" s="66">
        <f t="shared" si="0"/>
        <v>0.23717948717948717</v>
      </c>
      <c r="F18" s="24" t="str">
        <f t="shared" si="1"/>
        <v>Red</v>
      </c>
      <c r="G18" s="24" t="s">
        <v>2026</v>
      </c>
      <c r="H18" s="24">
        <f>COUNTIF('INPUT-Latent_Conditions'!$M$2:$M$300,"Y")</f>
        <v>156</v>
      </c>
    </row>
    <row r="19" spans="1:8" ht="14.25" customHeight="1" x14ac:dyDescent="0.45">
      <c r="A19" s="3" t="s">
        <v>2025</v>
      </c>
      <c r="B19" s="24">
        <v>3</v>
      </c>
      <c r="C19" s="68" t="str">
        <f>IFERROR(INDEX(Helper_Latent!$A$2:$A$100,MATCH(B19,Helper_Latent!$C$2:$C$100,0)),"")</f>
        <v>Leadership / Supervision</v>
      </c>
      <c r="D19" s="24">
        <f>IFERROR(INDEX(Helper_Latent!$B$2:$B$100,MATCH(B19,Helper_Latent!$C$2:$C$100,0)),0)</f>
        <v>29</v>
      </c>
      <c r="E19" s="66">
        <f t="shared" si="0"/>
        <v>0.1858974358974359</v>
      </c>
      <c r="F19" s="24" t="str">
        <f t="shared" si="1"/>
        <v>Red</v>
      </c>
      <c r="G19" s="24" t="s">
        <v>2026</v>
      </c>
      <c r="H19" s="24">
        <f>COUNTIF('INPUT-Latent_Conditions'!$M$2:$M$300,"Y")</f>
        <v>156</v>
      </c>
    </row>
    <row r="20" spans="1:8" ht="14.25" customHeight="1" x14ac:dyDescent="0.45">
      <c r="A20" s="3" t="s">
        <v>2025</v>
      </c>
      <c r="B20" s="24">
        <v>4</v>
      </c>
      <c r="C20" s="68" t="str">
        <f>IFERROR(INDEX(Helper_Latent!$A$2:$A$100,MATCH(B20,Helper_Latent!$C$2:$C$100,0)),"")</f>
        <v>Planning / Risk Assessment</v>
      </c>
      <c r="D20" s="24">
        <f>IFERROR(INDEX(Helper_Latent!$B$2:$B$100,MATCH(B20,Helper_Latent!$C$2:$C$100,0)),0)</f>
        <v>23</v>
      </c>
      <c r="E20" s="66">
        <f t="shared" si="0"/>
        <v>0.14743589743589744</v>
      </c>
      <c r="F20" s="24" t="str">
        <f t="shared" si="1"/>
        <v>Yellow</v>
      </c>
      <c r="G20" s="24" t="s">
        <v>2026</v>
      </c>
      <c r="H20" s="24">
        <f>COUNTIF('INPUT-Latent_Conditions'!$M$2:$M$300,"Y")</f>
        <v>156</v>
      </c>
    </row>
    <row r="21" spans="1:8" ht="14.25" customHeight="1" x14ac:dyDescent="0.45">
      <c r="A21" s="3" t="s">
        <v>2025</v>
      </c>
      <c r="B21" s="24">
        <v>5</v>
      </c>
      <c r="C21" s="68" t="str">
        <f>IFERROR(INDEX(Helper_Latent!$A$2:$A$100,MATCH(B21,Helper_Latent!$C$2:$C$100,0)),"")</f>
        <v>Engineering / Design</v>
      </c>
      <c r="D21" s="24">
        <f>IFERROR(INDEX(Helper_Latent!$B$2:$B$100,MATCH(B21,Helper_Latent!$C$2:$C$100,0)),0)</f>
        <v>16</v>
      </c>
      <c r="E21" s="66">
        <f t="shared" si="0"/>
        <v>0.10256410256410256</v>
      </c>
      <c r="F21" s="24" t="str">
        <f t="shared" si="1"/>
        <v>Yellow</v>
      </c>
      <c r="G21" s="24" t="s">
        <v>2026</v>
      </c>
      <c r="H21" s="24">
        <f>COUNTIF('INPUT-Latent_Conditions'!$M$2:$M$300,"Y")</f>
        <v>156</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Q13"/>
  <sheetViews>
    <sheetView zoomScaleNormal="100" workbookViewId="0">
      <selection activeCell="F17" sqref="F17"/>
    </sheetView>
  </sheetViews>
  <sheetFormatPr defaultColWidth="9.06640625" defaultRowHeight="14.25" customHeight="1" x14ac:dyDescent="0.45"/>
  <cols>
    <col min="1" max="1" width="8.796875" style="24" bestFit="1" customWidth="1"/>
    <col min="2" max="2" width="13.796875" style="24" bestFit="1" customWidth="1"/>
    <col min="3" max="3" width="13.53125" style="24" bestFit="1" customWidth="1"/>
    <col min="4" max="4" width="19.53125" style="24" bestFit="1" customWidth="1"/>
    <col min="5" max="6" width="30.46484375" style="24" bestFit="1" customWidth="1"/>
    <col min="7" max="7" width="18" style="24" customWidth="1"/>
    <col min="8" max="8" width="9.06640625" style="24"/>
    <col min="9" max="11" width="10" style="24" customWidth="1"/>
    <col min="12" max="12" width="12" style="24" customWidth="1"/>
    <col min="13" max="13" width="16" style="24" customWidth="1"/>
    <col min="14" max="14" width="18" style="24" customWidth="1"/>
    <col min="15" max="15" width="9.06640625" style="24"/>
    <col min="16" max="16" width="85" style="24" customWidth="1"/>
    <col min="17" max="16384" width="9.06640625" style="24"/>
  </cols>
  <sheetData>
    <row r="1" spans="1:17" ht="27.75" customHeight="1" x14ac:dyDescent="0.45">
      <c r="A1" s="54" t="s">
        <v>2027</v>
      </c>
      <c r="B1" s="54" t="s">
        <v>2028</v>
      </c>
      <c r="C1" s="54" t="s">
        <v>2029</v>
      </c>
      <c r="D1" s="54" t="s">
        <v>2030</v>
      </c>
      <c r="E1" s="54" t="s">
        <v>2176</v>
      </c>
      <c r="F1" s="86" t="s">
        <v>2177</v>
      </c>
      <c r="G1" s="54" t="s">
        <v>2031</v>
      </c>
      <c r="I1" s="54" t="s">
        <v>21</v>
      </c>
      <c r="J1" s="54" t="s">
        <v>2032</v>
      </c>
      <c r="K1" s="54" t="s">
        <v>2033</v>
      </c>
      <c r="L1" s="54" t="s">
        <v>2034</v>
      </c>
      <c r="M1" s="54" t="s">
        <v>2035</v>
      </c>
      <c r="N1" s="54" t="s">
        <v>2036</v>
      </c>
      <c r="P1" s="24" t="s">
        <v>2037</v>
      </c>
      <c r="Q1" s="24" t="s">
        <v>2038</v>
      </c>
    </row>
    <row r="2" spans="1:17" ht="14.25" customHeight="1" x14ac:dyDescent="0.45">
      <c r="A2" s="70">
        <v>46023</v>
      </c>
      <c r="B2" s="71">
        <f>SUMIFS('INPUT-SIF_Questions'!$M$2:$M$300,'INPUT-SIF_Questions'!$S$2:$S$300,"&lt;="&amp;EOMONTH(A2,0),'INPUT-SIF_Questions'!$B$2:$B$300,1)</f>
        <v>0</v>
      </c>
      <c r="C2" s="71">
        <f>SUMIFS('INPUT-SIF_Questions'!$N$2:$N$300,'INPUT-SIF_Questions'!$S$2:$S$300,"&lt;="&amp;EOMONTH(A2,0),'INPUT-SIF_Questions'!$B$2:$B$300,1)</f>
        <v>0</v>
      </c>
      <c r="D2" s="71">
        <f t="shared" ref="D2:D13" si="0">B2+C2</f>
        <v>0</v>
      </c>
      <c r="E2" s="58" t="str">
        <f t="shared" ref="E2:E8" si="1">IFERROR(B2/D2,"")</f>
        <v/>
      </c>
      <c r="F2" s="58" t="str" cm="1">
        <f t="array" ref="F2">IF(E2&lt;&gt;"",E2,IF(MONTH(A2)&lt;=MONTH(LOOKUP(2,1/ISNUMBER($E$2:$E$13),$A$2:$A$13)),"N/A",LOOKUP(2,1/ISNUMBER($E$2:$E$13),$E$2:$E$13)+(100%-LOOKUP(2,1/ISNUMBER($E$2:$E$13),$E$2:$E$13))*(MONTH(A2)-MONTH(LOOKUP(2,1/ISNUMBER($E$2:$E$13),$A$2:$A$13)))/(12-MONTH(LOOKUP(2,1/ISNUMBER($E$2:$E$13),$A$2:$A$13)))))</f>
        <v>N/A</v>
      </c>
      <c r="G2" s="71">
        <f>COUNTIFS('INPUT-SIF_Questions'!$J$2:$J$300,"A",'INPUT-SIF_Questions'!$S$2:$S$300,"&lt;="&amp;EOMONTH(A2,0),'INPUT-SIF_Questions'!$B$2:$B$300,1)</f>
        <v>0</v>
      </c>
      <c r="I2" s="24">
        <v>11</v>
      </c>
      <c r="J2" s="72">
        <f>SUMIFS('INPUT-SIF_Questions'!$M$2:$M$300,'INPUT-SIF_Questions'!$V$2:$V$300,I2,'INPUT-SIF_Questions'!$G$2:$G$300,"Y")</f>
        <v>23</v>
      </c>
      <c r="K2" s="72">
        <f>SUMIFS('INPUT-SIF_Questions'!$N$2:$N$300,'INPUT-SIF_Questions'!$V$2:$V$300,I2,'INPUT-SIF_Questions'!$G$2:$G$300,"Y")</f>
        <v>31</v>
      </c>
      <c r="L2" s="72">
        <f>J2+K2</f>
        <v>54</v>
      </c>
      <c r="M2" s="66">
        <f>IFERROR(J2/L2,"")</f>
        <v>0.42592592592592593</v>
      </c>
      <c r="N2" s="72">
        <f>COUNTIFS('INPUT-SIF_Questions'!$V$2:$V$300,I2,'INPUT-SIF_Questions'!$J$2:$J$300,"A",'INPUT-SIF_Questions'!$G$2:$G$300,"Y")</f>
        <v>7</v>
      </c>
      <c r="P2" s="24" t="s">
        <v>2039</v>
      </c>
      <c r="Q2" s="24" t="s">
        <v>2040</v>
      </c>
    </row>
    <row r="3" spans="1:17" ht="14.25" customHeight="1" x14ac:dyDescent="0.45">
      <c r="A3" s="70">
        <v>46054</v>
      </c>
      <c r="B3" s="71">
        <f>SUMIFS('INPUT-SIF_Questions'!$M$2:$M$300,'INPUT-SIF_Questions'!$S$2:$S$300,"&lt;="&amp;EOMONTH(A3,0),'INPUT-SIF_Questions'!$B$2:$B$300,1)</f>
        <v>0</v>
      </c>
      <c r="C3" s="71">
        <f>SUMIFS('INPUT-SIF_Questions'!$N$2:$N$300,'INPUT-SIF_Questions'!$S$2:$S$300,"&lt;="&amp;EOMONTH(A3,0),'INPUT-SIF_Questions'!$B$2:$B$300,1)</f>
        <v>0</v>
      </c>
      <c r="D3" s="71">
        <f t="shared" si="0"/>
        <v>0</v>
      </c>
      <c r="E3" s="58" t="str">
        <f t="shared" si="1"/>
        <v/>
      </c>
      <c r="F3" s="58" t="str" cm="1">
        <f t="array" ref="F3">IF(E3&lt;&gt;"",E3,IF(MONTH(A3)&lt;=MONTH(LOOKUP(2,1/ISNUMBER($E$2:$E$13),$A$2:$A$13)),"N/A",LOOKUP(2,1/ISNUMBER($E$2:$E$13),$E$2:$E$13)+(100%-LOOKUP(2,1/ISNUMBER($E$2:$E$13),$E$2:$E$13))*(MONTH(A3)-MONTH(LOOKUP(2,1/ISNUMBER($E$2:$E$13),$A$2:$A$13)))/(12-MONTH(LOOKUP(2,1/ISNUMBER($E$2:$E$13),$A$2:$A$13)))))</f>
        <v>N/A</v>
      </c>
      <c r="G3" s="71">
        <f>COUNTIFS('INPUT-SIF_Questions'!$J$2:$J$300,"A",'INPUT-SIF_Questions'!$S$2:$S$300,"&lt;="&amp;EOMONTH(A3,0),'INPUT-SIF_Questions'!$B$2:$B$300,1)</f>
        <v>0</v>
      </c>
      <c r="I3" s="24">
        <v>12</v>
      </c>
      <c r="J3" s="72">
        <f>SUMIFS('INPUT-SIF_Questions'!$M$2:$M$300,'INPUT-SIF_Questions'!$V$2:$V$300,I3,'INPUT-SIF_Questions'!$G$2:$G$300,"Y")</f>
        <v>44</v>
      </c>
      <c r="K3" s="72">
        <f>SUMIFS('INPUT-SIF_Questions'!$N$2:$N$300,'INPUT-SIF_Questions'!$V$2:$V$300,I3,'INPUT-SIF_Questions'!$G$2:$G$300,"Y")</f>
        <v>33</v>
      </c>
      <c r="L3" s="72">
        <f>J3+K3</f>
        <v>77</v>
      </c>
      <c r="M3" s="66">
        <f>IFERROR(J3/L3,"")</f>
        <v>0.5714285714285714</v>
      </c>
      <c r="N3" s="72">
        <f>COUNTIFS('INPUT-SIF_Questions'!$V$2:$V$300,I3,'INPUT-SIF_Questions'!$J$2:$J$300,"A",'INPUT-SIF_Questions'!$G$2:$G$300,"Y")</f>
        <v>12</v>
      </c>
      <c r="P3" s="24" t="s">
        <v>2041</v>
      </c>
      <c r="Q3" s="24" t="s">
        <v>2042</v>
      </c>
    </row>
    <row r="4" spans="1:17" ht="14.25" customHeight="1" x14ac:dyDescent="0.45">
      <c r="A4" s="70">
        <v>46082</v>
      </c>
      <c r="B4" s="71">
        <f>SUMIFS('INPUT-SIF_Questions'!$M$2:$M$300,'INPUT-SIF_Questions'!$S$2:$S$300,"&lt;="&amp;EOMONTH(A4,0),'INPUT-SIF_Questions'!$B$2:$B$300,1)</f>
        <v>0</v>
      </c>
      <c r="C4" s="71">
        <f>SUMIFS('INPUT-SIF_Questions'!$N$2:$N$300,'INPUT-SIF_Questions'!$S$2:$S$300,"&lt;="&amp;EOMONTH(A4,0),'INPUT-SIF_Questions'!$B$2:$B$300,1)</f>
        <v>0</v>
      </c>
      <c r="D4" s="71">
        <f t="shared" si="0"/>
        <v>0</v>
      </c>
      <c r="E4" s="58" t="str">
        <f t="shared" si="1"/>
        <v/>
      </c>
      <c r="F4" s="58" t="str" cm="1">
        <f t="array" ref="F4">IF(E4&lt;&gt;"",E4,IF(MONTH(A4)&lt;=MONTH(LOOKUP(2,1/ISNUMBER($E$2:$E$13),$A$2:$A$13)),"N/A",LOOKUP(2,1/ISNUMBER($E$2:$E$13),$E$2:$E$13)+(100%-LOOKUP(2,1/ISNUMBER($E$2:$E$13),$E$2:$E$13))*(MONTH(A4)-MONTH(LOOKUP(2,1/ISNUMBER($E$2:$E$13),$A$2:$A$13)))/(12-MONTH(LOOKUP(2,1/ISNUMBER($E$2:$E$13),$A$2:$A$13)))))</f>
        <v>N/A</v>
      </c>
      <c r="G4" s="71">
        <f>COUNTIFS('INPUT-SIF_Questions'!$J$2:$J$300,"A",'INPUT-SIF_Questions'!$S$2:$S$300,"&lt;="&amp;EOMONTH(A4,0),'INPUT-SIF_Questions'!$B$2:$B$300,1)</f>
        <v>0</v>
      </c>
      <c r="I4" s="24">
        <v>13</v>
      </c>
      <c r="J4" s="72">
        <f>SUMIFS('INPUT-SIF_Questions'!$M$2:$M$300,'INPUT-SIF_Questions'!$V$2:$V$300,I4,'INPUT-SIF_Questions'!$G$2:$G$300,"Y")</f>
        <v>16</v>
      </c>
      <c r="K4" s="72">
        <f>SUMIFS('INPUT-SIF_Questions'!$N$2:$N$300,'INPUT-SIF_Questions'!$V$2:$V$300,I4,'INPUT-SIF_Questions'!$G$2:$G$300,"Y")</f>
        <v>13</v>
      </c>
      <c r="L4" s="72">
        <f>J4+K4</f>
        <v>29</v>
      </c>
      <c r="M4" s="66">
        <f>IFERROR(J4/L4,"")</f>
        <v>0.55172413793103448</v>
      </c>
      <c r="N4" s="72">
        <f>COUNTIFS('INPUT-SIF_Questions'!$V$2:$V$300,I4,'INPUT-SIF_Questions'!$J$2:$J$300,"A",'INPUT-SIF_Questions'!$G$2:$G$300,"Y")</f>
        <v>4</v>
      </c>
      <c r="P4" s="24" t="s">
        <v>3</v>
      </c>
      <c r="Q4" s="24" t="s">
        <v>2043</v>
      </c>
    </row>
    <row r="5" spans="1:17" ht="14.25" customHeight="1" x14ac:dyDescent="0.45">
      <c r="A5" s="70">
        <v>46113</v>
      </c>
      <c r="B5" s="71">
        <f>SUMIFS('INPUT-SIF_Questions'!$M$2:$M$300,'INPUT-SIF_Questions'!$S$2:$S$300,"&lt;="&amp;EOMONTH(A5,0),'INPUT-SIF_Questions'!$B$2:$B$300,1)</f>
        <v>0</v>
      </c>
      <c r="C5" s="71">
        <f>SUMIFS('INPUT-SIF_Questions'!$N$2:$N$300,'INPUT-SIF_Questions'!$S$2:$S$300,"&lt;="&amp;EOMONTH(A5,0),'INPUT-SIF_Questions'!$B$2:$B$300,1)</f>
        <v>0</v>
      </c>
      <c r="D5" s="71">
        <f t="shared" si="0"/>
        <v>0</v>
      </c>
      <c r="E5" s="58" t="str">
        <f t="shared" si="1"/>
        <v/>
      </c>
      <c r="F5" s="58" t="str" cm="1">
        <f t="array" ref="F5">IF(E5&lt;&gt;"",E5,IF(MONTH(A5)&lt;=MONTH(LOOKUP(2,1/ISNUMBER($E$2:$E$13),$A$2:$A$13)),"N/A",LOOKUP(2,1/ISNUMBER($E$2:$E$13),$E$2:$E$13)+(100%-LOOKUP(2,1/ISNUMBER($E$2:$E$13),$E$2:$E$13))*(MONTH(A5)-MONTH(LOOKUP(2,1/ISNUMBER($E$2:$E$13),$A$2:$A$13)))/(12-MONTH(LOOKUP(2,1/ISNUMBER($E$2:$E$13),$A$2:$A$13)))))</f>
        <v>N/A</v>
      </c>
      <c r="G5" s="71">
        <f>COUNTIFS('INPUT-SIF_Questions'!$J$2:$J$300,"A",'INPUT-SIF_Questions'!$S$2:$S$300,"&lt;="&amp;EOMONTH(A5,0),'INPUT-SIF_Questions'!$B$2:$B$300,1)</f>
        <v>0</v>
      </c>
      <c r="I5" s="24">
        <v>14</v>
      </c>
      <c r="J5" s="72">
        <f>SUMIFS('INPUT-SIF_Questions'!$M$2:$M$300,'INPUT-SIF_Questions'!$V$2:$V$300,I5,'INPUT-SIF_Questions'!$G$2:$G$300,"Y")</f>
        <v>0</v>
      </c>
      <c r="K5" s="72">
        <f>SUMIFS('INPUT-SIF_Questions'!$N$2:$N$300,'INPUT-SIF_Questions'!$V$2:$V$300,I5,'INPUT-SIF_Questions'!$G$2:$G$300,"Y")</f>
        <v>0</v>
      </c>
      <c r="L5" s="72">
        <f>J5+K5</f>
        <v>0</v>
      </c>
      <c r="M5" s="66" t="str">
        <f>IFERROR(J5/L5,"")</f>
        <v/>
      </c>
      <c r="N5" s="72">
        <f>COUNTIFS('INPUT-SIF_Questions'!$V$2:$V$300,I5,'INPUT-SIF_Questions'!$J$2:$J$300,"A",'INPUT-SIF_Questions'!$G$2:$G$300,"Y")</f>
        <v>0</v>
      </c>
      <c r="P5" s="24" t="s">
        <v>4</v>
      </c>
      <c r="Q5" s="24" t="s">
        <v>2044</v>
      </c>
    </row>
    <row r="6" spans="1:17" ht="14.25" customHeight="1" x14ac:dyDescent="0.45">
      <c r="A6" s="70">
        <v>46143</v>
      </c>
      <c r="B6" s="71">
        <f>SUMIFS('INPUT-SIF_Questions'!$M$2:$M$300,'INPUT-SIF_Questions'!$S$2:$S$300,"&lt;="&amp;EOMONTH(A6,0),'INPUT-SIF_Questions'!$B$2:$B$300,1)</f>
        <v>22</v>
      </c>
      <c r="C6" s="71">
        <f>SUMIFS('INPUT-SIF_Questions'!$N$2:$N$300,'INPUT-SIF_Questions'!$S$2:$S$300,"&lt;="&amp;EOMONTH(A6,0),'INPUT-SIF_Questions'!$B$2:$B$300,1)</f>
        <v>25</v>
      </c>
      <c r="D6" s="71">
        <f t="shared" si="0"/>
        <v>47</v>
      </c>
      <c r="E6" s="58">
        <f t="shared" si="1"/>
        <v>0.46808510638297873</v>
      </c>
      <c r="F6" s="58" cm="1">
        <f t="array" ref="F6">IF(E6&lt;&gt;"",E6,IF(MONTH(A6)&lt;=MONTH(LOOKUP(2,1/ISNUMBER($E$2:$E$13),$A$2:$A$13)),"N/A",LOOKUP(2,1/ISNUMBER($E$2:$E$13),$E$2:$E$13)+(100%-LOOKUP(2,1/ISNUMBER($E$2:$E$13),$E$2:$E$13))*(MONTH(A6)-MONTH(LOOKUP(2,1/ISNUMBER($E$2:$E$13),$A$2:$A$13)))/(12-MONTH(LOOKUP(2,1/ISNUMBER($E$2:$E$13),$A$2:$A$13)))))</f>
        <v>0.46808510638297873</v>
      </c>
      <c r="G6" s="71">
        <f>COUNTIFS('INPUT-SIF_Questions'!$J$2:$J$300,"A",'INPUT-SIF_Questions'!$S$2:$S$300,"&lt;="&amp;EOMONTH(A6,0),'INPUT-SIF_Questions'!$B$2:$B$300,1)</f>
        <v>6</v>
      </c>
    </row>
    <row r="7" spans="1:17" ht="14.25" customHeight="1" x14ac:dyDescent="0.45">
      <c r="A7" s="70">
        <v>46174</v>
      </c>
      <c r="B7" s="71">
        <f>SUMIFS('INPUT-SIF_Questions'!$M$2:$M$300,'INPUT-SIF_Questions'!$S$2:$S$300,"&lt;="&amp;EOMONTH(A7,0),'INPUT-SIF_Questions'!$B$2:$B$300,1)</f>
        <v>39</v>
      </c>
      <c r="C7" s="71">
        <f>SUMIFS('INPUT-SIF_Questions'!$N$2:$N$300,'INPUT-SIF_Questions'!$S$2:$S$300,"&lt;="&amp;EOMONTH(A7,0),'INPUT-SIF_Questions'!$B$2:$B$300,1)</f>
        <v>44</v>
      </c>
      <c r="D7" s="71">
        <f t="shared" si="0"/>
        <v>83</v>
      </c>
      <c r="E7" s="58">
        <f t="shared" si="1"/>
        <v>0.46987951807228917</v>
      </c>
      <c r="F7" s="58" cm="1">
        <f t="array" ref="F7">IF(E7&lt;&gt;"",E7,IF(MONTH(A7)&lt;=MONTH(LOOKUP(2,1/ISNUMBER($E$2:$E$13),$A$2:$A$13)),"N/A",LOOKUP(2,1/ISNUMBER($E$2:$E$13),$E$2:$E$13)+(100%-LOOKUP(2,1/ISNUMBER($E$2:$E$13),$E$2:$E$13))*(MONTH(A7)-MONTH(LOOKUP(2,1/ISNUMBER($E$2:$E$13),$A$2:$A$13)))/(12-MONTH(LOOKUP(2,1/ISNUMBER($E$2:$E$13),$A$2:$A$13)))))</f>
        <v>0.46987951807228917</v>
      </c>
      <c r="G7" s="71">
        <f>COUNTIFS('INPUT-SIF_Questions'!$J$2:$J$300,"A",'INPUT-SIF_Questions'!$S$2:$S$300,"&lt;="&amp;EOMONTH(A7,0),'INPUT-SIF_Questions'!$B$2:$B$300,1)</f>
        <v>11</v>
      </c>
    </row>
    <row r="8" spans="1:17" ht="14.25" customHeight="1" x14ac:dyDescent="0.45">
      <c r="A8" s="73">
        <v>46204</v>
      </c>
      <c r="B8" s="72">
        <f>SUMIFS('INPUT-SIF_Questions'!$M$2:$M$300,'INPUT-SIF_Questions'!$S$2:$S$300,"&lt;="&amp;EOMONTH(A8,0),'INPUT-SIF_Questions'!$B$2:$B$300,1)</f>
        <v>83</v>
      </c>
      <c r="C8" s="72">
        <f>SUMIFS('INPUT-SIF_Questions'!$N$2:$N$300,'INPUT-SIF_Questions'!$S$2:$S$300,"&lt;="&amp;EOMONTH(A8,0),'INPUT-SIF_Questions'!$B$2:$B$300,1)</f>
        <v>77</v>
      </c>
      <c r="D8" s="72">
        <f t="shared" si="0"/>
        <v>160</v>
      </c>
      <c r="E8" s="66">
        <f t="shared" si="1"/>
        <v>0.51875000000000004</v>
      </c>
      <c r="F8" s="58" cm="1">
        <f t="array" ref="F8">IF(E8&lt;&gt;"",E8,IF(MONTH(A8)&lt;=MONTH(LOOKUP(2,1/ISNUMBER($E$2:$E$13),$A$2:$A$13)),"N/A",LOOKUP(2,1/ISNUMBER($E$2:$E$13),$E$2:$E$13)+(100%-LOOKUP(2,1/ISNUMBER($E$2:$E$13),$E$2:$E$13))*(MONTH(A8)-MONTH(LOOKUP(2,1/ISNUMBER($E$2:$E$13),$A$2:$A$13)))/(12-MONTH(LOOKUP(2,1/ISNUMBER($E$2:$E$13),$A$2:$A$13)))))</f>
        <v>0.51875000000000004</v>
      </c>
      <c r="G8" s="72">
        <f>COUNTIFS('INPUT-SIF_Questions'!$J$2:$J$300,"A",'INPUT-SIF_Questions'!$S$2:$S$300,"&lt;="&amp;EOMONTH(A8,0),'INPUT-SIF_Questions'!$B$2:$B$300,1)</f>
        <v>23</v>
      </c>
    </row>
    <row r="9" spans="1:17" ht="14.25" customHeight="1" x14ac:dyDescent="0.45">
      <c r="A9" s="73">
        <v>46235</v>
      </c>
      <c r="B9" s="72">
        <f>SUMIFS('INPUT-SIF_Questions'!$M$2:$M$300,'INPUT-SIF_Questions'!$S$2:$S$300,"&lt;="&amp;EOMONTH(A9,0),'INPUT-SIF_Questions'!$B$2:$B$300,1)</f>
        <v>83</v>
      </c>
      <c r="C9" s="72">
        <f>SUMIFS('INPUT-SIF_Questions'!$N$2:$N$300,'INPUT-SIF_Questions'!$S$2:$S$300,"&lt;="&amp;EOMONTH(A9,0),'INPUT-SIF_Questions'!$B$2:$B$300,1)</f>
        <v>77</v>
      </c>
      <c r="D9" s="72">
        <f t="shared" si="0"/>
        <v>160</v>
      </c>
      <c r="E9" s="66"/>
      <c r="F9" s="58" cm="1">
        <f t="array" ref="F9">IF(E9&lt;&gt;"",E9,IF(MONTH(A9)&lt;=MONTH(LOOKUP(2,1/ISNUMBER($E$2:$E$13),$A$2:$A$13)),"N/A",LOOKUP(2,1/ISNUMBER($E$2:$E$13),$E$2:$E$13)+(100%-LOOKUP(2,1/ISNUMBER($E$2:$E$13),$E$2:$E$13))*(MONTH(A9)-MONTH(LOOKUP(2,1/ISNUMBER($E$2:$E$13),$A$2:$A$13)))/(12-MONTH(LOOKUP(2,1/ISNUMBER($E$2:$E$13),$A$2:$A$13)))))</f>
        <v>0.61499999999999999</v>
      </c>
      <c r="G9" s="72">
        <f>COUNTIFS('INPUT-SIF_Questions'!$J$2:$J$300,"A",'INPUT-SIF_Questions'!$S$2:$S$300,"&lt;="&amp;EOMONTH(A9,0),'INPUT-SIF_Questions'!$B$2:$B$300,1)</f>
        <v>23</v>
      </c>
    </row>
    <row r="10" spans="1:17" ht="14.25" customHeight="1" x14ac:dyDescent="0.45">
      <c r="A10" s="73">
        <v>46266</v>
      </c>
      <c r="B10" s="72">
        <f>SUMIFS('INPUT-SIF_Questions'!$M$2:$M$300,'INPUT-SIF_Questions'!$S$2:$S$300,"&lt;="&amp;EOMONTH(A10,0),'INPUT-SIF_Questions'!$B$2:$B$300,1)</f>
        <v>83</v>
      </c>
      <c r="C10" s="72">
        <f>SUMIFS('INPUT-SIF_Questions'!$N$2:$N$300,'INPUT-SIF_Questions'!$S$2:$S$300,"&lt;="&amp;EOMONTH(A10,0),'INPUT-SIF_Questions'!$B$2:$B$300,1)</f>
        <v>77</v>
      </c>
      <c r="D10" s="72">
        <f t="shared" si="0"/>
        <v>160</v>
      </c>
      <c r="E10" s="66"/>
      <c r="F10" s="58" cm="1">
        <f t="array" ref="F10">IF(E10&lt;&gt;"",E10,IF(MONTH(A10)&lt;=MONTH(LOOKUP(2,1/ISNUMBER($E$2:$E$13),$A$2:$A$13)),"N/A",LOOKUP(2,1/ISNUMBER($E$2:$E$13),$E$2:$E$13)+(100%-LOOKUP(2,1/ISNUMBER($E$2:$E$13),$E$2:$E$13))*(MONTH(A10)-MONTH(LOOKUP(2,1/ISNUMBER($E$2:$E$13),$A$2:$A$13)))/(12-MONTH(LOOKUP(2,1/ISNUMBER($E$2:$E$13),$A$2:$A$13)))))</f>
        <v>0.71125000000000005</v>
      </c>
      <c r="G10" s="72">
        <f>COUNTIFS('INPUT-SIF_Questions'!$J$2:$J$300,"A",'INPUT-SIF_Questions'!$S$2:$S$300,"&lt;="&amp;EOMONTH(A10,0),'INPUT-SIF_Questions'!$B$2:$B$300,1)</f>
        <v>23</v>
      </c>
    </row>
    <row r="11" spans="1:17" ht="14.25" customHeight="1" x14ac:dyDescent="0.45">
      <c r="A11" s="73">
        <v>46296</v>
      </c>
      <c r="B11" s="72">
        <f>SUMIFS('INPUT-SIF_Questions'!$M$2:$M$300,'INPUT-SIF_Questions'!$S$2:$S$300,"&lt;="&amp;EOMONTH(A11,0),'INPUT-SIF_Questions'!$B$2:$B$300,1)</f>
        <v>83</v>
      </c>
      <c r="C11" s="72">
        <f>SUMIFS('INPUT-SIF_Questions'!$N$2:$N$300,'INPUT-SIF_Questions'!$S$2:$S$300,"&lt;="&amp;EOMONTH(A11,0),'INPUT-SIF_Questions'!$B$2:$B$300,1)</f>
        <v>77</v>
      </c>
      <c r="D11" s="72">
        <f t="shared" si="0"/>
        <v>160</v>
      </c>
      <c r="E11" s="66"/>
      <c r="F11" s="58" cm="1">
        <f t="array" ref="F11">IF(E11&lt;&gt;"",E11,IF(MONTH(A11)&lt;=MONTH(LOOKUP(2,1/ISNUMBER($E$2:$E$13),$A$2:$A$13)),"N/A",LOOKUP(2,1/ISNUMBER($E$2:$E$13),$E$2:$E$13)+(100%-LOOKUP(2,1/ISNUMBER($E$2:$E$13),$E$2:$E$13))*(MONTH(A11)-MONTH(LOOKUP(2,1/ISNUMBER($E$2:$E$13),$A$2:$A$13)))/(12-MONTH(LOOKUP(2,1/ISNUMBER($E$2:$E$13),$A$2:$A$13)))))</f>
        <v>0.8075</v>
      </c>
      <c r="G11" s="72">
        <f>COUNTIFS('INPUT-SIF_Questions'!$J$2:$J$300,"A",'INPUT-SIF_Questions'!$S$2:$S$300,"&lt;="&amp;EOMONTH(A11,0),'INPUT-SIF_Questions'!$B$2:$B$300,1)</f>
        <v>23</v>
      </c>
    </row>
    <row r="12" spans="1:17" ht="14.25" customHeight="1" x14ac:dyDescent="0.45">
      <c r="A12" s="73">
        <v>46327</v>
      </c>
      <c r="B12" s="72">
        <f>SUMIFS('INPUT-SIF_Questions'!$M$2:$M$300,'INPUT-SIF_Questions'!$S$2:$S$300,"&lt;="&amp;EOMONTH(A12,0),'INPUT-SIF_Questions'!$B$2:$B$300,1)</f>
        <v>83</v>
      </c>
      <c r="C12" s="72">
        <f>SUMIFS('INPUT-SIF_Questions'!$N$2:$N$300,'INPUT-SIF_Questions'!$S$2:$S$300,"&lt;="&amp;EOMONTH(A12,0),'INPUT-SIF_Questions'!$B$2:$B$300,1)</f>
        <v>77</v>
      </c>
      <c r="D12" s="72">
        <f t="shared" si="0"/>
        <v>160</v>
      </c>
      <c r="E12" s="66"/>
      <c r="F12" s="58" cm="1">
        <f t="array" ref="F12">IF(E12&lt;&gt;"",E12,IF(MONTH(A12)&lt;=MONTH(LOOKUP(2,1/ISNUMBER($E$2:$E$13),$A$2:$A$13)),"N/A",LOOKUP(2,1/ISNUMBER($E$2:$E$13),$E$2:$E$13)+(100%-LOOKUP(2,1/ISNUMBER($E$2:$E$13),$E$2:$E$13))*(MONTH(A12)-MONTH(LOOKUP(2,1/ISNUMBER($E$2:$E$13),$A$2:$A$13)))/(12-MONTH(LOOKUP(2,1/ISNUMBER($E$2:$E$13),$A$2:$A$13)))))</f>
        <v>0.90375000000000005</v>
      </c>
      <c r="G12" s="72">
        <f>COUNTIFS('INPUT-SIF_Questions'!$J$2:$J$300,"A",'INPUT-SIF_Questions'!$S$2:$S$300,"&lt;="&amp;EOMONTH(A12,0),'INPUT-SIF_Questions'!$B$2:$B$300,1)</f>
        <v>23</v>
      </c>
    </row>
    <row r="13" spans="1:17" ht="14.25" customHeight="1" x14ac:dyDescent="0.45">
      <c r="A13" s="73">
        <v>46357</v>
      </c>
      <c r="B13" s="72">
        <f>SUMIFS('INPUT-SIF_Questions'!$M$2:$M$300,'INPUT-SIF_Questions'!$S$2:$S$300,"&lt;="&amp;EOMONTH(A13,0),'INPUT-SIF_Questions'!$B$2:$B$300,1)</f>
        <v>83</v>
      </c>
      <c r="C13" s="72">
        <f>SUMIFS('INPUT-SIF_Questions'!$N$2:$N$300,'INPUT-SIF_Questions'!$S$2:$S$300,"&lt;="&amp;EOMONTH(A13,0),'INPUT-SIF_Questions'!$B$2:$B$300,1)</f>
        <v>77</v>
      </c>
      <c r="D13" s="72">
        <f t="shared" si="0"/>
        <v>160</v>
      </c>
      <c r="E13" s="66"/>
      <c r="F13" s="58" cm="1">
        <f t="array" ref="F13">IF(E13&lt;&gt;"",E13,IF(MONTH(A13)&lt;=MONTH(LOOKUP(2,1/ISNUMBER($E$2:$E$13),$A$2:$A$13)),"N/A",LOOKUP(2,1/ISNUMBER($E$2:$E$13),$E$2:$E$13)+(100%-LOOKUP(2,1/ISNUMBER($E$2:$E$13),$E$2:$E$13))*(MONTH(A13)-MONTH(LOOKUP(2,1/ISNUMBER($E$2:$E$13),$A$2:$A$13)))/(12-MONTH(LOOKUP(2,1/ISNUMBER($E$2:$E$13),$A$2:$A$13)))))</f>
        <v>1</v>
      </c>
      <c r="G13" s="72">
        <f>COUNTIFS('INPUT-SIF_Questions'!$J$2:$J$300,"A",'INPUT-SIF_Questions'!$S$2:$S$300,"&lt;="&amp;EOMONTH(A13,0),'INPUT-SIF_Questions'!$B$2:$B$300,1)</f>
        <v>23</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H11"/>
  <sheetViews>
    <sheetView zoomScaleNormal="100" workbookViewId="0">
      <selection activeCell="B10" sqref="B10"/>
    </sheetView>
  </sheetViews>
  <sheetFormatPr defaultColWidth="8.6640625" defaultRowHeight="14.25" customHeight="1" x14ac:dyDescent="0.45"/>
  <cols>
    <col min="1" max="1" width="15.73046875" style="1" bestFit="1" customWidth="1"/>
    <col min="2" max="2" width="58.3984375" style="3" customWidth="1"/>
    <col min="3" max="3" width="13.53125" style="29" customWidth="1"/>
    <col min="4" max="4" width="21.796875" style="29" customWidth="1"/>
    <col min="5" max="5" width="14.9296875" style="29" customWidth="1"/>
    <col min="6" max="6" width="13.59765625" style="29" customWidth="1"/>
    <col min="7" max="7" width="57.265625" style="3" customWidth="1"/>
    <col min="8" max="8" width="24.06640625" style="29" customWidth="1"/>
    <col min="9" max="16384" width="8.6640625" style="29"/>
  </cols>
  <sheetData>
    <row r="1" spans="1:8" ht="27.75" customHeight="1" x14ac:dyDescent="0.45">
      <c r="A1" s="74" t="s">
        <v>4</v>
      </c>
      <c r="B1" s="75" t="s">
        <v>2045</v>
      </c>
      <c r="C1" s="49" t="s">
        <v>2046</v>
      </c>
      <c r="D1" s="49" t="s">
        <v>2047</v>
      </c>
      <c r="E1" s="49" t="s">
        <v>1963</v>
      </c>
      <c r="F1" s="49" t="s">
        <v>2048</v>
      </c>
      <c r="G1" s="75" t="s">
        <v>2049</v>
      </c>
      <c r="H1" s="49" t="s">
        <v>1964</v>
      </c>
    </row>
    <row r="2" spans="1:8" ht="27.75" customHeight="1" x14ac:dyDescent="0.45">
      <c r="A2" s="85" t="s">
        <v>2050</v>
      </c>
      <c r="B2" s="18" t="s">
        <v>2051</v>
      </c>
      <c r="C2" s="2" t="s">
        <v>2052</v>
      </c>
      <c r="D2" s="2" t="s">
        <v>2053</v>
      </c>
      <c r="E2" s="2" t="s">
        <v>2054</v>
      </c>
      <c r="F2" s="76">
        <v>0.2</v>
      </c>
      <c r="G2" s="77" t="s">
        <v>2055</v>
      </c>
      <c r="H2" s="2"/>
    </row>
    <row r="3" spans="1:8" ht="14.25" customHeight="1" x14ac:dyDescent="0.45">
      <c r="A3" s="85" t="s">
        <v>2056</v>
      </c>
      <c r="B3" s="3" t="s">
        <v>2057</v>
      </c>
      <c r="C3" s="2" t="s">
        <v>2058</v>
      </c>
      <c r="D3" s="2" t="s">
        <v>2053</v>
      </c>
      <c r="E3" s="2" t="s">
        <v>2054</v>
      </c>
      <c r="F3" s="76">
        <v>0</v>
      </c>
      <c r="G3" s="77" t="s">
        <v>2059</v>
      </c>
    </row>
    <row r="4" spans="1:8" ht="14.25" customHeight="1" x14ac:dyDescent="0.45">
      <c r="A4" s="85" t="s">
        <v>2060</v>
      </c>
      <c r="B4" s="3" t="s">
        <v>2061</v>
      </c>
      <c r="C4" s="2" t="s">
        <v>2058</v>
      </c>
      <c r="D4" s="2" t="s">
        <v>2053</v>
      </c>
      <c r="E4" s="2" t="s">
        <v>2054</v>
      </c>
      <c r="F4" s="76">
        <v>0</v>
      </c>
      <c r="G4" s="77" t="s">
        <v>2062</v>
      </c>
    </row>
    <row r="5" spans="1:8" ht="14.25" customHeight="1" x14ac:dyDescent="0.45">
      <c r="A5" s="85" t="s">
        <v>2063</v>
      </c>
      <c r="B5" s="18" t="s">
        <v>2064</v>
      </c>
      <c r="C5" s="2" t="s">
        <v>92</v>
      </c>
      <c r="D5" s="2" t="s">
        <v>2065</v>
      </c>
      <c r="E5" s="2" t="s">
        <v>2054</v>
      </c>
      <c r="F5" s="76">
        <v>0.15</v>
      </c>
      <c r="G5" s="18" t="s">
        <v>2066</v>
      </c>
      <c r="H5" s="2" t="s">
        <v>2067</v>
      </c>
    </row>
    <row r="6" spans="1:8" ht="14.25" customHeight="1" x14ac:dyDescent="0.45">
      <c r="A6" s="85" t="s">
        <v>2068</v>
      </c>
      <c r="B6" s="18" t="s">
        <v>2069</v>
      </c>
      <c r="C6" s="2" t="s">
        <v>34</v>
      </c>
      <c r="D6" s="2" t="s">
        <v>2070</v>
      </c>
      <c r="E6" s="2" t="s">
        <v>2054</v>
      </c>
      <c r="F6" s="76">
        <v>0.05</v>
      </c>
      <c r="G6" s="18" t="s">
        <v>2071</v>
      </c>
      <c r="H6" s="2" t="s">
        <v>2067</v>
      </c>
    </row>
    <row r="7" spans="1:8" ht="14.25" customHeight="1" x14ac:dyDescent="0.45">
      <c r="A7" s="85" t="s">
        <v>2072</v>
      </c>
      <c r="B7" s="18" t="s">
        <v>2073</v>
      </c>
      <c r="C7" s="2" t="s">
        <v>34</v>
      </c>
      <c r="D7" s="2" t="s">
        <v>2070</v>
      </c>
      <c r="E7" s="2" t="s">
        <v>2054</v>
      </c>
      <c r="F7" s="76">
        <v>0.05</v>
      </c>
      <c r="G7" s="18" t="s">
        <v>2071</v>
      </c>
      <c r="H7" s="2" t="s">
        <v>2067</v>
      </c>
    </row>
    <row r="8" spans="1:8" x14ac:dyDescent="0.45">
      <c r="A8" s="85" t="s">
        <v>2074</v>
      </c>
      <c r="B8" s="3" t="s">
        <v>2075</v>
      </c>
      <c r="C8" s="2" t="s">
        <v>2058</v>
      </c>
      <c r="D8" s="2" t="s">
        <v>2053</v>
      </c>
      <c r="E8" s="2" t="s">
        <v>2054</v>
      </c>
      <c r="F8" s="76">
        <v>0</v>
      </c>
      <c r="G8" s="77" t="s">
        <v>2076</v>
      </c>
    </row>
    <row r="9" spans="1:8" ht="14.25" customHeight="1" x14ac:dyDescent="0.45">
      <c r="A9" s="85" t="s">
        <v>2077</v>
      </c>
      <c r="B9" s="3" t="s">
        <v>2078</v>
      </c>
      <c r="C9" s="2" t="s">
        <v>2058</v>
      </c>
      <c r="D9" s="2" t="s">
        <v>2053</v>
      </c>
      <c r="E9" s="2" t="s">
        <v>2054</v>
      </c>
      <c r="F9" s="76">
        <v>0</v>
      </c>
      <c r="G9" s="77" t="s">
        <v>2079</v>
      </c>
    </row>
    <row r="10" spans="1:8" ht="14.25" customHeight="1" x14ac:dyDescent="0.45">
      <c r="A10" s="85"/>
    </row>
    <row r="11" spans="1:8" ht="14.25" customHeight="1" x14ac:dyDescent="0.45">
      <c r="A11" s="85"/>
    </row>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B6"/>
  <sheetViews>
    <sheetView zoomScaleNormal="100" workbookViewId="0"/>
  </sheetViews>
  <sheetFormatPr defaultColWidth="8.6640625" defaultRowHeight="14.25" customHeight="1" x14ac:dyDescent="0.45"/>
  <cols>
    <col min="1" max="1" width="27.19921875" style="68" customWidth="1"/>
    <col min="2" max="2" width="88.6640625" style="4" customWidth="1"/>
  </cols>
  <sheetData>
    <row r="1" spans="1:2" ht="14.25" customHeight="1" x14ac:dyDescent="0.45">
      <c r="A1" s="75" t="s">
        <v>2080</v>
      </c>
      <c r="B1" s="49" t="s">
        <v>2081</v>
      </c>
    </row>
    <row r="2" spans="1:2" ht="14.25" customHeight="1" x14ac:dyDescent="0.45">
      <c r="A2" s="18" t="s">
        <v>2082</v>
      </c>
      <c r="B2" s="27" t="s">
        <v>2083</v>
      </c>
    </row>
    <row r="3" spans="1:2" ht="14.25" customHeight="1" x14ac:dyDescent="0.45">
      <c r="A3" s="18" t="s">
        <v>2084</v>
      </c>
      <c r="B3" s="27" t="s">
        <v>2085</v>
      </c>
    </row>
    <row r="4" spans="1:2" ht="14.25" customHeight="1" x14ac:dyDescent="0.45">
      <c r="A4" s="18" t="s">
        <v>2086</v>
      </c>
      <c r="B4" s="27" t="s">
        <v>2087</v>
      </c>
    </row>
    <row r="5" spans="1:2" ht="14.25" customHeight="1" x14ac:dyDescent="0.45">
      <c r="A5" s="18" t="s">
        <v>2088</v>
      </c>
      <c r="B5" s="27" t="s">
        <v>2089</v>
      </c>
    </row>
    <row r="6" spans="1:2" ht="14.25" customHeight="1" x14ac:dyDescent="0.45">
      <c r="A6" s="18" t="s">
        <v>2090</v>
      </c>
      <c r="B6" s="27" t="s">
        <v>2091</v>
      </c>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1:B23"/>
  <sheetViews>
    <sheetView zoomScaleNormal="100" workbookViewId="0"/>
  </sheetViews>
  <sheetFormatPr defaultColWidth="9.06640625" defaultRowHeight="13.5" customHeight="1" x14ac:dyDescent="0.45"/>
  <cols>
    <col min="1" max="1" width="29.86328125" style="78" customWidth="1"/>
    <col min="2" max="2" width="96" style="78" customWidth="1"/>
    <col min="3" max="16384" width="9.06640625" style="78"/>
  </cols>
  <sheetData>
    <row r="1" spans="1:2" ht="6.75" customHeight="1" x14ac:dyDescent="0.45">
      <c r="A1" s="79" t="s">
        <v>2014</v>
      </c>
      <c r="B1" s="79" t="s">
        <v>2092</v>
      </c>
    </row>
    <row r="2" spans="1:2" ht="14.25" customHeight="1" x14ac:dyDescent="0.45">
      <c r="A2" s="80" t="s">
        <v>2093</v>
      </c>
      <c r="B2" s="80" t="s">
        <v>2094</v>
      </c>
    </row>
    <row r="3" spans="1:2" ht="14.25" customHeight="1" x14ac:dyDescent="0.45">
      <c r="A3" s="80" t="s">
        <v>2095</v>
      </c>
      <c r="B3" s="80" t="s">
        <v>2096</v>
      </c>
    </row>
    <row r="4" spans="1:2" ht="13.5" customHeight="1" x14ac:dyDescent="0.45">
      <c r="A4" s="80" t="s">
        <v>2097</v>
      </c>
      <c r="B4" s="80" t="s">
        <v>2098</v>
      </c>
    </row>
    <row r="5" spans="1:2" ht="14.25" customHeight="1" x14ac:dyDescent="0.45">
      <c r="A5" s="80" t="s">
        <v>2099</v>
      </c>
      <c r="B5" s="80" t="s">
        <v>2100</v>
      </c>
    </row>
    <row r="6" spans="1:2" ht="14.25" customHeight="1" x14ac:dyDescent="0.45">
      <c r="A6" s="80" t="s">
        <v>2101</v>
      </c>
      <c r="B6" s="80" t="s">
        <v>2102</v>
      </c>
    </row>
    <row r="7" spans="1:2" ht="13.5" customHeight="1" x14ac:dyDescent="0.45">
      <c r="A7" s="80" t="s">
        <v>2103</v>
      </c>
      <c r="B7" s="80" t="s">
        <v>2104</v>
      </c>
    </row>
    <row r="8" spans="1:2" ht="14.25" customHeight="1" x14ac:dyDescent="0.45">
      <c r="A8" s="80" t="s">
        <v>2105</v>
      </c>
      <c r="B8" s="80" t="s">
        <v>2106</v>
      </c>
    </row>
    <row r="11" spans="1:2" ht="13.5" customHeight="1" x14ac:dyDescent="0.45">
      <c r="A11" s="81" t="s">
        <v>2107</v>
      </c>
    </row>
    <row r="12" spans="1:2" ht="13.5" customHeight="1" x14ac:dyDescent="0.45">
      <c r="A12" s="81" t="s">
        <v>2108</v>
      </c>
    </row>
    <row r="13" spans="1:2" ht="13.5" customHeight="1" x14ac:dyDescent="0.45">
      <c r="A13" s="81" t="s">
        <v>33</v>
      </c>
    </row>
    <row r="15" spans="1:2" ht="14.25" customHeight="1" x14ac:dyDescent="0.45">
      <c r="A15" s="78" t="s">
        <v>2109</v>
      </c>
    </row>
    <row r="16" spans="1:2" ht="14.25" customHeight="1" x14ac:dyDescent="0.45">
      <c r="A16" s="78" t="s">
        <v>1973</v>
      </c>
      <c r="B16" s="78" t="s">
        <v>2110</v>
      </c>
    </row>
    <row r="17" spans="1:2" ht="14.25" customHeight="1" x14ac:dyDescent="0.45">
      <c r="A17" s="78" t="s">
        <v>2111</v>
      </c>
      <c r="B17" s="78" t="s">
        <v>2112</v>
      </c>
    </row>
    <row r="18" spans="1:2" ht="14.25" customHeight="1" x14ac:dyDescent="0.45">
      <c r="A18" s="78" t="s">
        <v>2113</v>
      </c>
      <c r="B18" s="78" t="s">
        <v>2114</v>
      </c>
    </row>
    <row r="20" spans="1:2" ht="14.25" customHeight="1" x14ac:dyDescent="0.45">
      <c r="A20" s="78" t="s">
        <v>2115</v>
      </c>
    </row>
    <row r="21" spans="1:2" ht="14.25" customHeight="1" x14ac:dyDescent="0.45">
      <c r="A21" s="78" t="s">
        <v>1973</v>
      </c>
      <c r="B21" s="78" t="s">
        <v>2116</v>
      </c>
    </row>
    <row r="22" spans="1:2" ht="14.25" customHeight="1" x14ac:dyDescent="0.45">
      <c r="A22" s="78" t="s">
        <v>2117</v>
      </c>
      <c r="B22" s="78" t="s">
        <v>2118</v>
      </c>
    </row>
    <row r="23" spans="1:2" ht="14.25" customHeight="1" x14ac:dyDescent="0.45">
      <c r="A23" s="78" t="s">
        <v>1967</v>
      </c>
      <c r="B23" s="78" t="s">
        <v>2119</v>
      </c>
    </row>
  </sheetData>
  <pageMargins left="0.7" right="0.7" top="0.75" bottom="0.75" header="0.511811023622047" footer="0.511811023622047"/>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00"/>
  <sheetViews>
    <sheetView zoomScaleNormal="100" workbookViewId="0"/>
  </sheetViews>
  <sheetFormatPr defaultColWidth="8.6640625" defaultRowHeight="14.25" customHeight="1" x14ac:dyDescent="0.45"/>
  <sheetData>
    <row r="1" spans="1:5" ht="14.25" customHeight="1" x14ac:dyDescent="0.45">
      <c r="A1" s="54" t="s">
        <v>2014</v>
      </c>
      <c r="B1" s="54" t="s">
        <v>2015</v>
      </c>
      <c r="C1" s="54" t="s">
        <v>2013</v>
      </c>
      <c r="D1" s="4" t="s">
        <v>2120</v>
      </c>
      <c r="E1" s="4" t="s">
        <v>1581</v>
      </c>
    </row>
    <row r="2" spans="1:5" ht="14.25" customHeight="1" x14ac:dyDescent="0.45">
      <c r="A2" s="4" t="s">
        <v>640</v>
      </c>
      <c r="B2" s="4">
        <f>IF(A2="","",COUNTIFS('INPUT-Drift_Conditions'!$E$2:$E$300,A2,'INPUT-Drift_Conditions'!$K$2:$K$300,"Y"))</f>
        <v>26</v>
      </c>
      <c r="C2" s="4">
        <f>IF(A2="","",COUNTIF($B$2:$B$100,"&gt;"&amp;B2)+COUNTIF($B$2:B2,B2))</f>
        <v>3</v>
      </c>
      <c r="D2" s="4" t="s">
        <v>757</v>
      </c>
      <c r="E2" s="4" t="s">
        <v>659</v>
      </c>
    </row>
    <row r="3" spans="1:5" ht="14.25" customHeight="1" x14ac:dyDescent="0.45">
      <c r="A3" s="4" t="s">
        <v>630</v>
      </c>
      <c r="B3" s="4">
        <f>IF(A3="","",COUNTIFS('INPUT-Drift_Conditions'!$E$2:$E$300,A3,'INPUT-Drift_Conditions'!$K$2:$K$300,"Y"))</f>
        <v>49</v>
      </c>
      <c r="C3" s="4">
        <f>IF(A3="","",COUNTIF($B$2:$B$100,"&gt;"&amp;B3)+COUNTIF($B$2:B3,B3))</f>
        <v>1</v>
      </c>
    </row>
    <row r="4" spans="1:5" ht="14.25" customHeight="1" x14ac:dyDescent="0.45">
      <c r="A4" s="4" t="s">
        <v>750</v>
      </c>
      <c r="B4" s="4">
        <f>IF(A4="","",COUNTIFS('INPUT-Drift_Conditions'!$E$2:$E$300,A4,'INPUT-Drift_Conditions'!$K$2:$K$300,"Y"))</f>
        <v>1</v>
      </c>
      <c r="C4" s="4">
        <f>IF(A4="","",COUNTIF($B$2:$B$100,"&gt;"&amp;B4)+COUNTIF($B$2:B4,B4))</f>
        <v>8</v>
      </c>
    </row>
    <row r="5" spans="1:5" ht="14.25" customHeight="1" x14ac:dyDescent="0.45">
      <c r="A5" s="4" t="s">
        <v>648</v>
      </c>
      <c r="B5" s="4">
        <f>IF(A5="","",COUNTIFS('INPUT-Drift_Conditions'!$E$2:$E$300,A5,'INPUT-Drift_Conditions'!$K$2:$K$300,"Y"))</f>
        <v>6</v>
      </c>
      <c r="C5" s="4">
        <f>IF(A5="","",COUNTIF($B$2:$B$100,"&gt;"&amp;B5)+COUNTIF($B$2:B5,B5))</f>
        <v>5</v>
      </c>
    </row>
    <row r="6" spans="1:5" ht="14.25" customHeight="1" x14ac:dyDescent="0.45">
      <c r="A6" s="4" t="s">
        <v>674</v>
      </c>
      <c r="B6" s="4">
        <f>IF(A6="","",COUNTIFS('INPUT-Drift_Conditions'!$E$2:$E$300,A6,'INPUT-Drift_Conditions'!$K$2:$K$300,"Y"))</f>
        <v>1</v>
      </c>
      <c r="C6" s="4">
        <f>IF(A6="","",COUNTIF($B$2:$B$100,"&gt;"&amp;B6)+COUNTIF($B$2:B6,B6))</f>
        <v>9</v>
      </c>
    </row>
    <row r="7" spans="1:5" ht="14.25" customHeight="1" x14ac:dyDescent="0.45">
      <c r="A7" s="4" t="s">
        <v>671</v>
      </c>
      <c r="B7" s="4">
        <f>IF(A7="","",COUNTIFS('INPUT-Drift_Conditions'!$E$2:$E$300,A7,'INPUT-Drift_Conditions'!$K$2:$K$300,"Y"))</f>
        <v>1</v>
      </c>
      <c r="C7" s="4">
        <f>IF(A7="","",COUNTIF($B$2:$B$100,"&gt;"&amp;B7)+COUNTIF($B$2:B7,B7))</f>
        <v>10</v>
      </c>
    </row>
    <row r="8" spans="1:5" ht="14.25" customHeight="1" x14ac:dyDescent="0.45">
      <c r="A8" s="4" t="s">
        <v>651</v>
      </c>
      <c r="B8" s="4">
        <f>IF(A8="","",COUNTIFS('INPUT-Drift_Conditions'!$E$2:$E$300,A8,'INPUT-Drift_Conditions'!$K$2:$K$300,"Y"))</f>
        <v>5</v>
      </c>
      <c r="C8" s="4">
        <f>IF(A8="","",COUNTIF($B$2:$B$100,"&gt;"&amp;B8)+COUNTIF($B$2:B8,B8))</f>
        <v>6</v>
      </c>
    </row>
    <row r="9" spans="1:5" ht="14.25" customHeight="1" x14ac:dyDescent="0.45">
      <c r="A9" s="4" t="s">
        <v>727</v>
      </c>
      <c r="B9" s="4">
        <f>IF(A9="","",COUNTIFS('INPUT-Drift_Conditions'!$E$2:$E$300,A9,'INPUT-Drift_Conditions'!$K$2:$K$300,"Y"))</f>
        <v>1</v>
      </c>
      <c r="C9" s="4">
        <f>IF(A9="","",COUNTIF($B$2:$B$100,"&gt;"&amp;B9)+COUNTIF($B$2:B9,B9))</f>
        <v>11</v>
      </c>
    </row>
    <row r="10" spans="1:5" ht="14.25" customHeight="1" x14ac:dyDescent="0.45">
      <c r="A10" s="4" t="s">
        <v>625</v>
      </c>
      <c r="B10" s="4">
        <f>IF(A10="","",COUNTIFS('INPUT-Drift_Conditions'!$E$2:$E$300,A10,'INPUT-Drift_Conditions'!$K$2:$K$300,"Y"))</f>
        <v>18</v>
      </c>
      <c r="C10" s="4">
        <f>IF(A10="","",COUNTIF($B$2:$B$100,"&gt;"&amp;B10)+COUNTIF($B$2:B10,B10))</f>
        <v>4</v>
      </c>
    </row>
    <row r="11" spans="1:5" ht="14.25" customHeight="1" x14ac:dyDescent="0.45">
      <c r="A11" s="4" t="s">
        <v>635</v>
      </c>
      <c r="B11" s="4">
        <f>IF(A11="","",COUNTIFS('INPUT-Drift_Conditions'!$E$2:$E$300,A11,'INPUT-Drift_Conditions'!$K$2:$K$300,"Y"))</f>
        <v>29</v>
      </c>
      <c r="C11" s="4">
        <f>IF(A11="","",COUNTIF($B$2:$B$100,"&gt;"&amp;B11)+COUNTIF($B$2:B11,B11))</f>
        <v>2</v>
      </c>
    </row>
    <row r="12" spans="1:5" ht="14.25" customHeight="1" x14ac:dyDescent="0.45">
      <c r="A12" s="4" t="s">
        <v>622</v>
      </c>
      <c r="B12" s="4">
        <f>IF(A12="","",COUNTIFS('INPUT-Drift_Conditions'!$E$2:$E$300,A12,'INPUT-Drift_Conditions'!$K$2:$K$300,"Y"))</f>
        <v>2</v>
      </c>
      <c r="C12" s="4">
        <f>IF(A12="","",COUNTIF($B$2:$B$100,"&gt;"&amp;B12)+COUNTIF($B$2:B12,B12))</f>
        <v>7</v>
      </c>
    </row>
    <row r="13" spans="1:5" ht="14.25" customHeight="1" x14ac:dyDescent="0.45">
      <c r="B13" s="4" t="str">
        <f>IF(A13="","",COUNTIFS('INPUT-Drift_Conditions'!$E$2:$E$300,A13,'INPUT-Drift_Conditions'!$K$2:$K$300,"Y"))</f>
        <v/>
      </c>
      <c r="C13" s="4" t="str">
        <f>IF(A13="","",COUNTIF($B$2:$B$100,"&gt;"&amp;B13)+COUNTIF($B$2:B13,B13))</f>
        <v/>
      </c>
    </row>
    <row r="14" spans="1:5" ht="14.25" customHeight="1" x14ac:dyDescent="0.45">
      <c r="B14" s="4" t="str">
        <f>IF(A14="","",COUNTIFS('INPUT-Drift_Conditions'!$E$2:$E$300,A14,'INPUT-Drift_Conditions'!$K$2:$K$300,"Y"))</f>
        <v/>
      </c>
      <c r="C14" s="4" t="str">
        <f>IF(A14="","",COUNTIF($B$2:$B$100,"&gt;"&amp;B14)+COUNTIF($B$2:B14,B14))</f>
        <v/>
      </c>
    </row>
    <row r="15" spans="1:5" ht="14.25" customHeight="1" x14ac:dyDescent="0.45">
      <c r="B15" s="4" t="str">
        <f>IF(A15="","",COUNTIFS('INPUT-Drift_Conditions'!$E$2:$E$300,A15,'INPUT-Drift_Conditions'!$K$2:$K$300,"Y"))</f>
        <v/>
      </c>
      <c r="C15" s="4" t="str">
        <f>IF(A15="","",COUNTIF($B$2:$B$100,"&gt;"&amp;B15)+COUNTIF($B$2:B15,B15))</f>
        <v/>
      </c>
    </row>
    <row r="16" spans="1:5" ht="14.25" customHeight="1" x14ac:dyDescent="0.45">
      <c r="B16" s="4" t="str">
        <f>IF(A16="","",COUNTIFS('INPUT-Drift_Conditions'!$E$2:$E$300,A16,'INPUT-Drift_Conditions'!$K$2:$K$300,"Y"))</f>
        <v/>
      </c>
      <c r="C16" s="4" t="str">
        <f>IF(A16="","",COUNTIF($B$2:$B$100,"&gt;"&amp;B16)+COUNTIF($B$2:B16,B16))</f>
        <v/>
      </c>
    </row>
    <row r="17" spans="2:3" ht="14.25" customHeight="1" x14ac:dyDescent="0.45">
      <c r="B17" s="4" t="str">
        <f>IF(A17="","",COUNTIFS('INPUT-Drift_Conditions'!$E$2:$E$300,A17,'INPUT-Drift_Conditions'!$K$2:$K$300,"Y"))</f>
        <v/>
      </c>
      <c r="C17" s="4" t="str">
        <f>IF(A17="","",COUNTIF($B$2:$B$100,"&gt;"&amp;B17)+COUNTIF($B$2:B17,B17))</f>
        <v/>
      </c>
    </row>
    <row r="18" spans="2:3" ht="14.25" customHeight="1" x14ac:dyDescent="0.45">
      <c r="B18" s="4" t="str">
        <f>IF(A18="","",COUNTIFS('INPUT-Drift_Conditions'!$E$2:$E$300,A18,'INPUT-Drift_Conditions'!$K$2:$K$300,"Y"))</f>
        <v/>
      </c>
      <c r="C18" s="4" t="str">
        <f>IF(A18="","",COUNTIF($B$2:$B$100,"&gt;"&amp;B18)+COUNTIF($B$2:B18,B18))</f>
        <v/>
      </c>
    </row>
    <row r="19" spans="2:3" ht="14.25" customHeight="1" x14ac:dyDescent="0.45">
      <c r="B19" s="4" t="str">
        <f>IF(A19="","",COUNTIFS('INPUT-Drift_Conditions'!$E$2:$E$300,A19,'INPUT-Drift_Conditions'!$K$2:$K$300,"Y"))</f>
        <v/>
      </c>
      <c r="C19" s="4" t="str">
        <f>IF(A19="","",COUNTIF($B$2:$B$100,"&gt;"&amp;B19)+COUNTIF($B$2:B19,B19))</f>
        <v/>
      </c>
    </row>
    <row r="20" spans="2:3" ht="14.25" customHeight="1" x14ac:dyDescent="0.45">
      <c r="B20" s="4" t="str">
        <f>IF(A20="","",COUNTIFS('INPUT-Drift_Conditions'!$E$2:$E$300,A20,'INPUT-Drift_Conditions'!$K$2:$K$300,"Y"))</f>
        <v/>
      </c>
      <c r="C20" s="4" t="str">
        <f>IF(A20="","",COUNTIF($B$2:$B$100,"&gt;"&amp;B20)+COUNTIF($B$2:B20,B20))</f>
        <v/>
      </c>
    </row>
    <row r="21" spans="2:3" ht="14.25" customHeight="1" x14ac:dyDescent="0.45">
      <c r="B21" s="4" t="str">
        <f>IF(A21="","",COUNTIFS('INPUT-Drift_Conditions'!$E$2:$E$300,A21,'INPUT-Drift_Conditions'!$K$2:$K$300,"Y"))</f>
        <v/>
      </c>
      <c r="C21" s="4" t="str">
        <f>IF(A21="","",COUNTIF($B$2:$B$100,"&gt;"&amp;B21)+COUNTIF($B$2:B21,B21))</f>
        <v/>
      </c>
    </row>
    <row r="22" spans="2:3" ht="14.25" customHeight="1" x14ac:dyDescent="0.45">
      <c r="B22" s="4" t="str">
        <f>IF(A22="","",COUNTIFS('INPUT-Drift_Conditions'!$E$2:$E$300,A22,'INPUT-Drift_Conditions'!$K$2:$K$300,"Y"))</f>
        <v/>
      </c>
      <c r="C22" s="4" t="str">
        <f>IF(A22="","",COUNTIF($B$2:$B$100,"&gt;"&amp;B22)+COUNTIF($B$2:B22,B22))</f>
        <v/>
      </c>
    </row>
    <row r="23" spans="2:3" ht="14.25" customHeight="1" x14ac:dyDescent="0.45">
      <c r="B23" s="4" t="str">
        <f>IF(A23="","",COUNTIFS('INPUT-Drift_Conditions'!$E$2:$E$300,A23,'INPUT-Drift_Conditions'!$K$2:$K$300,"Y"))</f>
        <v/>
      </c>
      <c r="C23" s="4" t="str">
        <f>IF(A23="","",COUNTIF($B$2:$B$100,"&gt;"&amp;B23)+COUNTIF($B$2:B23,B23))</f>
        <v/>
      </c>
    </row>
    <row r="24" spans="2:3" ht="14.25" customHeight="1" x14ac:dyDescent="0.45">
      <c r="B24" s="4" t="str">
        <f>IF(A24="","",COUNTIFS('INPUT-Drift_Conditions'!$E$2:$E$300,A24,'INPUT-Drift_Conditions'!$K$2:$K$300,"Y"))</f>
        <v/>
      </c>
      <c r="C24" s="4" t="str">
        <f>IF(A24="","",COUNTIF($B$2:$B$100,"&gt;"&amp;B24)+COUNTIF($B$2:B24,B24))</f>
        <v/>
      </c>
    </row>
    <row r="25" spans="2:3" ht="14.25" customHeight="1" x14ac:dyDescent="0.45">
      <c r="B25" s="4" t="str">
        <f>IF(A25="","",COUNTIFS('INPUT-Drift_Conditions'!$E$2:$E$300,A25,'INPUT-Drift_Conditions'!$K$2:$K$300,"Y"))</f>
        <v/>
      </c>
      <c r="C25" s="4" t="str">
        <f>IF(A25="","",COUNTIF($B$2:$B$100,"&gt;"&amp;B25)+COUNTIF($B$2:B25,B25))</f>
        <v/>
      </c>
    </row>
    <row r="26" spans="2:3" ht="14.25" customHeight="1" x14ac:dyDescent="0.45">
      <c r="B26" s="4" t="str">
        <f>IF(A26="","",COUNTIFS('INPUT-Drift_Conditions'!$E$2:$E$300,A26,'INPUT-Drift_Conditions'!$K$2:$K$300,"Y"))</f>
        <v/>
      </c>
      <c r="C26" s="4" t="str">
        <f>IF(A26="","",COUNTIF($B$2:$B$100,"&gt;"&amp;B26)+COUNTIF($B$2:B26,B26))</f>
        <v/>
      </c>
    </row>
    <row r="27" spans="2:3" ht="14.25" customHeight="1" x14ac:dyDescent="0.45">
      <c r="B27" s="4" t="str">
        <f>IF(A27="","",COUNTIFS('INPUT-Drift_Conditions'!$E$2:$E$300,A27,'INPUT-Drift_Conditions'!$K$2:$K$300,"Y"))</f>
        <v/>
      </c>
      <c r="C27" s="4" t="str">
        <f>IF(A27="","",COUNTIF($B$2:$B$100,"&gt;"&amp;B27)+COUNTIF($B$2:B27,B27))</f>
        <v/>
      </c>
    </row>
    <row r="28" spans="2:3" ht="14.25" customHeight="1" x14ac:dyDescent="0.45">
      <c r="B28" s="4" t="str">
        <f>IF(A28="","",COUNTIFS('INPUT-Drift_Conditions'!$E$2:$E$300,A28,'INPUT-Drift_Conditions'!$K$2:$K$300,"Y"))</f>
        <v/>
      </c>
      <c r="C28" s="4" t="str">
        <f>IF(A28="","",COUNTIF($B$2:$B$100,"&gt;"&amp;B28)+COUNTIF($B$2:B28,B28))</f>
        <v/>
      </c>
    </row>
    <row r="29" spans="2:3" ht="14.25" customHeight="1" x14ac:dyDescent="0.45">
      <c r="B29" s="4" t="str">
        <f>IF(A29="","",COUNTIFS('INPUT-Drift_Conditions'!$E$2:$E$300,A29,'INPUT-Drift_Conditions'!$K$2:$K$300,"Y"))</f>
        <v/>
      </c>
      <c r="C29" s="4" t="str">
        <f>IF(A29="","",COUNTIF($B$2:$B$100,"&gt;"&amp;B29)+COUNTIF($B$2:B29,B29))</f>
        <v/>
      </c>
    </row>
    <row r="30" spans="2:3" ht="14.25" customHeight="1" x14ac:dyDescent="0.45">
      <c r="B30" s="4" t="str">
        <f>IF(A30="","",COUNTIFS('INPUT-Drift_Conditions'!$E$2:$E$300,A30,'INPUT-Drift_Conditions'!$K$2:$K$300,"Y"))</f>
        <v/>
      </c>
      <c r="C30" s="4" t="str">
        <f>IF(A30="","",COUNTIF($B$2:$B$100,"&gt;"&amp;B30)+COUNTIF($B$2:B30,B30))</f>
        <v/>
      </c>
    </row>
    <row r="31" spans="2:3" ht="14.25" customHeight="1" x14ac:dyDescent="0.45">
      <c r="B31" s="4" t="str">
        <f>IF(A31="","",COUNTIFS('INPUT-Drift_Conditions'!$E$2:$E$300,A31,'INPUT-Drift_Conditions'!$K$2:$K$300,"Y"))</f>
        <v/>
      </c>
      <c r="C31" s="4" t="str">
        <f>IF(A31="","",COUNTIF($B$2:$B$100,"&gt;"&amp;B31)+COUNTIF($B$2:B31,B31))</f>
        <v/>
      </c>
    </row>
    <row r="32" spans="2:3" ht="14.25" customHeight="1" x14ac:dyDescent="0.45">
      <c r="B32" s="4" t="str">
        <f>IF(A32="","",COUNTIFS('INPUT-Drift_Conditions'!$E$2:$E$300,A32,'INPUT-Drift_Conditions'!$K$2:$K$300,"Y"))</f>
        <v/>
      </c>
      <c r="C32" s="4" t="str">
        <f>IF(A32="","",COUNTIF($B$2:$B$100,"&gt;"&amp;B32)+COUNTIF($B$2:B32,B32))</f>
        <v/>
      </c>
    </row>
    <row r="33" spans="2:3" ht="14.25" customHeight="1" x14ac:dyDescent="0.45">
      <c r="B33" s="4" t="str">
        <f>IF(A33="","",COUNTIFS('INPUT-Drift_Conditions'!$E$2:$E$300,A33,'INPUT-Drift_Conditions'!$K$2:$K$300,"Y"))</f>
        <v/>
      </c>
      <c r="C33" s="4" t="str">
        <f>IF(A33="","",COUNTIF($B$2:$B$100,"&gt;"&amp;B33)+COUNTIF($B$2:B33,B33))</f>
        <v/>
      </c>
    </row>
    <row r="34" spans="2:3" ht="14.25" customHeight="1" x14ac:dyDescent="0.45">
      <c r="B34" s="4" t="str">
        <f>IF(A34="","",COUNTIFS('INPUT-Drift_Conditions'!$E$2:$E$300,A34,'INPUT-Drift_Conditions'!$K$2:$K$300,"Y"))</f>
        <v/>
      </c>
      <c r="C34" s="4" t="str">
        <f>IF(A34="","",COUNTIF($B$2:$B$100,"&gt;"&amp;B34)+COUNTIF($B$2:B34,B34))</f>
        <v/>
      </c>
    </row>
    <row r="35" spans="2:3" ht="14.25" customHeight="1" x14ac:dyDescent="0.45">
      <c r="B35" s="4" t="str">
        <f>IF(A35="","",COUNTIFS('INPUT-Drift_Conditions'!$E$2:$E$300,A35,'INPUT-Drift_Conditions'!$K$2:$K$300,"Y"))</f>
        <v/>
      </c>
      <c r="C35" s="4" t="str">
        <f>IF(A35="","",COUNTIF($B$2:$B$100,"&gt;"&amp;B35)+COUNTIF($B$2:B35,B35))</f>
        <v/>
      </c>
    </row>
    <row r="36" spans="2:3" ht="14.25" customHeight="1" x14ac:dyDescent="0.45">
      <c r="B36" s="4" t="str">
        <f>IF(A36="","",COUNTIFS('INPUT-Drift_Conditions'!$E$2:$E$300,A36,'INPUT-Drift_Conditions'!$K$2:$K$300,"Y"))</f>
        <v/>
      </c>
      <c r="C36" s="4" t="str">
        <f>IF(A36="","",COUNTIF($B$2:$B$100,"&gt;"&amp;B36)+COUNTIF($B$2:B36,B36))</f>
        <v/>
      </c>
    </row>
    <row r="37" spans="2:3" ht="14.25" customHeight="1" x14ac:dyDescent="0.45">
      <c r="B37" s="4" t="str">
        <f>IF(A37="","",COUNTIFS('INPUT-Drift_Conditions'!$E$2:$E$300,A37,'INPUT-Drift_Conditions'!$K$2:$K$300,"Y"))</f>
        <v/>
      </c>
      <c r="C37" s="4" t="str">
        <f>IF(A37="","",COUNTIF($B$2:$B$100,"&gt;"&amp;B37)+COUNTIF($B$2:B37,B37))</f>
        <v/>
      </c>
    </row>
    <row r="38" spans="2:3" ht="14.25" customHeight="1" x14ac:dyDescent="0.45">
      <c r="B38" s="4" t="str">
        <f>IF(A38="","",COUNTIFS('INPUT-Drift_Conditions'!$E$2:$E$300,A38,'INPUT-Drift_Conditions'!$K$2:$K$300,"Y"))</f>
        <v/>
      </c>
      <c r="C38" s="4" t="str">
        <f>IF(A38="","",COUNTIF($B$2:$B$100,"&gt;"&amp;B38)+COUNTIF($B$2:B38,B38))</f>
        <v/>
      </c>
    </row>
    <row r="39" spans="2:3" ht="14.25" customHeight="1" x14ac:dyDescent="0.45">
      <c r="B39" s="4" t="str">
        <f>IF(A39="","",COUNTIFS('INPUT-Drift_Conditions'!$E$2:$E$300,A39,'INPUT-Drift_Conditions'!$K$2:$K$300,"Y"))</f>
        <v/>
      </c>
      <c r="C39" s="4" t="str">
        <f>IF(A39="","",COUNTIF($B$2:$B$100,"&gt;"&amp;B39)+COUNTIF($B$2:B39,B39))</f>
        <v/>
      </c>
    </row>
    <row r="40" spans="2:3" ht="14.25" customHeight="1" x14ac:dyDescent="0.45">
      <c r="B40" s="4" t="str">
        <f>IF(A40="","",COUNTIFS('INPUT-Drift_Conditions'!$E$2:$E$300,A40,'INPUT-Drift_Conditions'!$K$2:$K$300,"Y"))</f>
        <v/>
      </c>
      <c r="C40" s="4" t="str">
        <f>IF(A40="","",COUNTIF($B$2:$B$100,"&gt;"&amp;B40)+COUNTIF($B$2:B40,B40))</f>
        <v/>
      </c>
    </row>
    <row r="41" spans="2:3" ht="14.25" customHeight="1" x14ac:dyDescent="0.45">
      <c r="B41" s="4" t="str">
        <f>IF(A41="","",COUNTIFS('INPUT-Drift_Conditions'!$E$2:$E$300,A41,'INPUT-Drift_Conditions'!$K$2:$K$300,"Y"))</f>
        <v/>
      </c>
      <c r="C41" s="4" t="str">
        <f>IF(A41="","",COUNTIF($B$2:$B$100,"&gt;"&amp;B41)+COUNTIF($B$2:B41,B41))</f>
        <v/>
      </c>
    </row>
    <row r="42" spans="2:3" ht="14.25" customHeight="1" x14ac:dyDescent="0.45">
      <c r="B42" s="4" t="str">
        <f>IF(A42="","",COUNTIFS('INPUT-Drift_Conditions'!$E$2:$E$300,A42,'INPUT-Drift_Conditions'!$K$2:$K$300,"Y"))</f>
        <v/>
      </c>
      <c r="C42" s="4" t="str">
        <f>IF(A42="","",COUNTIF($B$2:$B$100,"&gt;"&amp;B42)+COUNTIF($B$2:B42,B42))</f>
        <v/>
      </c>
    </row>
    <row r="43" spans="2:3" ht="14.25" customHeight="1" x14ac:dyDescent="0.45">
      <c r="B43" s="4" t="str">
        <f>IF(A43="","",COUNTIFS('INPUT-Drift_Conditions'!$E$2:$E$300,A43,'INPUT-Drift_Conditions'!$K$2:$K$300,"Y"))</f>
        <v/>
      </c>
      <c r="C43" s="4" t="str">
        <f>IF(A43="","",COUNTIF($B$2:$B$100,"&gt;"&amp;B43)+COUNTIF($B$2:B43,B43))</f>
        <v/>
      </c>
    </row>
    <row r="44" spans="2:3" ht="14.25" customHeight="1" x14ac:dyDescent="0.45">
      <c r="B44" s="4" t="str">
        <f>IF(A44="","",COUNTIFS('INPUT-Drift_Conditions'!$E$2:$E$300,A44,'INPUT-Drift_Conditions'!$K$2:$K$300,"Y"))</f>
        <v/>
      </c>
      <c r="C44" s="4" t="str">
        <f>IF(A44="","",COUNTIF($B$2:$B$100,"&gt;"&amp;B44)+COUNTIF($B$2:B44,B44))</f>
        <v/>
      </c>
    </row>
    <row r="45" spans="2:3" ht="14.25" customHeight="1" x14ac:dyDescent="0.45">
      <c r="B45" s="4" t="str">
        <f>IF(A45="","",COUNTIFS('INPUT-Drift_Conditions'!$E$2:$E$300,A45,'INPUT-Drift_Conditions'!$K$2:$K$300,"Y"))</f>
        <v/>
      </c>
      <c r="C45" s="4" t="str">
        <f>IF(A45="","",COUNTIF($B$2:$B$100,"&gt;"&amp;B45)+COUNTIF($B$2:B45,B45))</f>
        <v/>
      </c>
    </row>
    <row r="46" spans="2:3" ht="14.25" customHeight="1" x14ac:dyDescent="0.45">
      <c r="B46" s="4" t="str">
        <f>IF(A46="","",COUNTIFS('INPUT-Drift_Conditions'!$E$2:$E$300,A46,'INPUT-Drift_Conditions'!$K$2:$K$300,"Y"))</f>
        <v/>
      </c>
      <c r="C46" s="4" t="str">
        <f>IF(A46="","",COUNTIF($B$2:$B$100,"&gt;"&amp;B46)+COUNTIF($B$2:B46,B46))</f>
        <v/>
      </c>
    </row>
    <row r="47" spans="2:3" ht="14.25" customHeight="1" x14ac:dyDescent="0.45">
      <c r="B47" s="4" t="str">
        <f>IF(A47="","",COUNTIFS('INPUT-Drift_Conditions'!$E$2:$E$300,A47,'INPUT-Drift_Conditions'!$K$2:$K$300,"Y"))</f>
        <v/>
      </c>
      <c r="C47" s="4" t="str">
        <f>IF(A47="","",COUNTIF($B$2:$B$100,"&gt;"&amp;B47)+COUNTIF($B$2:B47,B47))</f>
        <v/>
      </c>
    </row>
    <row r="48" spans="2:3" ht="14.25" customHeight="1" x14ac:dyDescent="0.45">
      <c r="B48" s="4" t="str">
        <f>IF(A48="","",COUNTIFS('INPUT-Drift_Conditions'!$E$2:$E$300,A48,'INPUT-Drift_Conditions'!$K$2:$K$300,"Y"))</f>
        <v/>
      </c>
      <c r="C48" s="4" t="str">
        <f>IF(A48="","",COUNTIF($B$2:$B$100,"&gt;"&amp;B48)+COUNTIF($B$2:B48,B48))</f>
        <v/>
      </c>
    </row>
    <row r="49" spans="2:3" ht="14.25" customHeight="1" x14ac:dyDescent="0.45">
      <c r="B49" s="4" t="str">
        <f>IF(A49="","",COUNTIFS('INPUT-Drift_Conditions'!$E$2:$E$300,A49,'INPUT-Drift_Conditions'!$K$2:$K$300,"Y"))</f>
        <v/>
      </c>
      <c r="C49" s="4" t="str">
        <f>IF(A49="","",COUNTIF($B$2:$B$100,"&gt;"&amp;B49)+COUNTIF($B$2:B49,B49))</f>
        <v/>
      </c>
    </row>
    <row r="50" spans="2:3" ht="14.25" customHeight="1" x14ac:dyDescent="0.45">
      <c r="B50" s="4" t="str">
        <f>IF(A50="","",COUNTIFS('INPUT-Drift_Conditions'!$E$2:$E$300,A50,'INPUT-Drift_Conditions'!$K$2:$K$300,"Y"))</f>
        <v/>
      </c>
      <c r="C50" s="4" t="str">
        <f>IF(A50="","",COUNTIF($B$2:$B$100,"&gt;"&amp;B50)+COUNTIF($B$2:B50,B50))</f>
        <v/>
      </c>
    </row>
    <row r="51" spans="2:3" ht="14.25" customHeight="1" x14ac:dyDescent="0.45">
      <c r="B51" s="4" t="str">
        <f>IF(A51="","",COUNTIFS('INPUT-Drift_Conditions'!$E$2:$E$300,A51,'INPUT-Drift_Conditions'!$K$2:$K$300,"Y"))</f>
        <v/>
      </c>
      <c r="C51" s="4" t="str">
        <f>IF(A51="","",COUNTIF($B$2:$B$100,"&gt;"&amp;B51)+COUNTIF($B$2:B51,B51))</f>
        <v/>
      </c>
    </row>
    <row r="52" spans="2:3" ht="14.25" customHeight="1" x14ac:dyDescent="0.45">
      <c r="B52" s="4" t="str">
        <f>IF(A52="","",COUNTIFS('INPUT-Drift_Conditions'!$E$2:$E$300,A52,'INPUT-Drift_Conditions'!$K$2:$K$300,"Y"))</f>
        <v/>
      </c>
      <c r="C52" s="4" t="str">
        <f>IF(A52="","",COUNTIF($B$2:$B$100,"&gt;"&amp;B52)+COUNTIF($B$2:B52,B52))</f>
        <v/>
      </c>
    </row>
    <row r="53" spans="2:3" ht="14.25" customHeight="1" x14ac:dyDescent="0.45">
      <c r="B53" s="4" t="str">
        <f>IF(A53="","",COUNTIFS('INPUT-Drift_Conditions'!$E$2:$E$300,A53,'INPUT-Drift_Conditions'!$K$2:$K$300,"Y"))</f>
        <v/>
      </c>
      <c r="C53" s="4" t="str">
        <f>IF(A53="","",COUNTIF($B$2:$B$100,"&gt;"&amp;B53)+COUNTIF($B$2:B53,B53))</f>
        <v/>
      </c>
    </row>
    <row r="54" spans="2:3" ht="14.25" customHeight="1" x14ac:dyDescent="0.45">
      <c r="B54" s="4" t="str">
        <f>IF(A54="","",COUNTIFS('INPUT-Drift_Conditions'!$E$2:$E$300,A54,'INPUT-Drift_Conditions'!$K$2:$K$300,"Y"))</f>
        <v/>
      </c>
      <c r="C54" s="4" t="str">
        <f>IF(A54="","",COUNTIF($B$2:$B$100,"&gt;"&amp;B54)+COUNTIF($B$2:B54,B54))</f>
        <v/>
      </c>
    </row>
    <row r="55" spans="2:3" ht="14.25" customHeight="1" x14ac:dyDescent="0.45">
      <c r="B55" s="4" t="str">
        <f>IF(A55="","",COUNTIFS('INPUT-Drift_Conditions'!$E$2:$E$300,A55,'INPUT-Drift_Conditions'!$K$2:$K$300,"Y"))</f>
        <v/>
      </c>
      <c r="C55" s="4" t="str">
        <f>IF(A55="","",COUNTIF($B$2:$B$100,"&gt;"&amp;B55)+COUNTIF($B$2:B55,B55))</f>
        <v/>
      </c>
    </row>
    <row r="56" spans="2:3" ht="14.25" customHeight="1" x14ac:dyDescent="0.45">
      <c r="B56" s="4" t="str">
        <f>IF(A56="","",COUNTIFS('INPUT-Drift_Conditions'!$E$2:$E$300,A56,'INPUT-Drift_Conditions'!$K$2:$K$300,"Y"))</f>
        <v/>
      </c>
      <c r="C56" s="4" t="str">
        <f>IF(A56="","",COUNTIF($B$2:$B$100,"&gt;"&amp;B56)+COUNTIF($B$2:B56,B56))</f>
        <v/>
      </c>
    </row>
    <row r="57" spans="2:3" ht="14.25" customHeight="1" x14ac:dyDescent="0.45">
      <c r="B57" s="4" t="str">
        <f>IF(A57="","",COUNTIFS('INPUT-Drift_Conditions'!$E$2:$E$300,A57,'INPUT-Drift_Conditions'!$K$2:$K$300,"Y"))</f>
        <v/>
      </c>
      <c r="C57" s="4" t="str">
        <f>IF(A57="","",COUNTIF($B$2:$B$100,"&gt;"&amp;B57)+COUNTIF($B$2:B57,B57))</f>
        <v/>
      </c>
    </row>
    <row r="58" spans="2:3" ht="14.25" customHeight="1" x14ac:dyDescent="0.45">
      <c r="B58" s="4" t="str">
        <f>IF(A58="","",COUNTIFS('INPUT-Drift_Conditions'!$E$2:$E$300,A58,'INPUT-Drift_Conditions'!$K$2:$K$300,"Y"))</f>
        <v/>
      </c>
      <c r="C58" s="4" t="str">
        <f>IF(A58="","",COUNTIF($B$2:$B$100,"&gt;"&amp;B58)+COUNTIF($B$2:B58,B58))</f>
        <v/>
      </c>
    </row>
    <row r="59" spans="2:3" ht="14.25" customHeight="1" x14ac:dyDescent="0.45">
      <c r="B59" s="4" t="str">
        <f>IF(A59="","",COUNTIFS('INPUT-Drift_Conditions'!$E$2:$E$300,A59,'INPUT-Drift_Conditions'!$K$2:$K$300,"Y"))</f>
        <v/>
      </c>
      <c r="C59" s="4" t="str">
        <f>IF(A59="","",COUNTIF($B$2:$B$100,"&gt;"&amp;B59)+COUNTIF($B$2:B59,B59))</f>
        <v/>
      </c>
    </row>
    <row r="60" spans="2:3" ht="14.25" customHeight="1" x14ac:dyDescent="0.45">
      <c r="B60" s="4" t="str">
        <f>IF(A60="","",COUNTIFS('INPUT-Drift_Conditions'!$E$2:$E$300,A60,'INPUT-Drift_Conditions'!$K$2:$K$300,"Y"))</f>
        <v/>
      </c>
      <c r="C60" s="4" t="str">
        <f>IF(A60="","",COUNTIF($B$2:$B$100,"&gt;"&amp;B60)+COUNTIF($B$2:B60,B60))</f>
        <v/>
      </c>
    </row>
    <row r="61" spans="2:3" ht="14.25" customHeight="1" x14ac:dyDescent="0.45">
      <c r="B61" s="4" t="str">
        <f>IF(A61="","",COUNTIFS('INPUT-Drift_Conditions'!$E$2:$E$300,A61,'INPUT-Drift_Conditions'!$K$2:$K$300,"Y"))</f>
        <v/>
      </c>
      <c r="C61" s="4" t="str">
        <f>IF(A61="","",COUNTIF($B$2:$B$100,"&gt;"&amp;B61)+COUNTIF($B$2:B61,B61))</f>
        <v/>
      </c>
    </row>
    <row r="62" spans="2:3" ht="14.25" customHeight="1" x14ac:dyDescent="0.45">
      <c r="B62" s="4" t="str">
        <f>IF(A62="","",COUNTIFS('INPUT-Drift_Conditions'!$E$2:$E$300,A62,'INPUT-Drift_Conditions'!$K$2:$K$300,"Y"))</f>
        <v/>
      </c>
      <c r="C62" s="4" t="str">
        <f>IF(A62="","",COUNTIF($B$2:$B$100,"&gt;"&amp;B62)+COUNTIF($B$2:B62,B62))</f>
        <v/>
      </c>
    </row>
    <row r="63" spans="2:3" ht="14.25" customHeight="1" x14ac:dyDescent="0.45">
      <c r="B63" s="4" t="str">
        <f>IF(A63="","",COUNTIFS('INPUT-Drift_Conditions'!$E$2:$E$300,A63,'INPUT-Drift_Conditions'!$K$2:$K$300,"Y"))</f>
        <v/>
      </c>
      <c r="C63" s="4" t="str">
        <f>IF(A63="","",COUNTIF($B$2:$B$100,"&gt;"&amp;B63)+COUNTIF($B$2:B63,B63))</f>
        <v/>
      </c>
    </row>
    <row r="64" spans="2:3" ht="14.25" customHeight="1" x14ac:dyDescent="0.45">
      <c r="B64" s="4" t="str">
        <f>IF(A64="","",COUNTIFS('INPUT-Drift_Conditions'!$E$2:$E$300,A64,'INPUT-Drift_Conditions'!$K$2:$K$300,"Y"))</f>
        <v/>
      </c>
      <c r="C64" s="4" t="str">
        <f>IF(A64="","",COUNTIF($B$2:$B$100,"&gt;"&amp;B64)+COUNTIF($B$2:B64,B64))</f>
        <v/>
      </c>
    </row>
    <row r="65" spans="2:3" ht="14.25" customHeight="1" x14ac:dyDescent="0.45">
      <c r="B65" s="4" t="str">
        <f>IF(A65="","",COUNTIFS('INPUT-Drift_Conditions'!$E$2:$E$300,A65,'INPUT-Drift_Conditions'!$K$2:$K$300,"Y"))</f>
        <v/>
      </c>
      <c r="C65" s="4" t="str">
        <f>IF(A65="","",COUNTIF($B$2:$B$100,"&gt;"&amp;B65)+COUNTIF($B$2:B65,B65))</f>
        <v/>
      </c>
    </row>
    <row r="66" spans="2:3" ht="14.25" customHeight="1" x14ac:dyDescent="0.45">
      <c r="B66" s="4" t="str">
        <f>IF(A66="","",COUNTIFS('INPUT-Drift_Conditions'!$E$2:$E$300,A66,'INPUT-Drift_Conditions'!$K$2:$K$300,"Y"))</f>
        <v/>
      </c>
      <c r="C66" s="4" t="str">
        <f>IF(A66="","",COUNTIF($B$2:$B$100,"&gt;"&amp;B66)+COUNTIF($B$2:B66,B66))</f>
        <v/>
      </c>
    </row>
    <row r="67" spans="2:3" ht="14.25" customHeight="1" x14ac:dyDescent="0.45">
      <c r="B67" s="4" t="str">
        <f>IF(A67="","",COUNTIFS('INPUT-Drift_Conditions'!$E$2:$E$300,A67,'INPUT-Drift_Conditions'!$K$2:$K$300,"Y"))</f>
        <v/>
      </c>
      <c r="C67" s="4" t="str">
        <f>IF(A67="","",COUNTIF($B$2:$B$100,"&gt;"&amp;B67)+COUNTIF($B$2:B67,B67))</f>
        <v/>
      </c>
    </row>
    <row r="68" spans="2:3" ht="14.25" customHeight="1" x14ac:dyDescent="0.45">
      <c r="B68" s="4" t="str">
        <f>IF(A68="","",COUNTIFS('INPUT-Drift_Conditions'!$E$2:$E$300,A68,'INPUT-Drift_Conditions'!$K$2:$K$300,"Y"))</f>
        <v/>
      </c>
      <c r="C68" s="4" t="str">
        <f>IF(A68="","",COUNTIF($B$2:$B$100,"&gt;"&amp;B68)+COUNTIF($B$2:B68,B68))</f>
        <v/>
      </c>
    </row>
    <row r="69" spans="2:3" ht="14.25" customHeight="1" x14ac:dyDescent="0.45">
      <c r="B69" s="4" t="str">
        <f>IF(A69="","",COUNTIFS('INPUT-Drift_Conditions'!$E$2:$E$300,A69,'INPUT-Drift_Conditions'!$K$2:$K$300,"Y"))</f>
        <v/>
      </c>
      <c r="C69" s="4" t="str">
        <f>IF(A69="","",COUNTIF($B$2:$B$100,"&gt;"&amp;B69)+COUNTIF($B$2:B69,B69))</f>
        <v/>
      </c>
    </row>
    <row r="70" spans="2:3" ht="14.25" customHeight="1" x14ac:dyDescent="0.45">
      <c r="B70" s="4" t="str">
        <f>IF(A70="","",COUNTIFS('INPUT-Drift_Conditions'!$E$2:$E$300,A70,'INPUT-Drift_Conditions'!$K$2:$K$300,"Y"))</f>
        <v/>
      </c>
      <c r="C70" s="4" t="str">
        <f>IF(A70="","",COUNTIF($B$2:$B$100,"&gt;"&amp;B70)+COUNTIF($B$2:B70,B70))</f>
        <v/>
      </c>
    </row>
    <row r="71" spans="2:3" ht="14.25" customHeight="1" x14ac:dyDescent="0.45">
      <c r="B71" s="4" t="str">
        <f>IF(A71="","",COUNTIFS('INPUT-Drift_Conditions'!$E$2:$E$300,A71,'INPUT-Drift_Conditions'!$K$2:$K$300,"Y"))</f>
        <v/>
      </c>
      <c r="C71" s="4" t="str">
        <f>IF(A71="","",COUNTIF($B$2:$B$100,"&gt;"&amp;B71)+COUNTIF($B$2:B71,B71))</f>
        <v/>
      </c>
    </row>
    <row r="72" spans="2:3" ht="14.25" customHeight="1" x14ac:dyDescent="0.45">
      <c r="B72" s="4" t="str">
        <f>IF(A72="","",COUNTIFS('INPUT-Drift_Conditions'!$E$2:$E$300,A72,'INPUT-Drift_Conditions'!$K$2:$K$300,"Y"))</f>
        <v/>
      </c>
      <c r="C72" s="4" t="str">
        <f>IF(A72="","",COUNTIF($B$2:$B$100,"&gt;"&amp;B72)+COUNTIF($B$2:B72,B72))</f>
        <v/>
      </c>
    </row>
    <row r="73" spans="2:3" ht="14.25" customHeight="1" x14ac:dyDescent="0.45">
      <c r="B73" s="4" t="str">
        <f>IF(A73="","",COUNTIFS('INPUT-Drift_Conditions'!$E$2:$E$300,A73,'INPUT-Drift_Conditions'!$K$2:$K$300,"Y"))</f>
        <v/>
      </c>
      <c r="C73" s="4" t="str">
        <f>IF(A73="","",COUNTIF($B$2:$B$100,"&gt;"&amp;B73)+COUNTIF($B$2:B73,B73))</f>
        <v/>
      </c>
    </row>
    <row r="74" spans="2:3" ht="14.25" customHeight="1" x14ac:dyDescent="0.45">
      <c r="B74" s="4" t="str">
        <f>IF(A74="","",COUNTIFS('INPUT-Drift_Conditions'!$E$2:$E$300,A74,'INPUT-Drift_Conditions'!$K$2:$K$300,"Y"))</f>
        <v/>
      </c>
      <c r="C74" s="4" t="str">
        <f>IF(A74="","",COUNTIF($B$2:$B$100,"&gt;"&amp;B74)+COUNTIF($B$2:B74,B74))</f>
        <v/>
      </c>
    </row>
    <row r="75" spans="2:3" ht="14.25" customHeight="1" x14ac:dyDescent="0.45">
      <c r="B75" s="4" t="str">
        <f>IF(A75="","",COUNTIFS('INPUT-Drift_Conditions'!$E$2:$E$300,A75,'INPUT-Drift_Conditions'!$K$2:$K$300,"Y"))</f>
        <v/>
      </c>
      <c r="C75" s="4" t="str">
        <f>IF(A75="","",COUNTIF($B$2:$B$100,"&gt;"&amp;B75)+COUNTIF($B$2:B75,B75))</f>
        <v/>
      </c>
    </row>
    <row r="76" spans="2:3" ht="14.25" customHeight="1" x14ac:dyDescent="0.45">
      <c r="B76" s="4" t="str">
        <f>IF(A76="","",COUNTIFS('INPUT-Drift_Conditions'!$E$2:$E$300,A76,'INPUT-Drift_Conditions'!$K$2:$K$300,"Y"))</f>
        <v/>
      </c>
      <c r="C76" s="4" t="str">
        <f>IF(A76="","",COUNTIF($B$2:$B$100,"&gt;"&amp;B76)+COUNTIF($B$2:B76,B76))</f>
        <v/>
      </c>
    </row>
    <row r="77" spans="2:3" ht="14.25" customHeight="1" x14ac:dyDescent="0.45">
      <c r="B77" s="4" t="str">
        <f>IF(A77="","",COUNTIFS('INPUT-Drift_Conditions'!$E$2:$E$300,A77,'INPUT-Drift_Conditions'!$K$2:$K$300,"Y"))</f>
        <v/>
      </c>
      <c r="C77" s="4" t="str">
        <f>IF(A77="","",COUNTIF($B$2:$B$100,"&gt;"&amp;B77)+COUNTIF($B$2:B77,B77))</f>
        <v/>
      </c>
    </row>
    <row r="78" spans="2:3" ht="14.25" customHeight="1" x14ac:dyDescent="0.45">
      <c r="B78" s="4" t="str">
        <f>IF(A78="","",COUNTIFS('INPUT-Drift_Conditions'!$E$2:$E$300,A78,'INPUT-Drift_Conditions'!$K$2:$K$300,"Y"))</f>
        <v/>
      </c>
      <c r="C78" s="4" t="str">
        <f>IF(A78="","",COUNTIF($B$2:$B$100,"&gt;"&amp;B78)+COUNTIF($B$2:B78,B78))</f>
        <v/>
      </c>
    </row>
    <row r="79" spans="2:3" ht="14.25" customHeight="1" x14ac:dyDescent="0.45">
      <c r="B79" s="4" t="str">
        <f>IF(A79="","",COUNTIFS('INPUT-Drift_Conditions'!$E$2:$E$300,A79,'INPUT-Drift_Conditions'!$K$2:$K$300,"Y"))</f>
        <v/>
      </c>
      <c r="C79" s="4" t="str">
        <f>IF(A79="","",COUNTIF($B$2:$B$100,"&gt;"&amp;B79)+COUNTIF($B$2:B79,B79))</f>
        <v/>
      </c>
    </row>
    <row r="80" spans="2:3" ht="14.25" customHeight="1" x14ac:dyDescent="0.45">
      <c r="B80" s="4" t="str">
        <f>IF(A80="","",COUNTIFS('INPUT-Drift_Conditions'!$E$2:$E$300,A80,'INPUT-Drift_Conditions'!$K$2:$K$300,"Y"))</f>
        <v/>
      </c>
      <c r="C80" s="4" t="str">
        <f>IF(A80="","",COUNTIF($B$2:$B$100,"&gt;"&amp;B80)+COUNTIF($B$2:B80,B80))</f>
        <v/>
      </c>
    </row>
    <row r="81" spans="2:3" ht="14.25" customHeight="1" x14ac:dyDescent="0.45">
      <c r="B81" s="4" t="str">
        <f>IF(A81="","",COUNTIFS('INPUT-Drift_Conditions'!$E$2:$E$300,A81,'INPUT-Drift_Conditions'!$K$2:$K$300,"Y"))</f>
        <v/>
      </c>
      <c r="C81" s="4" t="str">
        <f>IF(A81="","",COUNTIF($B$2:$B$100,"&gt;"&amp;B81)+COUNTIF($B$2:B81,B81))</f>
        <v/>
      </c>
    </row>
    <row r="82" spans="2:3" ht="14.25" customHeight="1" x14ac:dyDescent="0.45">
      <c r="B82" s="4" t="str">
        <f>IF(A82="","",COUNTIFS('INPUT-Drift_Conditions'!$E$2:$E$300,A82,'INPUT-Drift_Conditions'!$K$2:$K$300,"Y"))</f>
        <v/>
      </c>
      <c r="C82" s="4" t="str">
        <f>IF(A82="","",COUNTIF($B$2:$B$100,"&gt;"&amp;B82)+COUNTIF($B$2:B82,B82))</f>
        <v/>
      </c>
    </row>
    <row r="83" spans="2:3" ht="14.25" customHeight="1" x14ac:dyDescent="0.45">
      <c r="B83" s="4" t="str">
        <f>IF(A83="","",COUNTIFS('INPUT-Drift_Conditions'!$E$2:$E$300,A83,'INPUT-Drift_Conditions'!$K$2:$K$300,"Y"))</f>
        <v/>
      </c>
      <c r="C83" s="4" t="str">
        <f>IF(A83="","",COUNTIF($B$2:$B$100,"&gt;"&amp;B83)+COUNTIF($B$2:B83,B83))</f>
        <v/>
      </c>
    </row>
    <row r="84" spans="2:3" ht="14.25" customHeight="1" x14ac:dyDescent="0.45">
      <c r="B84" s="4" t="str">
        <f>IF(A84="","",COUNTIFS('INPUT-Drift_Conditions'!$E$2:$E$300,A84,'INPUT-Drift_Conditions'!$K$2:$K$300,"Y"))</f>
        <v/>
      </c>
      <c r="C84" s="4" t="str">
        <f>IF(A84="","",COUNTIF($B$2:$B$100,"&gt;"&amp;B84)+COUNTIF($B$2:B84,B84))</f>
        <v/>
      </c>
    </row>
    <row r="85" spans="2:3" ht="14.25" customHeight="1" x14ac:dyDescent="0.45">
      <c r="B85" s="4" t="str">
        <f>IF(A85="","",COUNTIFS('INPUT-Drift_Conditions'!$E$2:$E$300,A85,'INPUT-Drift_Conditions'!$K$2:$K$300,"Y"))</f>
        <v/>
      </c>
      <c r="C85" s="4" t="str">
        <f>IF(A85="","",COUNTIF($B$2:$B$100,"&gt;"&amp;B85)+COUNTIF($B$2:B85,B85))</f>
        <v/>
      </c>
    </row>
    <row r="86" spans="2:3" ht="14.25" customHeight="1" x14ac:dyDescent="0.45">
      <c r="B86" s="4" t="str">
        <f>IF(A86="","",COUNTIFS('INPUT-Drift_Conditions'!$E$2:$E$300,A86,'INPUT-Drift_Conditions'!$K$2:$K$300,"Y"))</f>
        <v/>
      </c>
      <c r="C86" s="4" t="str">
        <f>IF(A86="","",COUNTIF($B$2:$B$100,"&gt;"&amp;B86)+COUNTIF($B$2:B86,B86))</f>
        <v/>
      </c>
    </row>
    <row r="87" spans="2:3" ht="14.25" customHeight="1" x14ac:dyDescent="0.45">
      <c r="B87" s="4" t="str">
        <f>IF(A87="","",COUNTIFS('INPUT-Drift_Conditions'!$E$2:$E$300,A87,'INPUT-Drift_Conditions'!$K$2:$K$300,"Y"))</f>
        <v/>
      </c>
      <c r="C87" s="4" t="str">
        <f>IF(A87="","",COUNTIF($B$2:$B$100,"&gt;"&amp;B87)+COUNTIF($B$2:B87,B87))</f>
        <v/>
      </c>
    </row>
    <row r="88" spans="2:3" ht="14.25" customHeight="1" x14ac:dyDescent="0.45">
      <c r="B88" s="4" t="str">
        <f>IF(A88="","",COUNTIFS('INPUT-Drift_Conditions'!$E$2:$E$300,A88,'INPUT-Drift_Conditions'!$K$2:$K$300,"Y"))</f>
        <v/>
      </c>
      <c r="C88" s="4" t="str">
        <f>IF(A88="","",COUNTIF($B$2:$B$100,"&gt;"&amp;B88)+COUNTIF($B$2:B88,B88))</f>
        <v/>
      </c>
    </row>
    <row r="89" spans="2:3" ht="14.25" customHeight="1" x14ac:dyDescent="0.45">
      <c r="B89" s="4" t="str">
        <f>IF(A89="","",COUNTIFS('INPUT-Drift_Conditions'!$E$2:$E$300,A89,'INPUT-Drift_Conditions'!$K$2:$K$300,"Y"))</f>
        <v/>
      </c>
      <c r="C89" s="4" t="str">
        <f>IF(A89="","",COUNTIF($B$2:$B$100,"&gt;"&amp;B89)+COUNTIF($B$2:B89,B89))</f>
        <v/>
      </c>
    </row>
    <row r="90" spans="2:3" ht="14.25" customHeight="1" x14ac:dyDescent="0.45">
      <c r="B90" s="4" t="str">
        <f>IF(A90="","",COUNTIFS('INPUT-Drift_Conditions'!$E$2:$E$300,A90,'INPUT-Drift_Conditions'!$K$2:$K$300,"Y"))</f>
        <v/>
      </c>
      <c r="C90" s="4" t="str">
        <f>IF(A90="","",COUNTIF($B$2:$B$100,"&gt;"&amp;B90)+COUNTIF($B$2:B90,B90))</f>
        <v/>
      </c>
    </row>
    <row r="91" spans="2:3" ht="14.25" customHeight="1" x14ac:dyDescent="0.45">
      <c r="B91" s="4" t="str">
        <f>IF(A91="","",COUNTIFS('INPUT-Drift_Conditions'!$E$2:$E$300,A91,'INPUT-Drift_Conditions'!$K$2:$K$300,"Y"))</f>
        <v/>
      </c>
      <c r="C91" s="4" t="str">
        <f>IF(A91="","",COUNTIF($B$2:$B$100,"&gt;"&amp;B91)+COUNTIF($B$2:B91,B91))</f>
        <v/>
      </c>
    </row>
    <row r="92" spans="2:3" ht="14.25" customHeight="1" x14ac:dyDescent="0.45">
      <c r="B92" s="4" t="str">
        <f>IF(A92="","",COUNTIFS('INPUT-Drift_Conditions'!$E$2:$E$300,A92,'INPUT-Drift_Conditions'!$K$2:$K$300,"Y"))</f>
        <v/>
      </c>
      <c r="C92" s="4" t="str">
        <f>IF(A92="","",COUNTIF($B$2:$B$100,"&gt;"&amp;B92)+COUNTIF($B$2:B92,B92))</f>
        <v/>
      </c>
    </row>
    <row r="93" spans="2:3" ht="14.25" customHeight="1" x14ac:dyDescent="0.45">
      <c r="B93" s="4" t="str">
        <f>IF(A93="","",COUNTIFS('INPUT-Drift_Conditions'!$E$2:$E$300,A93,'INPUT-Drift_Conditions'!$K$2:$K$300,"Y"))</f>
        <v/>
      </c>
      <c r="C93" s="4" t="str">
        <f>IF(A93="","",COUNTIF($B$2:$B$100,"&gt;"&amp;B93)+COUNTIF($B$2:B93,B93))</f>
        <v/>
      </c>
    </row>
    <row r="94" spans="2:3" ht="14.25" customHeight="1" x14ac:dyDescent="0.45">
      <c r="B94" s="4" t="str">
        <f>IF(A94="","",COUNTIFS('INPUT-Drift_Conditions'!$E$2:$E$300,A94,'INPUT-Drift_Conditions'!$K$2:$K$300,"Y"))</f>
        <v/>
      </c>
      <c r="C94" s="4" t="str">
        <f>IF(A94="","",COUNTIF($B$2:$B$100,"&gt;"&amp;B94)+COUNTIF($B$2:B94,B94))</f>
        <v/>
      </c>
    </row>
    <row r="95" spans="2:3" ht="14.25" customHeight="1" x14ac:dyDescent="0.45">
      <c r="B95" s="4" t="str">
        <f>IF(A95="","",COUNTIFS('INPUT-Drift_Conditions'!$E$2:$E$300,A95,'INPUT-Drift_Conditions'!$K$2:$K$300,"Y"))</f>
        <v/>
      </c>
      <c r="C95" s="4" t="str">
        <f>IF(A95="","",COUNTIF($B$2:$B$100,"&gt;"&amp;B95)+COUNTIF($B$2:B95,B95))</f>
        <v/>
      </c>
    </row>
    <row r="96" spans="2:3" ht="14.25" customHeight="1" x14ac:dyDescent="0.45">
      <c r="B96" s="4" t="str">
        <f>IF(A96="","",COUNTIFS('INPUT-Drift_Conditions'!$E$2:$E$300,A96,'INPUT-Drift_Conditions'!$K$2:$K$300,"Y"))</f>
        <v/>
      </c>
      <c r="C96" s="4" t="str">
        <f>IF(A96="","",COUNTIF($B$2:$B$100,"&gt;"&amp;B96)+COUNTIF($B$2:B96,B96))</f>
        <v/>
      </c>
    </row>
    <row r="97" spans="2:3" ht="14.25" customHeight="1" x14ac:dyDescent="0.45">
      <c r="B97" s="4" t="str">
        <f>IF(A97="","",COUNTIFS('INPUT-Drift_Conditions'!$E$2:$E$300,A97,'INPUT-Drift_Conditions'!$K$2:$K$300,"Y"))</f>
        <v/>
      </c>
      <c r="C97" s="4" t="str">
        <f>IF(A97="","",COUNTIF($B$2:$B$100,"&gt;"&amp;B97)+COUNTIF($B$2:B97,B97))</f>
        <v/>
      </c>
    </row>
    <row r="98" spans="2:3" ht="14.25" customHeight="1" x14ac:dyDescent="0.45">
      <c r="B98" s="4" t="str">
        <f>IF(A98="","",COUNTIFS('INPUT-Drift_Conditions'!$E$2:$E$300,A98,'INPUT-Drift_Conditions'!$K$2:$K$300,"Y"))</f>
        <v/>
      </c>
      <c r="C98" s="4" t="str">
        <f>IF(A98="","",COUNTIF($B$2:$B$100,"&gt;"&amp;B98)+COUNTIF($B$2:B98,B98))</f>
        <v/>
      </c>
    </row>
    <row r="99" spans="2:3" ht="14.25" customHeight="1" x14ac:dyDescent="0.45">
      <c r="B99" s="4" t="str">
        <f>IF(A99="","",COUNTIFS('INPUT-Drift_Conditions'!$E$2:$E$300,A99,'INPUT-Drift_Conditions'!$K$2:$K$300,"Y"))</f>
        <v/>
      </c>
      <c r="C99" s="4" t="str">
        <f>IF(A99="","",COUNTIF($B$2:$B$100,"&gt;"&amp;B99)+COUNTIF($B$2:B99,B99))</f>
        <v/>
      </c>
    </row>
    <row r="100" spans="2:3" ht="14.25" customHeight="1" x14ac:dyDescent="0.45">
      <c r="B100" s="4" t="str">
        <f>IF(A100="","",COUNTIFS('INPUT-Drift_Conditions'!$E$2:$E$300,A100,'INPUT-Drift_Conditions'!$K$2:$K$300,"Y"))</f>
        <v/>
      </c>
      <c r="C100" s="4" t="str">
        <f>IF(A100="","",COUNTIF($B$2:$B$100,"&gt;"&amp;B100)+COUNTIF($B$2:B100,B100))</f>
        <v/>
      </c>
    </row>
  </sheetData>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00"/>
  <sheetViews>
    <sheetView zoomScaleNormal="100" workbookViewId="0"/>
  </sheetViews>
  <sheetFormatPr defaultColWidth="8.6640625" defaultRowHeight="14.25" customHeight="1" x14ac:dyDescent="0.45"/>
  <sheetData>
    <row r="1" spans="1:4" ht="14.25" customHeight="1" x14ac:dyDescent="0.45">
      <c r="A1" s="54" t="s">
        <v>2014</v>
      </c>
      <c r="B1" s="54" t="s">
        <v>2015</v>
      </c>
      <c r="C1" s="54" t="s">
        <v>2013</v>
      </c>
      <c r="D1" s="4" t="s">
        <v>2121</v>
      </c>
    </row>
    <row r="2" spans="1:4" ht="14.25" customHeight="1" x14ac:dyDescent="0.45">
      <c r="A2" s="4" t="s">
        <v>794</v>
      </c>
      <c r="B2" s="4">
        <f>IF(A2="","",COUNTIFS('INPUT-Latent_Conditions'!$E$2:$E$300,A2,'INPUT-Latent_Conditions'!$M$2:$M$300,"Y"))</f>
        <v>39</v>
      </c>
      <c r="C2" s="4">
        <f>IF(A2="","",COUNTIF($B$2:$B$100,"&gt;"&amp;B2)+COUNTIF($B$2:B2,B2))</f>
        <v>1</v>
      </c>
      <c r="D2" s="4" t="s">
        <v>837</v>
      </c>
    </row>
    <row r="3" spans="1:4" ht="14.25" customHeight="1" x14ac:dyDescent="0.45">
      <c r="A3" s="4" t="s">
        <v>823</v>
      </c>
      <c r="B3" s="4">
        <f>IF(A3="","",COUNTIFS('INPUT-Latent_Conditions'!$E$2:$E$300,A3,'INPUT-Latent_Conditions'!$M$2:$M$300,"Y"))</f>
        <v>16</v>
      </c>
      <c r="C3" s="4">
        <f>IF(A3="","",COUNTIF($B$2:$B$100,"&gt;"&amp;B3)+COUNTIF($B$2:B3,B3))</f>
        <v>5</v>
      </c>
      <c r="D3" s="4" t="s">
        <v>875</v>
      </c>
    </row>
    <row r="4" spans="1:4" ht="14.25" customHeight="1" x14ac:dyDescent="0.45">
      <c r="A4" s="4" t="s">
        <v>810</v>
      </c>
      <c r="B4" s="4">
        <f>IF(A4="","",COUNTIFS('INPUT-Latent_Conditions'!$E$2:$E$300,A4,'INPUT-Latent_Conditions'!$M$2:$M$300,"Y"))</f>
        <v>29</v>
      </c>
      <c r="C4" s="4">
        <f>IF(A4="","",COUNTIF($B$2:$B$100,"&gt;"&amp;B4)+COUNTIF($B$2:B4,B4))</f>
        <v>3</v>
      </c>
    </row>
    <row r="5" spans="1:4" ht="14.25" customHeight="1" x14ac:dyDescent="0.45">
      <c r="A5" s="4" t="s">
        <v>899</v>
      </c>
      <c r="B5" s="4">
        <f>IF(A5="","",COUNTIFS('INPUT-Latent_Conditions'!$E$2:$E$300,A5,'INPUT-Latent_Conditions'!$M$2:$M$300,"Y"))</f>
        <v>4</v>
      </c>
      <c r="C5" s="4">
        <f>IF(A5="","",COUNTIF($B$2:$B$100,"&gt;"&amp;B5)+COUNTIF($B$2:B5,B5))</f>
        <v>7</v>
      </c>
    </row>
    <row r="6" spans="1:4" ht="14.25" customHeight="1" x14ac:dyDescent="0.45">
      <c r="A6" s="4" t="s">
        <v>816</v>
      </c>
      <c r="B6" s="4">
        <f>IF(A6="","",COUNTIFS('INPUT-Latent_Conditions'!$E$2:$E$300,A6,'INPUT-Latent_Conditions'!$M$2:$M$300,"Y"))</f>
        <v>23</v>
      </c>
      <c r="C6" s="4">
        <f>IF(A6="","",COUNTIF($B$2:$B$100,"&gt;"&amp;B6)+COUNTIF($B$2:B6,B6))</f>
        <v>4</v>
      </c>
    </row>
    <row r="7" spans="1:4" ht="14.25" customHeight="1" x14ac:dyDescent="0.45">
      <c r="A7" s="4" t="s">
        <v>801</v>
      </c>
      <c r="B7" s="4">
        <f>IF(A7="","",COUNTIFS('INPUT-Latent_Conditions'!$E$2:$E$300,A7,'INPUT-Latent_Conditions'!$M$2:$M$300,"Y"))</f>
        <v>37</v>
      </c>
      <c r="C7" s="4">
        <f>IF(A7="","",COUNTIF($B$2:$B$100,"&gt;"&amp;B7)+COUNTIF($B$2:B7,B7))</f>
        <v>2</v>
      </c>
    </row>
    <row r="8" spans="1:4" ht="14.25" customHeight="1" x14ac:dyDescent="0.45">
      <c r="A8" s="4" t="s">
        <v>881</v>
      </c>
      <c r="B8" s="4">
        <f>IF(A8="","",COUNTIFS('INPUT-Latent_Conditions'!$E$2:$E$300,A8,'INPUT-Latent_Conditions'!$M$2:$M$300,"Y"))</f>
        <v>8</v>
      </c>
      <c r="C8" s="4">
        <f>IF(A8="","",COUNTIF($B$2:$B$100,"&gt;"&amp;B8)+COUNTIF($B$2:B8,B8))</f>
        <v>6</v>
      </c>
    </row>
    <row r="9" spans="1:4" ht="14.25" customHeight="1" x14ac:dyDescent="0.45">
      <c r="B9" s="4" t="str">
        <f>IF(A9="","",COUNTIFS('INPUT-Latent_Conditions'!$E$2:$E$300,A9,'INPUT-Latent_Conditions'!$M$2:$M$300,"Y"))</f>
        <v/>
      </c>
      <c r="C9" s="4" t="str">
        <f>IF(A9="","",COUNTIF($B$2:$B$100,"&gt;"&amp;B9)+COUNTIF($B$2:B9,B9))</f>
        <v/>
      </c>
    </row>
    <row r="10" spans="1:4" ht="14.25" customHeight="1" x14ac:dyDescent="0.45">
      <c r="B10" s="4" t="str">
        <f>IF(A10="","",COUNTIFS('INPUT-Latent_Conditions'!$E$2:$E$300,A10,'INPUT-Latent_Conditions'!$M$2:$M$300,"Y"))</f>
        <v/>
      </c>
      <c r="C10" s="4" t="str">
        <f>IF(A10="","",COUNTIF($B$2:$B$100,"&gt;"&amp;B10)+COUNTIF($B$2:B10,B10))</f>
        <v/>
      </c>
    </row>
    <row r="11" spans="1:4" ht="14.25" customHeight="1" x14ac:dyDescent="0.45">
      <c r="B11" s="4" t="str">
        <f>IF(A11="","",COUNTIFS('INPUT-Latent_Conditions'!$E$2:$E$300,A11,'INPUT-Latent_Conditions'!$M$2:$M$300,"Y"))</f>
        <v/>
      </c>
      <c r="C11" s="4" t="str">
        <f>IF(A11="","",COUNTIF($B$2:$B$100,"&gt;"&amp;B11)+COUNTIF($B$2:B11,B11))</f>
        <v/>
      </c>
    </row>
    <row r="12" spans="1:4" ht="14.25" customHeight="1" x14ac:dyDescent="0.45">
      <c r="B12" s="4" t="str">
        <f>IF(A12="","",COUNTIFS('INPUT-Latent_Conditions'!$E$2:$E$300,A12,'INPUT-Latent_Conditions'!$M$2:$M$300,"Y"))</f>
        <v/>
      </c>
      <c r="C12" s="4" t="str">
        <f>IF(A12="","",COUNTIF($B$2:$B$100,"&gt;"&amp;B12)+COUNTIF($B$2:B12,B12))</f>
        <v/>
      </c>
    </row>
    <row r="13" spans="1:4" ht="14.25" customHeight="1" x14ac:dyDescent="0.45">
      <c r="B13" s="4" t="str">
        <f>IF(A13="","",COUNTIFS('INPUT-Latent_Conditions'!$E$2:$E$300,A13,'INPUT-Latent_Conditions'!$M$2:$M$300,"Y"))</f>
        <v/>
      </c>
      <c r="C13" s="4" t="str">
        <f>IF(A13="","",COUNTIF($B$2:$B$100,"&gt;"&amp;B13)+COUNTIF($B$2:B13,B13))</f>
        <v/>
      </c>
    </row>
    <row r="14" spans="1:4" ht="14.25" customHeight="1" x14ac:dyDescent="0.45">
      <c r="B14" s="4" t="str">
        <f>IF(A14="","",COUNTIFS('INPUT-Latent_Conditions'!$E$2:$E$300,A14,'INPUT-Latent_Conditions'!$M$2:$M$300,"Y"))</f>
        <v/>
      </c>
      <c r="C14" s="4" t="str">
        <f>IF(A14="","",COUNTIF($B$2:$B$100,"&gt;"&amp;B14)+COUNTIF($B$2:B14,B14))</f>
        <v/>
      </c>
    </row>
    <row r="15" spans="1:4" ht="14.25" customHeight="1" x14ac:dyDescent="0.45">
      <c r="B15" s="4" t="str">
        <f>IF(A15="","",COUNTIFS('INPUT-Latent_Conditions'!$E$2:$E$300,A15,'INPUT-Latent_Conditions'!$M$2:$M$300,"Y"))</f>
        <v/>
      </c>
      <c r="C15" s="4" t="str">
        <f>IF(A15="","",COUNTIF($B$2:$B$100,"&gt;"&amp;B15)+COUNTIF($B$2:B15,B15))</f>
        <v/>
      </c>
    </row>
    <row r="16" spans="1:4" ht="14.25" customHeight="1" x14ac:dyDescent="0.45">
      <c r="B16" s="4" t="str">
        <f>IF(A16="","",COUNTIFS('INPUT-Latent_Conditions'!$E$2:$E$300,A16,'INPUT-Latent_Conditions'!$M$2:$M$300,"Y"))</f>
        <v/>
      </c>
      <c r="C16" s="4" t="str">
        <f>IF(A16="","",COUNTIF($B$2:$B$100,"&gt;"&amp;B16)+COUNTIF($B$2:B16,B16))</f>
        <v/>
      </c>
    </row>
    <row r="17" spans="2:3" ht="14.25" customHeight="1" x14ac:dyDescent="0.45">
      <c r="B17" s="4" t="str">
        <f>IF(A17="","",COUNTIFS('INPUT-Latent_Conditions'!$E$2:$E$300,A17,'INPUT-Latent_Conditions'!$M$2:$M$300,"Y"))</f>
        <v/>
      </c>
      <c r="C17" s="4" t="str">
        <f>IF(A17="","",COUNTIF($B$2:$B$100,"&gt;"&amp;B17)+COUNTIF($B$2:B17,B17))</f>
        <v/>
      </c>
    </row>
    <row r="18" spans="2:3" ht="14.25" customHeight="1" x14ac:dyDescent="0.45">
      <c r="B18" s="4" t="str">
        <f>IF(A18="","",COUNTIFS('INPUT-Latent_Conditions'!$E$2:$E$300,A18,'INPUT-Latent_Conditions'!$M$2:$M$300,"Y"))</f>
        <v/>
      </c>
      <c r="C18" s="4" t="str">
        <f>IF(A18="","",COUNTIF($B$2:$B$100,"&gt;"&amp;B18)+COUNTIF($B$2:B18,B18))</f>
        <v/>
      </c>
    </row>
    <row r="19" spans="2:3" ht="14.25" customHeight="1" x14ac:dyDescent="0.45">
      <c r="B19" s="4" t="str">
        <f>IF(A19="","",COUNTIFS('INPUT-Latent_Conditions'!$E$2:$E$300,A19,'INPUT-Latent_Conditions'!$M$2:$M$300,"Y"))</f>
        <v/>
      </c>
      <c r="C19" s="4" t="str">
        <f>IF(A19="","",COUNTIF($B$2:$B$100,"&gt;"&amp;B19)+COUNTIF($B$2:B19,B19))</f>
        <v/>
      </c>
    </row>
    <row r="20" spans="2:3" ht="14.25" customHeight="1" x14ac:dyDescent="0.45">
      <c r="B20" s="4" t="str">
        <f>IF(A20="","",COUNTIFS('INPUT-Latent_Conditions'!$E$2:$E$300,A20,'INPUT-Latent_Conditions'!$M$2:$M$300,"Y"))</f>
        <v/>
      </c>
      <c r="C20" s="4" t="str">
        <f>IF(A20="","",COUNTIF($B$2:$B$100,"&gt;"&amp;B20)+COUNTIF($B$2:B20,B20))</f>
        <v/>
      </c>
    </row>
    <row r="21" spans="2:3" ht="14.25" customHeight="1" x14ac:dyDescent="0.45">
      <c r="B21" s="4" t="str">
        <f>IF(A21="","",COUNTIFS('INPUT-Latent_Conditions'!$E$2:$E$300,A21,'INPUT-Latent_Conditions'!$M$2:$M$300,"Y"))</f>
        <v/>
      </c>
      <c r="C21" s="4" t="str">
        <f>IF(A21="","",COUNTIF($B$2:$B$100,"&gt;"&amp;B21)+COUNTIF($B$2:B21,B21))</f>
        <v/>
      </c>
    </row>
    <row r="22" spans="2:3" ht="14.25" customHeight="1" x14ac:dyDescent="0.45">
      <c r="B22" s="4" t="str">
        <f>IF(A22="","",COUNTIFS('INPUT-Latent_Conditions'!$E$2:$E$300,A22,'INPUT-Latent_Conditions'!$M$2:$M$300,"Y"))</f>
        <v/>
      </c>
      <c r="C22" s="4" t="str">
        <f>IF(A22="","",COUNTIF($B$2:$B$100,"&gt;"&amp;B22)+COUNTIF($B$2:B22,B22))</f>
        <v/>
      </c>
    </row>
    <row r="23" spans="2:3" ht="14.25" customHeight="1" x14ac:dyDescent="0.45">
      <c r="B23" s="4" t="str">
        <f>IF(A23="","",COUNTIFS('INPUT-Latent_Conditions'!$E$2:$E$300,A23,'INPUT-Latent_Conditions'!$M$2:$M$300,"Y"))</f>
        <v/>
      </c>
      <c r="C23" s="4" t="str">
        <f>IF(A23="","",COUNTIF($B$2:$B$100,"&gt;"&amp;B23)+COUNTIF($B$2:B23,B23))</f>
        <v/>
      </c>
    </row>
    <row r="24" spans="2:3" ht="14.25" customHeight="1" x14ac:dyDescent="0.45">
      <c r="B24" s="4" t="str">
        <f>IF(A24="","",COUNTIFS('INPUT-Latent_Conditions'!$E$2:$E$300,A24,'INPUT-Latent_Conditions'!$M$2:$M$300,"Y"))</f>
        <v/>
      </c>
      <c r="C24" s="4" t="str">
        <f>IF(A24="","",COUNTIF($B$2:$B$100,"&gt;"&amp;B24)+COUNTIF($B$2:B24,B24))</f>
        <v/>
      </c>
    </row>
    <row r="25" spans="2:3" ht="14.25" customHeight="1" x14ac:dyDescent="0.45">
      <c r="B25" s="4" t="str">
        <f>IF(A25="","",COUNTIFS('INPUT-Latent_Conditions'!$E$2:$E$300,A25,'INPUT-Latent_Conditions'!$M$2:$M$300,"Y"))</f>
        <v/>
      </c>
      <c r="C25" s="4" t="str">
        <f>IF(A25="","",COUNTIF($B$2:$B$100,"&gt;"&amp;B25)+COUNTIF($B$2:B25,B25))</f>
        <v/>
      </c>
    </row>
    <row r="26" spans="2:3" ht="14.25" customHeight="1" x14ac:dyDescent="0.45">
      <c r="B26" s="4" t="str">
        <f>IF(A26="","",COUNTIFS('INPUT-Latent_Conditions'!$E$2:$E$300,A26,'INPUT-Latent_Conditions'!$M$2:$M$300,"Y"))</f>
        <v/>
      </c>
      <c r="C26" s="4" t="str">
        <f>IF(A26="","",COUNTIF($B$2:$B$100,"&gt;"&amp;B26)+COUNTIF($B$2:B26,B26))</f>
        <v/>
      </c>
    </row>
    <row r="27" spans="2:3" ht="14.25" customHeight="1" x14ac:dyDescent="0.45">
      <c r="B27" s="4" t="str">
        <f>IF(A27="","",COUNTIFS('INPUT-Latent_Conditions'!$E$2:$E$300,A27,'INPUT-Latent_Conditions'!$M$2:$M$300,"Y"))</f>
        <v/>
      </c>
      <c r="C27" s="4" t="str">
        <f>IF(A27="","",COUNTIF($B$2:$B$100,"&gt;"&amp;B27)+COUNTIF($B$2:B27,B27))</f>
        <v/>
      </c>
    </row>
    <row r="28" spans="2:3" ht="14.25" customHeight="1" x14ac:dyDescent="0.45">
      <c r="B28" s="4" t="str">
        <f>IF(A28="","",COUNTIFS('INPUT-Latent_Conditions'!$E$2:$E$300,A28,'INPUT-Latent_Conditions'!$M$2:$M$300,"Y"))</f>
        <v/>
      </c>
      <c r="C28" s="4" t="str">
        <f>IF(A28="","",COUNTIF($B$2:$B$100,"&gt;"&amp;B28)+COUNTIF($B$2:B28,B28))</f>
        <v/>
      </c>
    </row>
    <row r="29" spans="2:3" ht="14.25" customHeight="1" x14ac:dyDescent="0.45">
      <c r="B29" s="4" t="str">
        <f>IF(A29="","",COUNTIFS('INPUT-Latent_Conditions'!$E$2:$E$300,A29,'INPUT-Latent_Conditions'!$M$2:$M$300,"Y"))</f>
        <v/>
      </c>
      <c r="C29" s="4" t="str">
        <f>IF(A29="","",COUNTIF($B$2:$B$100,"&gt;"&amp;B29)+COUNTIF($B$2:B29,B29))</f>
        <v/>
      </c>
    </row>
    <row r="30" spans="2:3" ht="14.25" customHeight="1" x14ac:dyDescent="0.45">
      <c r="B30" s="4" t="str">
        <f>IF(A30="","",COUNTIFS('INPUT-Latent_Conditions'!$E$2:$E$300,A30,'INPUT-Latent_Conditions'!$M$2:$M$300,"Y"))</f>
        <v/>
      </c>
      <c r="C30" s="4" t="str">
        <f>IF(A30="","",COUNTIF($B$2:$B$100,"&gt;"&amp;B30)+COUNTIF($B$2:B30,B30))</f>
        <v/>
      </c>
    </row>
    <row r="31" spans="2:3" ht="14.25" customHeight="1" x14ac:dyDescent="0.45">
      <c r="B31" s="4" t="str">
        <f>IF(A31="","",COUNTIFS('INPUT-Latent_Conditions'!$E$2:$E$300,A31,'INPUT-Latent_Conditions'!$M$2:$M$300,"Y"))</f>
        <v/>
      </c>
      <c r="C31" s="4" t="str">
        <f>IF(A31="","",COUNTIF($B$2:$B$100,"&gt;"&amp;B31)+COUNTIF($B$2:B31,B31))</f>
        <v/>
      </c>
    </row>
    <row r="32" spans="2:3" ht="14.25" customHeight="1" x14ac:dyDescent="0.45">
      <c r="B32" s="4" t="str">
        <f>IF(A32="","",COUNTIFS('INPUT-Latent_Conditions'!$E$2:$E$300,A32,'INPUT-Latent_Conditions'!$M$2:$M$300,"Y"))</f>
        <v/>
      </c>
      <c r="C32" s="4" t="str">
        <f>IF(A32="","",COUNTIF($B$2:$B$100,"&gt;"&amp;B32)+COUNTIF($B$2:B32,B32))</f>
        <v/>
      </c>
    </row>
    <row r="33" spans="2:3" ht="14.25" customHeight="1" x14ac:dyDescent="0.45">
      <c r="B33" s="4" t="str">
        <f>IF(A33="","",COUNTIFS('INPUT-Latent_Conditions'!$E$2:$E$300,A33,'INPUT-Latent_Conditions'!$M$2:$M$300,"Y"))</f>
        <v/>
      </c>
      <c r="C33" s="4" t="str">
        <f>IF(A33="","",COUNTIF($B$2:$B$100,"&gt;"&amp;B33)+COUNTIF($B$2:B33,B33))</f>
        <v/>
      </c>
    </row>
    <row r="34" spans="2:3" ht="14.25" customHeight="1" x14ac:dyDescent="0.45">
      <c r="B34" s="4" t="str">
        <f>IF(A34="","",COUNTIFS('INPUT-Latent_Conditions'!$E$2:$E$300,A34,'INPUT-Latent_Conditions'!$M$2:$M$300,"Y"))</f>
        <v/>
      </c>
      <c r="C34" s="4" t="str">
        <f>IF(A34="","",COUNTIF($B$2:$B$100,"&gt;"&amp;B34)+COUNTIF($B$2:B34,B34))</f>
        <v/>
      </c>
    </row>
    <row r="35" spans="2:3" ht="14.25" customHeight="1" x14ac:dyDescent="0.45">
      <c r="B35" s="4" t="str">
        <f>IF(A35="","",COUNTIFS('INPUT-Latent_Conditions'!$E$2:$E$300,A35,'INPUT-Latent_Conditions'!$M$2:$M$300,"Y"))</f>
        <v/>
      </c>
      <c r="C35" s="4" t="str">
        <f>IF(A35="","",COUNTIF($B$2:$B$100,"&gt;"&amp;B35)+COUNTIF($B$2:B35,B35))</f>
        <v/>
      </c>
    </row>
    <row r="36" spans="2:3" ht="14.25" customHeight="1" x14ac:dyDescent="0.45">
      <c r="B36" s="4" t="str">
        <f>IF(A36="","",COUNTIFS('INPUT-Latent_Conditions'!$E$2:$E$300,A36,'INPUT-Latent_Conditions'!$M$2:$M$300,"Y"))</f>
        <v/>
      </c>
      <c r="C36" s="4" t="str">
        <f>IF(A36="","",COUNTIF($B$2:$B$100,"&gt;"&amp;B36)+COUNTIF($B$2:B36,B36))</f>
        <v/>
      </c>
    </row>
    <row r="37" spans="2:3" ht="14.25" customHeight="1" x14ac:dyDescent="0.45">
      <c r="B37" s="4" t="str">
        <f>IF(A37="","",COUNTIFS('INPUT-Latent_Conditions'!$E$2:$E$300,A37,'INPUT-Latent_Conditions'!$M$2:$M$300,"Y"))</f>
        <v/>
      </c>
      <c r="C37" s="4" t="str">
        <f>IF(A37="","",COUNTIF($B$2:$B$100,"&gt;"&amp;B37)+COUNTIF($B$2:B37,B37))</f>
        <v/>
      </c>
    </row>
    <row r="38" spans="2:3" ht="14.25" customHeight="1" x14ac:dyDescent="0.45">
      <c r="B38" s="4" t="str">
        <f>IF(A38="","",COUNTIFS('INPUT-Latent_Conditions'!$E$2:$E$300,A38,'INPUT-Latent_Conditions'!$M$2:$M$300,"Y"))</f>
        <v/>
      </c>
      <c r="C38" s="4" t="str">
        <f>IF(A38="","",COUNTIF($B$2:$B$100,"&gt;"&amp;B38)+COUNTIF($B$2:B38,B38))</f>
        <v/>
      </c>
    </row>
    <row r="39" spans="2:3" ht="14.25" customHeight="1" x14ac:dyDescent="0.45">
      <c r="B39" s="4" t="str">
        <f>IF(A39="","",COUNTIFS('INPUT-Latent_Conditions'!$E$2:$E$300,A39,'INPUT-Latent_Conditions'!$M$2:$M$300,"Y"))</f>
        <v/>
      </c>
      <c r="C39" s="4" t="str">
        <f>IF(A39="","",COUNTIF($B$2:$B$100,"&gt;"&amp;B39)+COUNTIF($B$2:B39,B39))</f>
        <v/>
      </c>
    </row>
    <row r="40" spans="2:3" ht="14.25" customHeight="1" x14ac:dyDescent="0.45">
      <c r="B40" s="4" t="str">
        <f>IF(A40="","",COUNTIFS('INPUT-Latent_Conditions'!$E$2:$E$300,A40,'INPUT-Latent_Conditions'!$M$2:$M$300,"Y"))</f>
        <v/>
      </c>
      <c r="C40" s="4" t="str">
        <f>IF(A40="","",COUNTIF($B$2:$B$100,"&gt;"&amp;B40)+COUNTIF($B$2:B40,B40))</f>
        <v/>
      </c>
    </row>
    <row r="41" spans="2:3" ht="14.25" customHeight="1" x14ac:dyDescent="0.45">
      <c r="B41" s="4" t="str">
        <f>IF(A41="","",COUNTIFS('INPUT-Latent_Conditions'!$E$2:$E$300,A41,'INPUT-Latent_Conditions'!$M$2:$M$300,"Y"))</f>
        <v/>
      </c>
      <c r="C41" s="4" t="str">
        <f>IF(A41="","",COUNTIF($B$2:$B$100,"&gt;"&amp;B41)+COUNTIF($B$2:B41,B41))</f>
        <v/>
      </c>
    </row>
    <row r="42" spans="2:3" ht="14.25" customHeight="1" x14ac:dyDescent="0.45">
      <c r="B42" s="4" t="str">
        <f>IF(A42="","",COUNTIFS('INPUT-Latent_Conditions'!$E$2:$E$300,A42,'INPUT-Latent_Conditions'!$M$2:$M$300,"Y"))</f>
        <v/>
      </c>
      <c r="C42" s="4" t="str">
        <f>IF(A42="","",COUNTIF($B$2:$B$100,"&gt;"&amp;B42)+COUNTIF($B$2:B42,B42))</f>
        <v/>
      </c>
    </row>
    <row r="43" spans="2:3" ht="14.25" customHeight="1" x14ac:dyDescent="0.45">
      <c r="B43" s="4" t="str">
        <f>IF(A43="","",COUNTIFS('INPUT-Latent_Conditions'!$E$2:$E$300,A43,'INPUT-Latent_Conditions'!$M$2:$M$300,"Y"))</f>
        <v/>
      </c>
      <c r="C43" s="4" t="str">
        <f>IF(A43="","",COUNTIF($B$2:$B$100,"&gt;"&amp;B43)+COUNTIF($B$2:B43,B43))</f>
        <v/>
      </c>
    </row>
    <row r="44" spans="2:3" ht="14.25" customHeight="1" x14ac:dyDescent="0.45">
      <c r="B44" s="4" t="str">
        <f>IF(A44="","",COUNTIFS('INPUT-Latent_Conditions'!$E$2:$E$300,A44,'INPUT-Latent_Conditions'!$M$2:$M$300,"Y"))</f>
        <v/>
      </c>
      <c r="C44" s="4" t="str">
        <f>IF(A44="","",COUNTIF($B$2:$B$100,"&gt;"&amp;B44)+COUNTIF($B$2:B44,B44))</f>
        <v/>
      </c>
    </row>
    <row r="45" spans="2:3" ht="14.25" customHeight="1" x14ac:dyDescent="0.45">
      <c r="B45" s="4" t="str">
        <f>IF(A45="","",COUNTIFS('INPUT-Latent_Conditions'!$E$2:$E$300,A45,'INPUT-Latent_Conditions'!$M$2:$M$300,"Y"))</f>
        <v/>
      </c>
      <c r="C45" s="4" t="str">
        <f>IF(A45="","",COUNTIF($B$2:$B$100,"&gt;"&amp;B45)+COUNTIF($B$2:B45,B45))</f>
        <v/>
      </c>
    </row>
    <row r="46" spans="2:3" ht="14.25" customHeight="1" x14ac:dyDescent="0.45">
      <c r="B46" s="4" t="str">
        <f>IF(A46="","",COUNTIFS('INPUT-Latent_Conditions'!$E$2:$E$300,A46,'INPUT-Latent_Conditions'!$M$2:$M$300,"Y"))</f>
        <v/>
      </c>
      <c r="C46" s="4" t="str">
        <f>IF(A46="","",COUNTIF($B$2:$B$100,"&gt;"&amp;B46)+COUNTIF($B$2:B46,B46))</f>
        <v/>
      </c>
    </row>
    <row r="47" spans="2:3" ht="14.25" customHeight="1" x14ac:dyDescent="0.45">
      <c r="B47" s="4" t="str">
        <f>IF(A47="","",COUNTIFS('INPUT-Latent_Conditions'!$E$2:$E$300,A47,'INPUT-Latent_Conditions'!$M$2:$M$300,"Y"))</f>
        <v/>
      </c>
      <c r="C47" s="4" t="str">
        <f>IF(A47="","",COUNTIF($B$2:$B$100,"&gt;"&amp;B47)+COUNTIF($B$2:B47,B47))</f>
        <v/>
      </c>
    </row>
    <row r="48" spans="2:3" ht="14.25" customHeight="1" x14ac:dyDescent="0.45">
      <c r="B48" s="4" t="str">
        <f>IF(A48="","",COUNTIFS('INPUT-Latent_Conditions'!$E$2:$E$300,A48,'INPUT-Latent_Conditions'!$M$2:$M$300,"Y"))</f>
        <v/>
      </c>
      <c r="C48" s="4" t="str">
        <f>IF(A48="","",COUNTIF($B$2:$B$100,"&gt;"&amp;B48)+COUNTIF($B$2:B48,B48))</f>
        <v/>
      </c>
    </row>
    <row r="49" spans="2:3" ht="14.25" customHeight="1" x14ac:dyDescent="0.45">
      <c r="B49" s="4" t="str">
        <f>IF(A49="","",COUNTIFS('INPUT-Latent_Conditions'!$E$2:$E$300,A49,'INPUT-Latent_Conditions'!$M$2:$M$300,"Y"))</f>
        <v/>
      </c>
      <c r="C49" s="4" t="str">
        <f>IF(A49="","",COUNTIF($B$2:$B$100,"&gt;"&amp;B49)+COUNTIF($B$2:B49,B49))</f>
        <v/>
      </c>
    </row>
    <row r="50" spans="2:3" ht="14.25" customHeight="1" x14ac:dyDescent="0.45">
      <c r="B50" s="4" t="str">
        <f>IF(A50="","",COUNTIFS('INPUT-Latent_Conditions'!$E$2:$E$300,A50,'INPUT-Latent_Conditions'!$M$2:$M$300,"Y"))</f>
        <v/>
      </c>
      <c r="C50" s="4" t="str">
        <f>IF(A50="","",COUNTIF($B$2:$B$100,"&gt;"&amp;B50)+COUNTIF($B$2:B50,B50))</f>
        <v/>
      </c>
    </row>
    <row r="51" spans="2:3" ht="14.25" customHeight="1" x14ac:dyDescent="0.45">
      <c r="B51" s="4" t="str">
        <f>IF(A51="","",COUNTIFS('INPUT-Latent_Conditions'!$E$2:$E$300,A51,'INPUT-Latent_Conditions'!$M$2:$M$300,"Y"))</f>
        <v/>
      </c>
      <c r="C51" s="4" t="str">
        <f>IF(A51="","",COUNTIF($B$2:$B$100,"&gt;"&amp;B51)+COUNTIF($B$2:B51,B51))</f>
        <v/>
      </c>
    </row>
    <row r="52" spans="2:3" ht="14.25" customHeight="1" x14ac:dyDescent="0.45">
      <c r="B52" s="4" t="str">
        <f>IF(A52="","",COUNTIFS('INPUT-Latent_Conditions'!$E$2:$E$300,A52,'INPUT-Latent_Conditions'!$M$2:$M$300,"Y"))</f>
        <v/>
      </c>
      <c r="C52" s="4" t="str">
        <f>IF(A52="","",COUNTIF($B$2:$B$100,"&gt;"&amp;B52)+COUNTIF($B$2:B52,B52))</f>
        <v/>
      </c>
    </row>
    <row r="53" spans="2:3" ht="14.25" customHeight="1" x14ac:dyDescent="0.45">
      <c r="B53" s="4" t="str">
        <f>IF(A53="","",COUNTIFS('INPUT-Latent_Conditions'!$E$2:$E$300,A53,'INPUT-Latent_Conditions'!$M$2:$M$300,"Y"))</f>
        <v/>
      </c>
      <c r="C53" s="4" t="str">
        <f>IF(A53="","",COUNTIF($B$2:$B$100,"&gt;"&amp;B53)+COUNTIF($B$2:B53,B53))</f>
        <v/>
      </c>
    </row>
    <row r="54" spans="2:3" ht="14.25" customHeight="1" x14ac:dyDescent="0.45">
      <c r="B54" s="4" t="str">
        <f>IF(A54="","",COUNTIFS('INPUT-Latent_Conditions'!$E$2:$E$300,A54,'INPUT-Latent_Conditions'!$M$2:$M$300,"Y"))</f>
        <v/>
      </c>
      <c r="C54" s="4" t="str">
        <f>IF(A54="","",COUNTIF($B$2:$B$100,"&gt;"&amp;B54)+COUNTIF($B$2:B54,B54))</f>
        <v/>
      </c>
    </row>
    <row r="55" spans="2:3" ht="14.25" customHeight="1" x14ac:dyDescent="0.45">
      <c r="B55" s="4" t="str">
        <f>IF(A55="","",COUNTIFS('INPUT-Latent_Conditions'!$E$2:$E$300,A55,'INPUT-Latent_Conditions'!$M$2:$M$300,"Y"))</f>
        <v/>
      </c>
      <c r="C55" s="4" t="str">
        <f>IF(A55="","",COUNTIF($B$2:$B$100,"&gt;"&amp;B55)+COUNTIF($B$2:B55,B55))</f>
        <v/>
      </c>
    </row>
    <row r="56" spans="2:3" ht="14.25" customHeight="1" x14ac:dyDescent="0.45">
      <c r="B56" s="4" t="str">
        <f>IF(A56="","",COUNTIFS('INPUT-Latent_Conditions'!$E$2:$E$300,A56,'INPUT-Latent_Conditions'!$M$2:$M$300,"Y"))</f>
        <v/>
      </c>
      <c r="C56" s="4" t="str">
        <f>IF(A56="","",COUNTIF($B$2:$B$100,"&gt;"&amp;B56)+COUNTIF($B$2:B56,B56))</f>
        <v/>
      </c>
    </row>
    <row r="57" spans="2:3" ht="14.25" customHeight="1" x14ac:dyDescent="0.45">
      <c r="B57" s="4" t="str">
        <f>IF(A57="","",COUNTIFS('INPUT-Latent_Conditions'!$E$2:$E$300,A57,'INPUT-Latent_Conditions'!$M$2:$M$300,"Y"))</f>
        <v/>
      </c>
      <c r="C57" s="4" t="str">
        <f>IF(A57="","",COUNTIF($B$2:$B$100,"&gt;"&amp;B57)+COUNTIF($B$2:B57,B57))</f>
        <v/>
      </c>
    </row>
    <row r="58" spans="2:3" ht="14.25" customHeight="1" x14ac:dyDescent="0.45">
      <c r="B58" s="4" t="str">
        <f>IF(A58="","",COUNTIFS('INPUT-Latent_Conditions'!$E$2:$E$300,A58,'INPUT-Latent_Conditions'!$M$2:$M$300,"Y"))</f>
        <v/>
      </c>
      <c r="C58" s="4" t="str">
        <f>IF(A58="","",COUNTIF($B$2:$B$100,"&gt;"&amp;B58)+COUNTIF($B$2:B58,B58))</f>
        <v/>
      </c>
    </row>
    <row r="59" spans="2:3" ht="14.25" customHeight="1" x14ac:dyDescent="0.45">
      <c r="B59" s="4" t="str">
        <f>IF(A59="","",COUNTIFS('INPUT-Latent_Conditions'!$E$2:$E$300,A59,'INPUT-Latent_Conditions'!$M$2:$M$300,"Y"))</f>
        <v/>
      </c>
      <c r="C59" s="4" t="str">
        <f>IF(A59="","",COUNTIF($B$2:$B$100,"&gt;"&amp;B59)+COUNTIF($B$2:B59,B59))</f>
        <v/>
      </c>
    </row>
    <row r="60" spans="2:3" ht="14.25" customHeight="1" x14ac:dyDescent="0.45">
      <c r="B60" s="4" t="str">
        <f>IF(A60="","",COUNTIFS('INPUT-Latent_Conditions'!$E$2:$E$300,A60,'INPUT-Latent_Conditions'!$M$2:$M$300,"Y"))</f>
        <v/>
      </c>
      <c r="C60" s="4" t="str">
        <f>IF(A60="","",COUNTIF($B$2:$B$100,"&gt;"&amp;B60)+COUNTIF($B$2:B60,B60))</f>
        <v/>
      </c>
    </row>
    <row r="61" spans="2:3" ht="14.25" customHeight="1" x14ac:dyDescent="0.45">
      <c r="B61" s="4" t="str">
        <f>IF(A61="","",COUNTIFS('INPUT-Latent_Conditions'!$E$2:$E$300,A61,'INPUT-Latent_Conditions'!$M$2:$M$300,"Y"))</f>
        <v/>
      </c>
      <c r="C61" s="4" t="str">
        <f>IF(A61="","",COUNTIF($B$2:$B$100,"&gt;"&amp;B61)+COUNTIF($B$2:B61,B61))</f>
        <v/>
      </c>
    </row>
    <row r="62" spans="2:3" ht="14.25" customHeight="1" x14ac:dyDescent="0.45">
      <c r="B62" s="4" t="str">
        <f>IF(A62="","",COUNTIFS('INPUT-Latent_Conditions'!$E$2:$E$300,A62,'INPUT-Latent_Conditions'!$M$2:$M$300,"Y"))</f>
        <v/>
      </c>
      <c r="C62" s="4" t="str">
        <f>IF(A62="","",COUNTIF($B$2:$B$100,"&gt;"&amp;B62)+COUNTIF($B$2:B62,B62))</f>
        <v/>
      </c>
    </row>
    <row r="63" spans="2:3" ht="14.25" customHeight="1" x14ac:dyDescent="0.45">
      <c r="B63" s="4" t="str">
        <f>IF(A63="","",COUNTIFS('INPUT-Latent_Conditions'!$E$2:$E$300,A63,'INPUT-Latent_Conditions'!$M$2:$M$300,"Y"))</f>
        <v/>
      </c>
      <c r="C63" s="4" t="str">
        <f>IF(A63="","",COUNTIF($B$2:$B$100,"&gt;"&amp;B63)+COUNTIF($B$2:B63,B63))</f>
        <v/>
      </c>
    </row>
    <row r="64" spans="2:3" ht="14.25" customHeight="1" x14ac:dyDescent="0.45">
      <c r="B64" s="4" t="str">
        <f>IF(A64="","",COUNTIFS('INPUT-Latent_Conditions'!$E$2:$E$300,A64,'INPUT-Latent_Conditions'!$M$2:$M$300,"Y"))</f>
        <v/>
      </c>
      <c r="C64" s="4" t="str">
        <f>IF(A64="","",COUNTIF($B$2:$B$100,"&gt;"&amp;B64)+COUNTIF($B$2:B64,B64))</f>
        <v/>
      </c>
    </row>
    <row r="65" spans="2:3" ht="14.25" customHeight="1" x14ac:dyDescent="0.45">
      <c r="B65" s="4" t="str">
        <f>IF(A65="","",COUNTIFS('INPUT-Latent_Conditions'!$E$2:$E$300,A65,'INPUT-Latent_Conditions'!$M$2:$M$300,"Y"))</f>
        <v/>
      </c>
      <c r="C65" s="4" t="str">
        <f>IF(A65="","",COUNTIF($B$2:$B$100,"&gt;"&amp;B65)+COUNTIF($B$2:B65,B65))</f>
        <v/>
      </c>
    </row>
    <row r="66" spans="2:3" ht="14.25" customHeight="1" x14ac:dyDescent="0.45">
      <c r="B66" s="4" t="str">
        <f>IF(A66="","",COUNTIFS('INPUT-Latent_Conditions'!$E$2:$E$300,A66,'INPUT-Latent_Conditions'!$M$2:$M$300,"Y"))</f>
        <v/>
      </c>
      <c r="C66" s="4" t="str">
        <f>IF(A66="","",COUNTIF($B$2:$B$100,"&gt;"&amp;B66)+COUNTIF($B$2:B66,B66))</f>
        <v/>
      </c>
    </row>
    <row r="67" spans="2:3" ht="14.25" customHeight="1" x14ac:dyDescent="0.45">
      <c r="B67" s="4" t="str">
        <f>IF(A67="","",COUNTIFS('INPUT-Latent_Conditions'!$E$2:$E$300,A67,'INPUT-Latent_Conditions'!$M$2:$M$300,"Y"))</f>
        <v/>
      </c>
      <c r="C67" s="4" t="str">
        <f>IF(A67="","",COUNTIF($B$2:$B$100,"&gt;"&amp;B67)+COUNTIF($B$2:B67,B67))</f>
        <v/>
      </c>
    </row>
    <row r="68" spans="2:3" ht="14.25" customHeight="1" x14ac:dyDescent="0.45">
      <c r="B68" s="4" t="str">
        <f>IF(A68="","",COUNTIFS('INPUT-Latent_Conditions'!$E$2:$E$300,A68,'INPUT-Latent_Conditions'!$M$2:$M$300,"Y"))</f>
        <v/>
      </c>
      <c r="C68" s="4" t="str">
        <f>IF(A68="","",COUNTIF($B$2:$B$100,"&gt;"&amp;B68)+COUNTIF($B$2:B68,B68))</f>
        <v/>
      </c>
    </row>
    <row r="69" spans="2:3" ht="14.25" customHeight="1" x14ac:dyDescent="0.45">
      <c r="B69" s="4" t="str">
        <f>IF(A69="","",COUNTIFS('INPUT-Latent_Conditions'!$E$2:$E$300,A69,'INPUT-Latent_Conditions'!$M$2:$M$300,"Y"))</f>
        <v/>
      </c>
      <c r="C69" s="4" t="str">
        <f>IF(A69="","",COUNTIF($B$2:$B$100,"&gt;"&amp;B69)+COUNTIF($B$2:B69,B69))</f>
        <v/>
      </c>
    </row>
    <row r="70" spans="2:3" ht="14.25" customHeight="1" x14ac:dyDescent="0.45">
      <c r="B70" s="4" t="str">
        <f>IF(A70="","",COUNTIFS('INPUT-Latent_Conditions'!$E$2:$E$300,A70,'INPUT-Latent_Conditions'!$M$2:$M$300,"Y"))</f>
        <v/>
      </c>
      <c r="C70" s="4" t="str">
        <f>IF(A70="","",COUNTIF($B$2:$B$100,"&gt;"&amp;B70)+COUNTIF($B$2:B70,B70))</f>
        <v/>
      </c>
    </row>
    <row r="71" spans="2:3" ht="14.25" customHeight="1" x14ac:dyDescent="0.45">
      <c r="B71" s="4" t="str">
        <f>IF(A71="","",COUNTIFS('INPUT-Latent_Conditions'!$E$2:$E$300,A71,'INPUT-Latent_Conditions'!$M$2:$M$300,"Y"))</f>
        <v/>
      </c>
      <c r="C71" s="4" t="str">
        <f>IF(A71="","",COUNTIF($B$2:$B$100,"&gt;"&amp;B71)+COUNTIF($B$2:B71,B71))</f>
        <v/>
      </c>
    </row>
    <row r="72" spans="2:3" ht="14.25" customHeight="1" x14ac:dyDescent="0.45">
      <c r="B72" s="4" t="str">
        <f>IF(A72="","",COUNTIFS('INPUT-Latent_Conditions'!$E$2:$E$300,A72,'INPUT-Latent_Conditions'!$M$2:$M$300,"Y"))</f>
        <v/>
      </c>
      <c r="C72" s="4" t="str">
        <f>IF(A72="","",COUNTIF($B$2:$B$100,"&gt;"&amp;B72)+COUNTIF($B$2:B72,B72))</f>
        <v/>
      </c>
    </row>
    <row r="73" spans="2:3" ht="14.25" customHeight="1" x14ac:dyDescent="0.45">
      <c r="B73" s="4" t="str">
        <f>IF(A73="","",COUNTIFS('INPUT-Latent_Conditions'!$E$2:$E$300,A73,'INPUT-Latent_Conditions'!$M$2:$M$300,"Y"))</f>
        <v/>
      </c>
      <c r="C73" s="4" t="str">
        <f>IF(A73="","",COUNTIF($B$2:$B$100,"&gt;"&amp;B73)+COUNTIF($B$2:B73,B73))</f>
        <v/>
      </c>
    </row>
    <row r="74" spans="2:3" ht="14.25" customHeight="1" x14ac:dyDescent="0.45">
      <c r="B74" s="4" t="str">
        <f>IF(A74="","",COUNTIFS('INPUT-Latent_Conditions'!$E$2:$E$300,A74,'INPUT-Latent_Conditions'!$M$2:$M$300,"Y"))</f>
        <v/>
      </c>
      <c r="C74" s="4" t="str">
        <f>IF(A74="","",COUNTIF($B$2:$B$100,"&gt;"&amp;B74)+COUNTIF($B$2:B74,B74))</f>
        <v/>
      </c>
    </row>
    <row r="75" spans="2:3" ht="14.25" customHeight="1" x14ac:dyDescent="0.45">
      <c r="B75" s="4" t="str">
        <f>IF(A75="","",COUNTIFS('INPUT-Latent_Conditions'!$E$2:$E$300,A75,'INPUT-Latent_Conditions'!$M$2:$M$300,"Y"))</f>
        <v/>
      </c>
      <c r="C75" s="4" t="str">
        <f>IF(A75="","",COUNTIF($B$2:$B$100,"&gt;"&amp;B75)+COUNTIF($B$2:B75,B75))</f>
        <v/>
      </c>
    </row>
    <row r="76" spans="2:3" ht="14.25" customHeight="1" x14ac:dyDescent="0.45">
      <c r="B76" s="4" t="str">
        <f>IF(A76="","",COUNTIFS('INPUT-Latent_Conditions'!$E$2:$E$300,A76,'INPUT-Latent_Conditions'!$M$2:$M$300,"Y"))</f>
        <v/>
      </c>
      <c r="C76" s="4" t="str">
        <f>IF(A76="","",COUNTIF($B$2:$B$100,"&gt;"&amp;B76)+COUNTIF($B$2:B76,B76))</f>
        <v/>
      </c>
    </row>
    <row r="77" spans="2:3" ht="14.25" customHeight="1" x14ac:dyDescent="0.45">
      <c r="B77" s="4" t="str">
        <f>IF(A77="","",COUNTIFS('INPUT-Latent_Conditions'!$E$2:$E$300,A77,'INPUT-Latent_Conditions'!$M$2:$M$300,"Y"))</f>
        <v/>
      </c>
      <c r="C77" s="4" t="str">
        <f>IF(A77="","",COUNTIF($B$2:$B$100,"&gt;"&amp;B77)+COUNTIF($B$2:B77,B77))</f>
        <v/>
      </c>
    </row>
    <row r="78" spans="2:3" ht="14.25" customHeight="1" x14ac:dyDescent="0.45">
      <c r="B78" s="4" t="str">
        <f>IF(A78="","",COUNTIFS('INPUT-Latent_Conditions'!$E$2:$E$300,A78,'INPUT-Latent_Conditions'!$M$2:$M$300,"Y"))</f>
        <v/>
      </c>
      <c r="C78" s="4" t="str">
        <f>IF(A78="","",COUNTIF($B$2:$B$100,"&gt;"&amp;B78)+COUNTIF($B$2:B78,B78))</f>
        <v/>
      </c>
    </row>
    <row r="79" spans="2:3" ht="14.25" customHeight="1" x14ac:dyDescent="0.45">
      <c r="B79" s="4" t="str">
        <f>IF(A79="","",COUNTIFS('INPUT-Latent_Conditions'!$E$2:$E$300,A79,'INPUT-Latent_Conditions'!$M$2:$M$300,"Y"))</f>
        <v/>
      </c>
      <c r="C79" s="4" t="str">
        <f>IF(A79="","",COUNTIF($B$2:$B$100,"&gt;"&amp;B79)+COUNTIF($B$2:B79,B79))</f>
        <v/>
      </c>
    </row>
    <row r="80" spans="2:3" ht="14.25" customHeight="1" x14ac:dyDescent="0.45">
      <c r="B80" s="4" t="str">
        <f>IF(A80="","",COUNTIFS('INPUT-Latent_Conditions'!$E$2:$E$300,A80,'INPUT-Latent_Conditions'!$M$2:$M$300,"Y"))</f>
        <v/>
      </c>
      <c r="C80" s="4" t="str">
        <f>IF(A80="","",COUNTIF($B$2:$B$100,"&gt;"&amp;B80)+COUNTIF($B$2:B80,B80))</f>
        <v/>
      </c>
    </row>
    <row r="81" spans="2:3" ht="14.25" customHeight="1" x14ac:dyDescent="0.45">
      <c r="B81" s="4" t="str">
        <f>IF(A81="","",COUNTIFS('INPUT-Latent_Conditions'!$E$2:$E$300,A81,'INPUT-Latent_Conditions'!$M$2:$M$300,"Y"))</f>
        <v/>
      </c>
      <c r="C81" s="4" t="str">
        <f>IF(A81="","",COUNTIF($B$2:$B$100,"&gt;"&amp;B81)+COUNTIF($B$2:B81,B81))</f>
        <v/>
      </c>
    </row>
    <row r="82" spans="2:3" ht="14.25" customHeight="1" x14ac:dyDescent="0.45">
      <c r="B82" s="4" t="str">
        <f>IF(A82="","",COUNTIFS('INPUT-Latent_Conditions'!$E$2:$E$300,A82,'INPUT-Latent_Conditions'!$M$2:$M$300,"Y"))</f>
        <v/>
      </c>
      <c r="C82" s="4" t="str">
        <f>IF(A82="","",COUNTIF($B$2:$B$100,"&gt;"&amp;B82)+COUNTIF($B$2:B82,B82))</f>
        <v/>
      </c>
    </row>
    <row r="83" spans="2:3" ht="14.25" customHeight="1" x14ac:dyDescent="0.45">
      <c r="B83" s="4" t="str">
        <f>IF(A83="","",COUNTIFS('INPUT-Latent_Conditions'!$E$2:$E$300,A83,'INPUT-Latent_Conditions'!$M$2:$M$300,"Y"))</f>
        <v/>
      </c>
      <c r="C83" s="4" t="str">
        <f>IF(A83="","",COUNTIF($B$2:$B$100,"&gt;"&amp;B83)+COUNTIF($B$2:B83,B83))</f>
        <v/>
      </c>
    </row>
    <row r="84" spans="2:3" ht="14.25" customHeight="1" x14ac:dyDescent="0.45">
      <c r="B84" s="4" t="str">
        <f>IF(A84="","",COUNTIFS('INPUT-Latent_Conditions'!$E$2:$E$300,A84,'INPUT-Latent_Conditions'!$M$2:$M$300,"Y"))</f>
        <v/>
      </c>
      <c r="C84" s="4" t="str">
        <f>IF(A84="","",COUNTIF($B$2:$B$100,"&gt;"&amp;B84)+COUNTIF($B$2:B84,B84))</f>
        <v/>
      </c>
    </row>
    <row r="85" spans="2:3" ht="14.25" customHeight="1" x14ac:dyDescent="0.45">
      <c r="B85" s="4" t="str">
        <f>IF(A85="","",COUNTIFS('INPUT-Latent_Conditions'!$E$2:$E$300,A85,'INPUT-Latent_Conditions'!$M$2:$M$300,"Y"))</f>
        <v/>
      </c>
      <c r="C85" s="4" t="str">
        <f>IF(A85="","",COUNTIF($B$2:$B$100,"&gt;"&amp;B85)+COUNTIF($B$2:B85,B85))</f>
        <v/>
      </c>
    </row>
    <row r="86" spans="2:3" ht="14.25" customHeight="1" x14ac:dyDescent="0.45">
      <c r="B86" s="4" t="str">
        <f>IF(A86="","",COUNTIFS('INPUT-Latent_Conditions'!$E$2:$E$300,A86,'INPUT-Latent_Conditions'!$M$2:$M$300,"Y"))</f>
        <v/>
      </c>
      <c r="C86" s="4" t="str">
        <f>IF(A86="","",COUNTIF($B$2:$B$100,"&gt;"&amp;B86)+COUNTIF($B$2:B86,B86))</f>
        <v/>
      </c>
    </row>
    <row r="87" spans="2:3" ht="14.25" customHeight="1" x14ac:dyDescent="0.45">
      <c r="B87" s="4" t="str">
        <f>IF(A87="","",COUNTIFS('INPUT-Latent_Conditions'!$E$2:$E$300,A87,'INPUT-Latent_Conditions'!$M$2:$M$300,"Y"))</f>
        <v/>
      </c>
      <c r="C87" s="4" t="str">
        <f>IF(A87="","",COUNTIF($B$2:$B$100,"&gt;"&amp;B87)+COUNTIF($B$2:B87,B87))</f>
        <v/>
      </c>
    </row>
    <row r="88" spans="2:3" ht="14.25" customHeight="1" x14ac:dyDescent="0.45">
      <c r="B88" s="4" t="str">
        <f>IF(A88="","",COUNTIFS('INPUT-Latent_Conditions'!$E$2:$E$300,A88,'INPUT-Latent_Conditions'!$M$2:$M$300,"Y"))</f>
        <v/>
      </c>
      <c r="C88" s="4" t="str">
        <f>IF(A88="","",COUNTIF($B$2:$B$100,"&gt;"&amp;B88)+COUNTIF($B$2:B88,B88))</f>
        <v/>
      </c>
    </row>
    <row r="89" spans="2:3" ht="14.25" customHeight="1" x14ac:dyDescent="0.45">
      <c r="B89" s="4" t="str">
        <f>IF(A89="","",COUNTIFS('INPUT-Latent_Conditions'!$E$2:$E$300,A89,'INPUT-Latent_Conditions'!$M$2:$M$300,"Y"))</f>
        <v/>
      </c>
      <c r="C89" s="4" t="str">
        <f>IF(A89="","",COUNTIF($B$2:$B$100,"&gt;"&amp;B89)+COUNTIF($B$2:B89,B89))</f>
        <v/>
      </c>
    </row>
    <row r="90" spans="2:3" ht="14.25" customHeight="1" x14ac:dyDescent="0.45">
      <c r="B90" s="4" t="str">
        <f>IF(A90="","",COUNTIFS('INPUT-Latent_Conditions'!$E$2:$E$300,A90,'INPUT-Latent_Conditions'!$M$2:$M$300,"Y"))</f>
        <v/>
      </c>
      <c r="C90" s="4" t="str">
        <f>IF(A90="","",COUNTIF($B$2:$B$100,"&gt;"&amp;B90)+COUNTIF($B$2:B90,B90))</f>
        <v/>
      </c>
    </row>
    <row r="91" spans="2:3" ht="14.25" customHeight="1" x14ac:dyDescent="0.45">
      <c r="B91" s="4" t="str">
        <f>IF(A91="","",COUNTIFS('INPUT-Latent_Conditions'!$E$2:$E$300,A91,'INPUT-Latent_Conditions'!$M$2:$M$300,"Y"))</f>
        <v/>
      </c>
      <c r="C91" s="4" t="str">
        <f>IF(A91="","",COUNTIF($B$2:$B$100,"&gt;"&amp;B91)+COUNTIF($B$2:B91,B91))</f>
        <v/>
      </c>
    </row>
    <row r="92" spans="2:3" ht="14.25" customHeight="1" x14ac:dyDescent="0.45">
      <c r="B92" s="4" t="str">
        <f>IF(A92="","",COUNTIFS('INPUT-Latent_Conditions'!$E$2:$E$300,A92,'INPUT-Latent_Conditions'!$M$2:$M$300,"Y"))</f>
        <v/>
      </c>
      <c r="C92" s="4" t="str">
        <f>IF(A92="","",COUNTIF($B$2:$B$100,"&gt;"&amp;B92)+COUNTIF($B$2:B92,B92))</f>
        <v/>
      </c>
    </row>
    <row r="93" spans="2:3" ht="14.25" customHeight="1" x14ac:dyDescent="0.45">
      <c r="B93" s="4" t="str">
        <f>IF(A93="","",COUNTIFS('INPUT-Latent_Conditions'!$E$2:$E$300,A93,'INPUT-Latent_Conditions'!$M$2:$M$300,"Y"))</f>
        <v/>
      </c>
      <c r="C93" s="4" t="str">
        <f>IF(A93="","",COUNTIF($B$2:$B$100,"&gt;"&amp;B93)+COUNTIF($B$2:B93,B93))</f>
        <v/>
      </c>
    </row>
    <row r="94" spans="2:3" ht="14.25" customHeight="1" x14ac:dyDescent="0.45">
      <c r="B94" s="4" t="str">
        <f>IF(A94="","",COUNTIFS('INPUT-Latent_Conditions'!$E$2:$E$300,A94,'INPUT-Latent_Conditions'!$M$2:$M$300,"Y"))</f>
        <v/>
      </c>
      <c r="C94" s="4" t="str">
        <f>IF(A94="","",COUNTIF($B$2:$B$100,"&gt;"&amp;B94)+COUNTIF($B$2:B94,B94))</f>
        <v/>
      </c>
    </row>
    <row r="95" spans="2:3" ht="14.25" customHeight="1" x14ac:dyDescent="0.45">
      <c r="B95" s="4" t="str">
        <f>IF(A95="","",COUNTIFS('INPUT-Latent_Conditions'!$E$2:$E$300,A95,'INPUT-Latent_Conditions'!$M$2:$M$300,"Y"))</f>
        <v/>
      </c>
      <c r="C95" s="4" t="str">
        <f>IF(A95="","",COUNTIF($B$2:$B$100,"&gt;"&amp;B95)+COUNTIF($B$2:B95,B95))</f>
        <v/>
      </c>
    </row>
    <row r="96" spans="2:3" ht="14.25" customHeight="1" x14ac:dyDescent="0.45">
      <c r="B96" s="4" t="str">
        <f>IF(A96="","",COUNTIFS('INPUT-Latent_Conditions'!$E$2:$E$300,A96,'INPUT-Latent_Conditions'!$M$2:$M$300,"Y"))</f>
        <v/>
      </c>
      <c r="C96" s="4" t="str">
        <f>IF(A96="","",COUNTIF($B$2:$B$100,"&gt;"&amp;B96)+COUNTIF($B$2:B96,B96))</f>
        <v/>
      </c>
    </row>
    <row r="97" spans="2:3" ht="14.25" customHeight="1" x14ac:dyDescent="0.45">
      <c r="B97" s="4" t="str">
        <f>IF(A97="","",COUNTIFS('INPUT-Latent_Conditions'!$E$2:$E$300,A97,'INPUT-Latent_Conditions'!$M$2:$M$300,"Y"))</f>
        <v/>
      </c>
      <c r="C97" s="4" t="str">
        <f>IF(A97="","",COUNTIF($B$2:$B$100,"&gt;"&amp;B97)+COUNTIF($B$2:B97,B97))</f>
        <v/>
      </c>
    </row>
    <row r="98" spans="2:3" ht="14.25" customHeight="1" x14ac:dyDescent="0.45">
      <c r="B98" s="4" t="str">
        <f>IF(A98="","",COUNTIFS('INPUT-Latent_Conditions'!$E$2:$E$300,A98,'INPUT-Latent_Conditions'!$M$2:$M$300,"Y"))</f>
        <v/>
      </c>
      <c r="C98" s="4" t="str">
        <f>IF(A98="","",COUNTIF($B$2:$B$100,"&gt;"&amp;B98)+COUNTIF($B$2:B98,B98))</f>
        <v/>
      </c>
    </row>
    <row r="99" spans="2:3" ht="14.25" customHeight="1" x14ac:dyDescent="0.45">
      <c r="B99" s="4" t="str">
        <f>IF(A99="","",COUNTIFS('INPUT-Latent_Conditions'!$E$2:$E$300,A99,'INPUT-Latent_Conditions'!$M$2:$M$300,"Y"))</f>
        <v/>
      </c>
      <c r="C99" s="4" t="str">
        <f>IF(A99="","",COUNTIF($B$2:$B$100,"&gt;"&amp;B99)+COUNTIF($B$2:B99,B99))</f>
        <v/>
      </c>
    </row>
    <row r="100" spans="2:3" ht="14.25" customHeight="1" x14ac:dyDescent="0.45">
      <c r="B100" s="4" t="str">
        <f>IF(A100="","",COUNTIFS('INPUT-Latent_Conditions'!$E$2:$E$300,A100,'INPUT-Latent_Conditions'!$M$2:$M$300,"Y"))</f>
        <v/>
      </c>
      <c r="C100" s="4" t="str">
        <f>IF(A100="","",COUNTIF($B$2:$B$100,"&gt;"&amp;B100)+COUNTIF($B$2:B100,B100))</f>
        <v/>
      </c>
    </row>
  </sheetData>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6"/>
  <sheetViews>
    <sheetView zoomScaleNormal="100" workbookViewId="0"/>
  </sheetViews>
  <sheetFormatPr defaultColWidth="8.6640625" defaultRowHeight="14.25" customHeight="1" x14ac:dyDescent="0.45"/>
  <cols>
    <col min="1" max="1" width="7" style="4" customWidth="1"/>
    <col min="2" max="2" width="45.59765625" style="4" customWidth="1"/>
    <col min="3" max="3" width="75" style="4" customWidth="1"/>
    <col min="4" max="4" width="55" style="4" customWidth="1"/>
  </cols>
  <sheetData>
    <row r="1" spans="1:4" ht="14.25" customHeight="1" x14ac:dyDescent="0.45">
      <c r="A1" s="82" t="s">
        <v>0</v>
      </c>
      <c r="B1" s="82" t="s">
        <v>2122</v>
      </c>
      <c r="C1" s="82" t="s">
        <v>2123</v>
      </c>
      <c r="D1" s="82" t="s">
        <v>1964</v>
      </c>
    </row>
    <row r="2" spans="1:4" ht="14.25" customHeight="1" x14ac:dyDescent="0.45">
      <c r="A2" s="83" t="s">
        <v>189</v>
      </c>
      <c r="B2" s="83" t="s">
        <v>2124</v>
      </c>
      <c r="C2" s="83" t="s">
        <v>2125</v>
      </c>
      <c r="D2" s="83" t="s">
        <v>2126</v>
      </c>
    </row>
    <row r="3" spans="1:4" ht="14.25" customHeight="1" x14ac:dyDescent="0.45">
      <c r="A3" s="83" t="s">
        <v>206</v>
      </c>
      <c r="B3" s="83" t="s">
        <v>2127</v>
      </c>
      <c r="C3" s="83" t="s">
        <v>2128</v>
      </c>
      <c r="D3" s="83" t="s">
        <v>2129</v>
      </c>
    </row>
    <row r="4" spans="1:4" ht="14.25" customHeight="1" x14ac:dyDescent="0.45">
      <c r="A4" s="83" t="s">
        <v>245</v>
      </c>
      <c r="B4" s="83" t="s">
        <v>2130</v>
      </c>
      <c r="C4" s="83" t="s">
        <v>2131</v>
      </c>
      <c r="D4" s="83" t="s">
        <v>2132</v>
      </c>
    </row>
    <row r="5" spans="1:4" ht="14.25" customHeight="1" x14ac:dyDescent="0.45">
      <c r="A5" s="83" t="s">
        <v>264</v>
      </c>
      <c r="B5" s="83" t="s">
        <v>2133</v>
      </c>
      <c r="C5" s="83" t="s">
        <v>2134</v>
      </c>
      <c r="D5" s="83" t="s">
        <v>2132</v>
      </c>
    </row>
    <row r="6" spans="1:4" ht="14.25" customHeight="1" x14ac:dyDescent="0.45">
      <c r="A6" s="83" t="s">
        <v>275</v>
      </c>
      <c r="B6" s="83" t="s">
        <v>2135</v>
      </c>
      <c r="C6" s="83" t="s">
        <v>2136</v>
      </c>
      <c r="D6" s="83" t="s">
        <v>2132</v>
      </c>
    </row>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91"/>
  <sheetViews>
    <sheetView zoomScaleNormal="100" workbookViewId="0"/>
  </sheetViews>
  <sheetFormatPr defaultColWidth="8.6640625" defaultRowHeight="14.25" customHeight="1" x14ac:dyDescent="0.45"/>
  <cols>
    <col min="1" max="21" width="18" style="4" customWidth="1"/>
  </cols>
  <sheetData>
    <row r="1" spans="1:21" ht="14.25" customHeight="1" x14ac:dyDescent="0.45">
      <c r="A1" s="4" t="s">
        <v>2137</v>
      </c>
      <c r="B1" s="4" t="s">
        <v>2138</v>
      </c>
      <c r="C1" s="4" t="s">
        <v>1951</v>
      </c>
      <c r="D1" s="4" t="s">
        <v>1952</v>
      </c>
      <c r="E1" s="4" t="s">
        <v>18</v>
      </c>
      <c r="F1" s="4" t="s">
        <v>21</v>
      </c>
      <c r="G1" s="4" t="s">
        <v>22</v>
      </c>
      <c r="H1" s="4" t="s">
        <v>23</v>
      </c>
      <c r="I1" s="4" t="s">
        <v>24</v>
      </c>
      <c r="J1" s="4" t="s">
        <v>25</v>
      </c>
      <c r="K1" s="4" t="s">
        <v>26</v>
      </c>
      <c r="L1" s="4" t="s">
        <v>27</v>
      </c>
      <c r="M1" s="4" t="s">
        <v>28</v>
      </c>
      <c r="N1" s="4" t="s">
        <v>29</v>
      </c>
      <c r="O1" s="4" t="s">
        <v>30</v>
      </c>
      <c r="P1" s="4" t="s">
        <v>31</v>
      </c>
      <c r="Q1" s="4" t="s">
        <v>12</v>
      </c>
      <c r="R1" s="4" t="s">
        <v>13</v>
      </c>
      <c r="S1" s="4" t="s">
        <v>14</v>
      </c>
      <c r="T1" s="4" t="s">
        <v>2139</v>
      </c>
      <c r="U1" s="4" t="s">
        <v>2140</v>
      </c>
    </row>
    <row r="2" spans="1:21" ht="14.25" customHeight="1" x14ac:dyDescent="0.45">
      <c r="A2" s="4" t="s">
        <v>333</v>
      </c>
      <c r="B2" s="4" t="s">
        <v>2141</v>
      </c>
      <c r="C2" s="4" t="s">
        <v>143</v>
      </c>
      <c r="D2" s="4" t="s">
        <v>1940</v>
      </c>
      <c r="E2" s="84">
        <v>46211</v>
      </c>
      <c r="F2" s="4">
        <v>12</v>
      </c>
      <c r="G2" s="4" t="s">
        <v>336</v>
      </c>
      <c r="H2" s="4" t="s">
        <v>337</v>
      </c>
      <c r="I2" s="4" t="s">
        <v>338</v>
      </c>
      <c r="J2" s="4" t="s">
        <v>339</v>
      </c>
      <c r="K2" s="4" t="s">
        <v>176</v>
      </c>
      <c r="L2" s="4" t="s">
        <v>340</v>
      </c>
      <c r="N2" s="4" t="s">
        <v>327</v>
      </c>
      <c r="O2" s="4" t="s">
        <v>341</v>
      </c>
      <c r="P2" s="4" t="s">
        <v>342</v>
      </c>
      <c r="Q2" s="4">
        <v>3</v>
      </c>
      <c r="R2" s="4">
        <v>1</v>
      </c>
      <c r="S2" s="4">
        <v>1</v>
      </c>
      <c r="T2" s="4">
        <v>0.75</v>
      </c>
      <c r="U2" s="4">
        <v>5</v>
      </c>
    </row>
    <row r="3" spans="1:21" ht="14.25" customHeight="1" x14ac:dyDescent="0.45">
      <c r="A3" s="4" t="s">
        <v>348</v>
      </c>
      <c r="B3" s="4" t="s">
        <v>2142</v>
      </c>
      <c r="C3" s="4" t="s">
        <v>2143</v>
      </c>
      <c r="D3" s="4" t="s">
        <v>1939</v>
      </c>
      <c r="E3" s="84">
        <v>46209</v>
      </c>
      <c r="F3" s="4">
        <v>12</v>
      </c>
      <c r="G3" s="4" t="s">
        <v>322</v>
      </c>
      <c r="H3" s="4" t="s">
        <v>351</v>
      </c>
      <c r="I3" s="4" t="s">
        <v>352</v>
      </c>
      <c r="J3" s="4" t="s">
        <v>353</v>
      </c>
      <c r="K3" s="4" t="s">
        <v>45</v>
      </c>
      <c r="L3" s="4" t="s">
        <v>326</v>
      </c>
      <c r="M3" s="4" t="s">
        <v>176</v>
      </c>
      <c r="N3" s="4" t="s">
        <v>327</v>
      </c>
      <c r="O3" s="4" t="s">
        <v>328</v>
      </c>
      <c r="Q3" s="4">
        <v>4</v>
      </c>
      <c r="R3" s="4">
        <v>5</v>
      </c>
      <c r="S3" s="4">
        <v>0</v>
      </c>
      <c r="T3" s="4">
        <v>0.44444444444444398</v>
      </c>
      <c r="U3" s="4">
        <v>9</v>
      </c>
    </row>
    <row r="4" spans="1:21" ht="14.25" customHeight="1" x14ac:dyDescent="0.45">
      <c r="A4" s="4" t="s">
        <v>366</v>
      </c>
      <c r="B4" s="4" t="s">
        <v>2144</v>
      </c>
      <c r="C4" s="4" t="s">
        <v>2143</v>
      </c>
      <c r="D4" s="4" t="s">
        <v>1939</v>
      </c>
      <c r="E4" s="84">
        <v>46209</v>
      </c>
      <c r="F4" s="4">
        <v>12</v>
      </c>
      <c r="G4" s="4" t="s">
        <v>322</v>
      </c>
      <c r="H4" s="4" t="s">
        <v>323</v>
      </c>
      <c r="I4" s="4" t="s">
        <v>368</v>
      </c>
      <c r="J4" s="4" t="s">
        <v>325</v>
      </c>
      <c r="K4" s="4" t="s">
        <v>45</v>
      </c>
      <c r="L4" s="4" t="s">
        <v>326</v>
      </c>
      <c r="M4" s="4" t="s">
        <v>176</v>
      </c>
      <c r="N4" s="4" t="s">
        <v>327</v>
      </c>
      <c r="O4" s="4" t="s">
        <v>328</v>
      </c>
      <c r="P4" s="4" t="s">
        <v>329</v>
      </c>
      <c r="Q4" s="4">
        <v>5</v>
      </c>
      <c r="R4" s="4">
        <v>4</v>
      </c>
      <c r="S4" s="4">
        <v>0</v>
      </c>
      <c r="T4" s="4">
        <v>0.55555555555555602</v>
      </c>
      <c r="U4" s="4">
        <v>9</v>
      </c>
    </row>
    <row r="5" spans="1:21" ht="14.25" customHeight="1" x14ac:dyDescent="0.45">
      <c r="A5" s="4" t="s">
        <v>370</v>
      </c>
      <c r="B5" s="4" t="s">
        <v>2145</v>
      </c>
      <c r="C5" s="4" t="s">
        <v>143</v>
      </c>
      <c r="D5" s="4" t="s">
        <v>1940</v>
      </c>
      <c r="E5" s="84">
        <v>46210</v>
      </c>
      <c r="F5" s="4">
        <v>12</v>
      </c>
      <c r="G5" s="4" t="s">
        <v>371</v>
      </c>
      <c r="H5" s="4" t="s">
        <v>372</v>
      </c>
      <c r="I5" s="4" t="s">
        <v>373</v>
      </c>
      <c r="J5" s="4" t="s">
        <v>374</v>
      </c>
      <c r="K5" s="4" t="s">
        <v>326</v>
      </c>
      <c r="L5" s="4" t="s">
        <v>45</v>
      </c>
      <c r="M5" s="4" t="s">
        <v>375</v>
      </c>
      <c r="P5" s="4" t="s">
        <v>376</v>
      </c>
      <c r="Q5" s="4">
        <v>4</v>
      </c>
      <c r="R5" s="4">
        <v>1</v>
      </c>
      <c r="S5" s="4">
        <v>0</v>
      </c>
      <c r="T5" s="4">
        <v>0.8</v>
      </c>
      <c r="U5" s="4">
        <v>5</v>
      </c>
    </row>
    <row r="6" spans="1:21" ht="14.25" customHeight="1" x14ac:dyDescent="0.45">
      <c r="A6" s="4" t="s">
        <v>378</v>
      </c>
      <c r="B6" s="4" t="s">
        <v>2146</v>
      </c>
      <c r="C6" s="4" t="s">
        <v>207</v>
      </c>
      <c r="D6" s="4" t="s">
        <v>1017</v>
      </c>
      <c r="E6" s="84">
        <v>46212</v>
      </c>
      <c r="F6" s="4">
        <v>12</v>
      </c>
      <c r="G6" s="4" t="s">
        <v>322</v>
      </c>
      <c r="H6" s="4" t="s">
        <v>381</v>
      </c>
      <c r="I6" s="4" t="s">
        <v>382</v>
      </c>
      <c r="J6" s="4" t="s">
        <v>383</v>
      </c>
      <c r="K6" s="4" t="s">
        <v>45</v>
      </c>
      <c r="L6" s="4" t="s">
        <v>326</v>
      </c>
      <c r="M6" s="4" t="s">
        <v>384</v>
      </c>
      <c r="O6" s="4" t="s">
        <v>385</v>
      </c>
      <c r="Q6" s="4">
        <v>3</v>
      </c>
      <c r="R6" s="4">
        <v>3</v>
      </c>
      <c r="S6" s="4">
        <v>1</v>
      </c>
      <c r="T6" s="4">
        <v>0.5</v>
      </c>
      <c r="U6" s="4">
        <v>7</v>
      </c>
    </row>
    <row r="7" spans="1:21" ht="14.25" customHeight="1" x14ac:dyDescent="0.45">
      <c r="A7" s="4" t="s">
        <v>394</v>
      </c>
      <c r="B7" s="4" t="s">
        <v>2147</v>
      </c>
      <c r="C7" s="4" t="s">
        <v>92</v>
      </c>
      <c r="D7" s="4" t="s">
        <v>2148</v>
      </c>
      <c r="E7" s="84">
        <v>46212</v>
      </c>
      <c r="F7" s="4">
        <v>12</v>
      </c>
      <c r="G7" s="4" t="s">
        <v>322</v>
      </c>
      <c r="H7" s="4" t="s">
        <v>381</v>
      </c>
      <c r="I7" s="4" t="s">
        <v>382</v>
      </c>
      <c r="J7" s="4" t="s">
        <v>383</v>
      </c>
      <c r="K7" s="4" t="s">
        <v>45</v>
      </c>
      <c r="L7" s="4" t="s">
        <v>326</v>
      </c>
      <c r="M7" s="4" t="s">
        <v>384</v>
      </c>
      <c r="O7" s="4" t="s">
        <v>385</v>
      </c>
      <c r="Q7" s="4">
        <v>6</v>
      </c>
      <c r="R7" s="4">
        <v>1</v>
      </c>
      <c r="S7" s="4">
        <v>2</v>
      </c>
      <c r="T7" s="4">
        <v>0.85714285714285698</v>
      </c>
      <c r="U7" s="4">
        <v>9</v>
      </c>
    </row>
    <row r="8" spans="1:21" ht="14.25" customHeight="1" x14ac:dyDescent="0.45">
      <c r="A8" s="4" t="s">
        <v>402</v>
      </c>
      <c r="B8" s="4" t="s">
        <v>2149</v>
      </c>
      <c r="C8" s="4" t="s">
        <v>2143</v>
      </c>
      <c r="D8" s="4" t="s">
        <v>1939</v>
      </c>
      <c r="E8" s="84">
        <v>46212</v>
      </c>
      <c r="F8" s="4">
        <v>12</v>
      </c>
      <c r="G8" s="4" t="s">
        <v>322</v>
      </c>
      <c r="H8" s="4" t="s">
        <v>381</v>
      </c>
      <c r="I8" s="4" t="s">
        <v>382</v>
      </c>
      <c r="J8" s="4" t="s">
        <v>383</v>
      </c>
      <c r="K8" s="4" t="s">
        <v>45</v>
      </c>
      <c r="L8" s="4" t="s">
        <v>326</v>
      </c>
      <c r="M8" s="4" t="s">
        <v>384</v>
      </c>
      <c r="O8" s="4" t="s">
        <v>385</v>
      </c>
      <c r="Q8" s="4">
        <v>3</v>
      </c>
      <c r="R8" s="4">
        <v>6</v>
      </c>
      <c r="S8" s="4">
        <v>0</v>
      </c>
      <c r="T8" s="4">
        <v>0.33333333333333298</v>
      </c>
      <c r="U8" s="4">
        <v>9</v>
      </c>
    </row>
    <row r="9" spans="1:21" ht="14.25" customHeight="1" x14ac:dyDescent="0.45">
      <c r="A9" s="4" t="s">
        <v>409</v>
      </c>
      <c r="B9" s="4" t="s">
        <v>2150</v>
      </c>
      <c r="C9" s="4" t="s">
        <v>410</v>
      </c>
      <c r="D9" s="4" t="s">
        <v>154</v>
      </c>
      <c r="E9" s="84">
        <v>46209</v>
      </c>
      <c r="F9" s="4">
        <v>12</v>
      </c>
      <c r="G9" s="4" t="s">
        <v>322</v>
      </c>
      <c r="H9" s="4" t="s">
        <v>351</v>
      </c>
      <c r="I9" s="4" t="s">
        <v>352</v>
      </c>
      <c r="J9" s="4" t="s">
        <v>413</v>
      </c>
      <c r="K9" s="4" t="s">
        <v>45</v>
      </c>
      <c r="L9" s="4" t="s">
        <v>326</v>
      </c>
      <c r="M9" s="4" t="s">
        <v>176</v>
      </c>
      <c r="N9" s="4" t="s">
        <v>327</v>
      </c>
      <c r="O9" s="4" t="s">
        <v>328</v>
      </c>
      <c r="Q9" s="4">
        <v>1</v>
      </c>
      <c r="R9" s="4">
        <v>2</v>
      </c>
      <c r="S9" s="4">
        <v>1</v>
      </c>
      <c r="T9" s="4">
        <v>0.33333333333333298</v>
      </c>
      <c r="U9" s="4">
        <v>4</v>
      </c>
    </row>
    <row r="10" spans="1:21" ht="14.25" customHeight="1" x14ac:dyDescent="0.45">
      <c r="A10" s="4" t="s">
        <v>422</v>
      </c>
      <c r="B10" s="4" t="s">
        <v>2151</v>
      </c>
      <c r="C10" s="4" t="s">
        <v>423</v>
      </c>
      <c r="D10" s="4" t="s">
        <v>426</v>
      </c>
      <c r="F10" s="4">
        <v>12</v>
      </c>
      <c r="G10" s="4" t="s">
        <v>427</v>
      </c>
      <c r="H10" s="4" t="s">
        <v>428</v>
      </c>
      <c r="I10" s="4" t="s">
        <v>429</v>
      </c>
      <c r="K10" s="4" t="s">
        <v>45</v>
      </c>
      <c r="L10" s="4" t="s">
        <v>326</v>
      </c>
      <c r="M10" s="4" t="s">
        <v>430</v>
      </c>
      <c r="Q10" s="4">
        <v>4</v>
      </c>
      <c r="R10" s="4">
        <v>0</v>
      </c>
      <c r="S10" s="4">
        <v>0</v>
      </c>
      <c r="T10" s="4">
        <v>1</v>
      </c>
      <c r="U10" s="4">
        <v>4</v>
      </c>
    </row>
    <row r="11" spans="1:21" ht="14.25" customHeight="1" x14ac:dyDescent="0.45">
      <c r="A11" s="4" t="s">
        <v>437</v>
      </c>
      <c r="B11" s="4" t="s">
        <v>2152</v>
      </c>
      <c r="C11" s="4" t="s">
        <v>292</v>
      </c>
      <c r="D11" s="4" t="s">
        <v>1008</v>
      </c>
      <c r="F11" s="4">
        <v>12</v>
      </c>
      <c r="G11" s="4" t="s">
        <v>427</v>
      </c>
      <c r="H11" s="4" t="s">
        <v>438</v>
      </c>
      <c r="I11" s="4" t="s">
        <v>439</v>
      </c>
      <c r="J11" s="4" t="s">
        <v>440</v>
      </c>
      <c r="Q11" s="4">
        <v>3</v>
      </c>
      <c r="R11" s="4">
        <v>1</v>
      </c>
      <c r="S11" s="4">
        <v>3</v>
      </c>
      <c r="T11" s="4">
        <v>0.75</v>
      </c>
      <c r="U11" s="4">
        <v>7</v>
      </c>
    </row>
    <row r="12" spans="1:21" ht="14.25" customHeight="1" x14ac:dyDescent="0.45">
      <c r="A12" s="4" t="s">
        <v>443</v>
      </c>
      <c r="B12" s="4" t="s">
        <v>2153</v>
      </c>
      <c r="C12" s="4" t="s">
        <v>92</v>
      </c>
      <c r="D12" s="4" t="s">
        <v>2148</v>
      </c>
      <c r="E12" s="84">
        <v>46212</v>
      </c>
      <c r="F12" s="4">
        <v>12</v>
      </c>
      <c r="G12" s="4" t="s">
        <v>322</v>
      </c>
      <c r="H12" s="4" t="s">
        <v>445</v>
      </c>
      <c r="I12" s="4" t="s">
        <v>446</v>
      </c>
      <c r="J12" s="4" t="s">
        <v>447</v>
      </c>
      <c r="K12" s="4" t="s">
        <v>45</v>
      </c>
      <c r="L12" s="4" t="s">
        <v>326</v>
      </c>
      <c r="M12" s="4" t="s">
        <v>384</v>
      </c>
      <c r="O12" s="4" t="s">
        <v>385</v>
      </c>
      <c r="Q12" s="4">
        <v>5</v>
      </c>
      <c r="R12" s="4">
        <v>3</v>
      </c>
      <c r="S12" s="4">
        <v>1</v>
      </c>
      <c r="T12" s="4">
        <v>0.625</v>
      </c>
      <c r="U12" s="4">
        <v>9</v>
      </c>
    </row>
    <row r="14" spans="1:21" ht="14.25" customHeight="1" x14ac:dyDescent="0.45">
      <c r="A14" s="4" t="s">
        <v>2137</v>
      </c>
      <c r="B14" s="4" t="s">
        <v>2138</v>
      </c>
      <c r="C14" s="4" t="s">
        <v>987</v>
      </c>
      <c r="D14" s="4" t="s">
        <v>1951</v>
      </c>
      <c r="E14" s="4" t="s">
        <v>1952</v>
      </c>
      <c r="F14" s="4" t="s">
        <v>9</v>
      </c>
      <c r="G14" s="4" t="s">
        <v>10</v>
      </c>
      <c r="H14" s="4" t="s">
        <v>11</v>
      </c>
      <c r="I14" s="4" t="s">
        <v>1963</v>
      </c>
      <c r="J14" s="4" t="s">
        <v>15</v>
      </c>
      <c r="K14" s="4" t="s">
        <v>18</v>
      </c>
      <c r="L14" s="4" t="s">
        <v>22</v>
      </c>
      <c r="M14" s="4" t="s">
        <v>23</v>
      </c>
      <c r="N14" s="4" t="s">
        <v>24</v>
      </c>
      <c r="O14" s="4" t="s">
        <v>25</v>
      </c>
      <c r="P14" s="4" t="s">
        <v>26</v>
      </c>
      <c r="Q14" s="4" t="s">
        <v>27</v>
      </c>
      <c r="R14" s="4" t="s">
        <v>28</v>
      </c>
      <c r="S14" s="4" t="s">
        <v>29</v>
      </c>
      <c r="T14" s="4" t="s">
        <v>30</v>
      </c>
      <c r="U14" s="4" t="s">
        <v>31</v>
      </c>
    </row>
    <row r="15" spans="1:21" ht="14.25" customHeight="1" x14ac:dyDescent="0.45">
      <c r="A15" s="4" t="s">
        <v>333</v>
      </c>
      <c r="B15" s="4" t="s">
        <v>2141</v>
      </c>
      <c r="C15" s="4" t="s">
        <v>143</v>
      </c>
      <c r="D15" s="4" t="s">
        <v>1940</v>
      </c>
      <c r="E15" s="84">
        <v>46211</v>
      </c>
      <c r="F15" s="4">
        <v>12</v>
      </c>
      <c r="G15" s="4" t="s">
        <v>336</v>
      </c>
      <c r="H15" s="4" t="s">
        <v>334</v>
      </c>
      <c r="I15" s="4" t="s">
        <v>13</v>
      </c>
      <c r="J15" s="4" t="s">
        <v>335</v>
      </c>
      <c r="K15" s="84">
        <v>46211</v>
      </c>
      <c r="L15" s="4" t="s">
        <v>336</v>
      </c>
      <c r="M15" s="4" t="s">
        <v>337</v>
      </c>
      <c r="N15" s="4" t="s">
        <v>338</v>
      </c>
      <c r="O15" s="4" t="s">
        <v>339</v>
      </c>
      <c r="P15" s="4" t="s">
        <v>176</v>
      </c>
      <c r="Q15" s="4">
        <v>3</v>
      </c>
      <c r="R15" s="4">
        <v>1</v>
      </c>
      <c r="S15" s="4">
        <v>1</v>
      </c>
      <c r="T15" s="4">
        <v>0.75</v>
      </c>
      <c r="U15" s="4">
        <v>5</v>
      </c>
    </row>
    <row r="16" spans="1:21" ht="14.25" customHeight="1" x14ac:dyDescent="0.45">
      <c r="A16" s="4" t="s">
        <v>333</v>
      </c>
      <c r="B16" s="4" t="s">
        <v>2141</v>
      </c>
      <c r="C16" s="4" t="s">
        <v>143</v>
      </c>
      <c r="D16" s="4" t="s">
        <v>1940</v>
      </c>
      <c r="E16" s="84">
        <v>46211</v>
      </c>
      <c r="F16" s="4">
        <v>12</v>
      </c>
      <c r="G16" s="4" t="s">
        <v>336</v>
      </c>
      <c r="H16" s="4" t="s">
        <v>343</v>
      </c>
      <c r="I16" s="4" t="s">
        <v>12</v>
      </c>
      <c r="J16" s="4" t="s">
        <v>344</v>
      </c>
      <c r="K16" s="84">
        <v>46211</v>
      </c>
      <c r="L16" s="4" t="s">
        <v>336</v>
      </c>
      <c r="M16" s="4" t="s">
        <v>337</v>
      </c>
      <c r="N16" s="4" t="s">
        <v>338</v>
      </c>
      <c r="O16" s="4" t="s">
        <v>339</v>
      </c>
      <c r="P16" s="4" t="s">
        <v>176</v>
      </c>
      <c r="Q16" s="4">
        <v>3</v>
      </c>
      <c r="R16" s="4">
        <v>1</v>
      </c>
      <c r="S16" s="4">
        <v>1</v>
      </c>
      <c r="T16" s="4">
        <v>0.75</v>
      </c>
      <c r="U16" s="4">
        <v>5</v>
      </c>
    </row>
    <row r="17" spans="1:21" ht="14.25" customHeight="1" x14ac:dyDescent="0.45">
      <c r="A17" s="4" t="s">
        <v>333</v>
      </c>
      <c r="B17" s="4" t="s">
        <v>2141</v>
      </c>
      <c r="C17" s="4" t="s">
        <v>143</v>
      </c>
      <c r="D17" s="4" t="s">
        <v>1940</v>
      </c>
      <c r="E17" s="84">
        <v>46211</v>
      </c>
      <c r="F17" s="4">
        <v>12</v>
      </c>
      <c r="G17" s="4" t="s">
        <v>336</v>
      </c>
      <c r="H17" s="4" t="s">
        <v>345</v>
      </c>
      <c r="I17" s="4" t="s">
        <v>12</v>
      </c>
      <c r="K17" s="84">
        <v>46211</v>
      </c>
      <c r="L17" s="4" t="s">
        <v>336</v>
      </c>
      <c r="M17" s="4" t="s">
        <v>337</v>
      </c>
      <c r="N17" s="4" t="s">
        <v>338</v>
      </c>
      <c r="O17" s="4" t="s">
        <v>339</v>
      </c>
      <c r="P17" s="4" t="s">
        <v>176</v>
      </c>
      <c r="Q17" s="4">
        <v>3</v>
      </c>
      <c r="R17" s="4">
        <v>1</v>
      </c>
      <c r="S17" s="4">
        <v>1</v>
      </c>
      <c r="T17" s="4">
        <v>0.75</v>
      </c>
      <c r="U17" s="4">
        <v>5</v>
      </c>
    </row>
    <row r="18" spans="1:21" ht="14.25" customHeight="1" x14ac:dyDescent="0.45">
      <c r="A18" s="4" t="s">
        <v>333</v>
      </c>
      <c r="B18" s="4" t="s">
        <v>2141</v>
      </c>
      <c r="C18" s="4" t="s">
        <v>143</v>
      </c>
      <c r="D18" s="4" t="s">
        <v>1940</v>
      </c>
      <c r="E18" s="84">
        <v>46211</v>
      </c>
      <c r="F18" s="4">
        <v>12</v>
      </c>
      <c r="G18" s="4" t="s">
        <v>336</v>
      </c>
      <c r="H18" s="4" t="s">
        <v>346</v>
      </c>
      <c r="I18" s="4" t="s">
        <v>14</v>
      </c>
      <c r="K18" s="84">
        <v>46211</v>
      </c>
      <c r="L18" s="4" t="s">
        <v>336</v>
      </c>
      <c r="M18" s="4" t="s">
        <v>337</v>
      </c>
      <c r="N18" s="4" t="s">
        <v>338</v>
      </c>
      <c r="O18" s="4" t="s">
        <v>339</v>
      </c>
      <c r="P18" s="4" t="s">
        <v>176</v>
      </c>
      <c r="Q18" s="4">
        <v>3</v>
      </c>
      <c r="R18" s="4">
        <v>1</v>
      </c>
      <c r="S18" s="4">
        <v>1</v>
      </c>
      <c r="T18" s="4">
        <v>0.75</v>
      </c>
      <c r="U18" s="4">
        <v>5</v>
      </c>
    </row>
    <row r="19" spans="1:21" ht="14.25" customHeight="1" x14ac:dyDescent="0.45">
      <c r="A19" s="4" t="s">
        <v>333</v>
      </c>
      <c r="B19" s="4" t="s">
        <v>2141</v>
      </c>
      <c r="C19" s="4" t="s">
        <v>143</v>
      </c>
      <c r="D19" s="4" t="s">
        <v>1940</v>
      </c>
      <c r="E19" s="84">
        <v>46211</v>
      </c>
      <c r="F19" s="4">
        <v>12</v>
      </c>
      <c r="G19" s="4" t="s">
        <v>336</v>
      </c>
      <c r="H19" s="4" t="s">
        <v>347</v>
      </c>
      <c r="I19" s="4" t="s">
        <v>12</v>
      </c>
      <c r="K19" s="84">
        <v>46211</v>
      </c>
      <c r="L19" s="4" t="s">
        <v>336</v>
      </c>
      <c r="M19" s="4" t="s">
        <v>337</v>
      </c>
      <c r="N19" s="4" t="s">
        <v>338</v>
      </c>
      <c r="O19" s="4" t="s">
        <v>339</v>
      </c>
      <c r="P19" s="4" t="s">
        <v>176</v>
      </c>
      <c r="Q19" s="4">
        <v>3</v>
      </c>
      <c r="R19" s="4">
        <v>1</v>
      </c>
      <c r="S19" s="4">
        <v>1</v>
      </c>
      <c r="T19" s="4">
        <v>0.75</v>
      </c>
      <c r="U19" s="4">
        <v>5</v>
      </c>
    </row>
    <row r="20" spans="1:21" ht="14.25" customHeight="1" x14ac:dyDescent="0.45">
      <c r="A20" s="4" t="s">
        <v>348</v>
      </c>
      <c r="B20" s="4" t="s">
        <v>2142</v>
      </c>
      <c r="C20" s="4" t="s">
        <v>2143</v>
      </c>
      <c r="D20" s="4" t="s">
        <v>1939</v>
      </c>
      <c r="E20" s="84">
        <v>46209</v>
      </c>
      <c r="F20" s="4">
        <v>12</v>
      </c>
      <c r="G20" s="4" t="s">
        <v>322</v>
      </c>
      <c r="H20" s="4" t="s">
        <v>349</v>
      </c>
      <c r="I20" s="4" t="s">
        <v>13</v>
      </c>
      <c r="J20" s="4" t="s">
        <v>350</v>
      </c>
      <c r="K20" s="84">
        <v>46209</v>
      </c>
      <c r="L20" s="4" t="s">
        <v>322</v>
      </c>
      <c r="M20" s="4" t="s">
        <v>351</v>
      </c>
      <c r="N20" s="4" t="s">
        <v>352</v>
      </c>
      <c r="O20" s="4" t="s">
        <v>353</v>
      </c>
      <c r="P20" s="4" t="s">
        <v>45</v>
      </c>
      <c r="Q20" s="4">
        <v>4</v>
      </c>
      <c r="R20" s="4">
        <v>5</v>
      </c>
      <c r="S20" s="4">
        <v>0</v>
      </c>
      <c r="T20" s="4">
        <v>0.44444444444444398</v>
      </c>
      <c r="U20" s="4">
        <v>9</v>
      </c>
    </row>
    <row r="21" spans="1:21" ht="14.25" customHeight="1" x14ac:dyDescent="0.45">
      <c r="A21" s="4" t="s">
        <v>348</v>
      </c>
      <c r="B21" s="4" t="s">
        <v>2142</v>
      </c>
      <c r="C21" s="4" t="s">
        <v>2143</v>
      </c>
      <c r="D21" s="4" t="s">
        <v>1939</v>
      </c>
      <c r="E21" s="84">
        <v>46209</v>
      </c>
      <c r="F21" s="4">
        <v>12</v>
      </c>
      <c r="G21" s="4" t="s">
        <v>322</v>
      </c>
      <c r="H21" s="4" t="s">
        <v>354</v>
      </c>
      <c r="I21" s="4" t="s">
        <v>13</v>
      </c>
      <c r="J21" s="4" t="s">
        <v>355</v>
      </c>
      <c r="K21" s="84">
        <v>46209</v>
      </c>
      <c r="L21" s="4" t="s">
        <v>322</v>
      </c>
      <c r="M21" s="4" t="s">
        <v>351</v>
      </c>
      <c r="N21" s="4" t="s">
        <v>352</v>
      </c>
      <c r="O21" s="4" t="s">
        <v>353</v>
      </c>
      <c r="P21" s="4" t="s">
        <v>45</v>
      </c>
      <c r="Q21" s="4">
        <v>4</v>
      </c>
      <c r="R21" s="4">
        <v>5</v>
      </c>
      <c r="S21" s="4">
        <v>0</v>
      </c>
      <c r="T21" s="4">
        <v>0.44444444444444398</v>
      </c>
      <c r="U21" s="4">
        <v>9</v>
      </c>
    </row>
    <row r="22" spans="1:21" ht="14.25" customHeight="1" x14ac:dyDescent="0.45">
      <c r="A22" s="4" t="s">
        <v>348</v>
      </c>
      <c r="B22" s="4" t="s">
        <v>2142</v>
      </c>
      <c r="C22" s="4" t="s">
        <v>2143</v>
      </c>
      <c r="D22" s="4" t="s">
        <v>1939</v>
      </c>
      <c r="E22" s="84">
        <v>46209</v>
      </c>
      <c r="F22" s="4">
        <v>12</v>
      </c>
      <c r="G22" s="4" t="s">
        <v>322</v>
      </c>
      <c r="H22" s="4" t="s">
        <v>356</v>
      </c>
      <c r="I22" s="4" t="s">
        <v>13</v>
      </c>
      <c r="J22" s="4" t="s">
        <v>357</v>
      </c>
      <c r="K22" s="84">
        <v>46209</v>
      </c>
      <c r="L22" s="4" t="s">
        <v>322</v>
      </c>
      <c r="M22" s="4" t="s">
        <v>351</v>
      </c>
      <c r="N22" s="4" t="s">
        <v>352</v>
      </c>
      <c r="O22" s="4" t="s">
        <v>353</v>
      </c>
      <c r="P22" s="4" t="s">
        <v>45</v>
      </c>
      <c r="Q22" s="4">
        <v>4</v>
      </c>
      <c r="R22" s="4">
        <v>5</v>
      </c>
      <c r="S22" s="4">
        <v>0</v>
      </c>
      <c r="T22" s="4">
        <v>0.44444444444444398</v>
      </c>
      <c r="U22" s="4">
        <v>9</v>
      </c>
    </row>
    <row r="23" spans="1:21" ht="14.25" customHeight="1" x14ac:dyDescent="0.45">
      <c r="A23" s="4" t="s">
        <v>348</v>
      </c>
      <c r="B23" s="4" t="s">
        <v>2142</v>
      </c>
      <c r="C23" s="4" t="s">
        <v>2143</v>
      </c>
      <c r="D23" s="4" t="s">
        <v>1939</v>
      </c>
      <c r="E23" s="84">
        <v>46209</v>
      </c>
      <c r="F23" s="4">
        <v>12</v>
      </c>
      <c r="G23" s="4" t="s">
        <v>322</v>
      </c>
      <c r="H23" s="4" t="s">
        <v>358</v>
      </c>
      <c r="I23" s="4" t="s">
        <v>13</v>
      </c>
      <c r="J23" s="4" t="s">
        <v>359</v>
      </c>
      <c r="K23" s="84">
        <v>46209</v>
      </c>
      <c r="L23" s="4" t="s">
        <v>322</v>
      </c>
      <c r="M23" s="4" t="s">
        <v>351</v>
      </c>
      <c r="N23" s="4" t="s">
        <v>352</v>
      </c>
      <c r="O23" s="4" t="s">
        <v>353</v>
      </c>
      <c r="P23" s="4" t="s">
        <v>45</v>
      </c>
      <c r="Q23" s="4">
        <v>4</v>
      </c>
      <c r="R23" s="4">
        <v>5</v>
      </c>
      <c r="S23" s="4">
        <v>0</v>
      </c>
      <c r="T23" s="4">
        <v>0.44444444444444398</v>
      </c>
      <c r="U23" s="4">
        <v>9</v>
      </c>
    </row>
    <row r="24" spans="1:21" ht="14.25" customHeight="1" x14ac:dyDescent="0.45">
      <c r="A24" s="4" t="s">
        <v>348</v>
      </c>
      <c r="B24" s="4" t="s">
        <v>2142</v>
      </c>
      <c r="C24" s="4" t="s">
        <v>2143</v>
      </c>
      <c r="D24" s="4" t="s">
        <v>1939</v>
      </c>
      <c r="E24" s="84">
        <v>46209</v>
      </c>
      <c r="F24" s="4">
        <v>12</v>
      </c>
      <c r="G24" s="4" t="s">
        <v>322</v>
      </c>
      <c r="H24" s="4" t="s">
        <v>360</v>
      </c>
      <c r="I24" s="4" t="s">
        <v>12</v>
      </c>
      <c r="K24" s="84">
        <v>46209</v>
      </c>
      <c r="L24" s="4" t="s">
        <v>322</v>
      </c>
      <c r="M24" s="4" t="s">
        <v>351</v>
      </c>
      <c r="N24" s="4" t="s">
        <v>352</v>
      </c>
      <c r="O24" s="4" t="s">
        <v>353</v>
      </c>
      <c r="P24" s="4" t="s">
        <v>45</v>
      </c>
      <c r="Q24" s="4">
        <v>4</v>
      </c>
      <c r="R24" s="4">
        <v>5</v>
      </c>
      <c r="S24" s="4">
        <v>0</v>
      </c>
      <c r="T24" s="4">
        <v>0.44444444444444398</v>
      </c>
      <c r="U24" s="4">
        <v>9</v>
      </c>
    </row>
    <row r="25" spans="1:21" ht="14.25" customHeight="1" x14ac:dyDescent="0.45">
      <c r="A25" s="4" t="s">
        <v>348</v>
      </c>
      <c r="B25" s="4" t="s">
        <v>2142</v>
      </c>
      <c r="C25" s="4" t="s">
        <v>2143</v>
      </c>
      <c r="D25" s="4" t="s">
        <v>1939</v>
      </c>
      <c r="E25" s="84">
        <v>46209</v>
      </c>
      <c r="F25" s="4">
        <v>12</v>
      </c>
      <c r="G25" s="4" t="s">
        <v>322</v>
      </c>
      <c r="H25" s="4" t="s">
        <v>361</v>
      </c>
      <c r="I25" s="4" t="s">
        <v>12</v>
      </c>
      <c r="K25" s="84">
        <v>46209</v>
      </c>
      <c r="L25" s="4" t="s">
        <v>322</v>
      </c>
      <c r="M25" s="4" t="s">
        <v>351</v>
      </c>
      <c r="N25" s="4" t="s">
        <v>352</v>
      </c>
      <c r="O25" s="4" t="s">
        <v>353</v>
      </c>
      <c r="P25" s="4" t="s">
        <v>45</v>
      </c>
      <c r="Q25" s="4">
        <v>4</v>
      </c>
      <c r="R25" s="4">
        <v>5</v>
      </c>
      <c r="S25" s="4">
        <v>0</v>
      </c>
      <c r="T25" s="4">
        <v>0.44444444444444398</v>
      </c>
      <c r="U25" s="4">
        <v>9</v>
      </c>
    </row>
    <row r="26" spans="1:21" ht="14.25" customHeight="1" x14ac:dyDescent="0.45">
      <c r="A26" s="4" t="s">
        <v>348</v>
      </c>
      <c r="B26" s="4" t="s">
        <v>2142</v>
      </c>
      <c r="C26" s="4" t="s">
        <v>2143</v>
      </c>
      <c r="D26" s="4" t="s">
        <v>1939</v>
      </c>
      <c r="E26" s="84">
        <v>46209</v>
      </c>
      <c r="F26" s="4">
        <v>12</v>
      </c>
      <c r="G26" s="4" t="s">
        <v>322</v>
      </c>
      <c r="H26" s="4" t="s">
        <v>362</v>
      </c>
      <c r="I26" s="4" t="s">
        <v>12</v>
      </c>
      <c r="K26" s="84">
        <v>46209</v>
      </c>
      <c r="L26" s="4" t="s">
        <v>322</v>
      </c>
      <c r="M26" s="4" t="s">
        <v>351</v>
      </c>
      <c r="N26" s="4" t="s">
        <v>352</v>
      </c>
      <c r="O26" s="4" t="s">
        <v>353</v>
      </c>
      <c r="P26" s="4" t="s">
        <v>45</v>
      </c>
      <c r="Q26" s="4">
        <v>4</v>
      </c>
      <c r="R26" s="4">
        <v>5</v>
      </c>
      <c r="S26" s="4">
        <v>0</v>
      </c>
      <c r="T26" s="4">
        <v>0.44444444444444398</v>
      </c>
      <c r="U26" s="4">
        <v>9</v>
      </c>
    </row>
    <row r="27" spans="1:21" ht="14.25" customHeight="1" x14ac:dyDescent="0.45">
      <c r="A27" s="4" t="s">
        <v>348</v>
      </c>
      <c r="B27" s="4" t="s">
        <v>2142</v>
      </c>
      <c r="C27" s="4" t="s">
        <v>2143</v>
      </c>
      <c r="D27" s="4" t="s">
        <v>1939</v>
      </c>
      <c r="E27" s="84">
        <v>46209</v>
      </c>
      <c r="F27" s="4">
        <v>12</v>
      </c>
      <c r="G27" s="4" t="s">
        <v>322</v>
      </c>
      <c r="H27" s="4" t="s">
        <v>363</v>
      </c>
      <c r="I27" s="4" t="s">
        <v>12</v>
      </c>
      <c r="K27" s="84">
        <v>46209</v>
      </c>
      <c r="L27" s="4" t="s">
        <v>322</v>
      </c>
      <c r="M27" s="4" t="s">
        <v>351</v>
      </c>
      <c r="N27" s="4" t="s">
        <v>352</v>
      </c>
      <c r="O27" s="4" t="s">
        <v>353</v>
      </c>
      <c r="P27" s="4" t="s">
        <v>45</v>
      </c>
      <c r="Q27" s="4">
        <v>4</v>
      </c>
      <c r="R27" s="4">
        <v>5</v>
      </c>
      <c r="S27" s="4">
        <v>0</v>
      </c>
      <c r="T27" s="4">
        <v>0.44444444444444398</v>
      </c>
      <c r="U27" s="4">
        <v>9</v>
      </c>
    </row>
    <row r="28" spans="1:21" ht="14.25" customHeight="1" x14ac:dyDescent="0.45">
      <c r="A28" s="4" t="s">
        <v>348</v>
      </c>
      <c r="B28" s="4" t="s">
        <v>2142</v>
      </c>
      <c r="C28" s="4" t="s">
        <v>2143</v>
      </c>
      <c r="D28" s="4" t="s">
        <v>1939</v>
      </c>
      <c r="E28" s="84">
        <v>46209</v>
      </c>
      <c r="F28" s="4">
        <v>12</v>
      </c>
      <c r="G28" s="4" t="s">
        <v>322</v>
      </c>
      <c r="H28" s="4" t="s">
        <v>364</v>
      </c>
      <c r="I28" s="4" t="s">
        <v>13</v>
      </c>
      <c r="J28" s="4" t="s">
        <v>365</v>
      </c>
      <c r="K28" s="84">
        <v>46209</v>
      </c>
      <c r="L28" s="4" t="s">
        <v>322</v>
      </c>
      <c r="M28" s="4" t="s">
        <v>351</v>
      </c>
      <c r="N28" s="4" t="s">
        <v>352</v>
      </c>
      <c r="O28" s="4" t="s">
        <v>353</v>
      </c>
      <c r="P28" s="4" t="s">
        <v>45</v>
      </c>
      <c r="Q28" s="4">
        <v>4</v>
      </c>
      <c r="R28" s="4">
        <v>5</v>
      </c>
      <c r="S28" s="4">
        <v>0</v>
      </c>
      <c r="T28" s="4">
        <v>0.44444444444444398</v>
      </c>
      <c r="U28" s="4">
        <v>9</v>
      </c>
    </row>
    <row r="29" spans="1:21" ht="14.25" customHeight="1" x14ac:dyDescent="0.45">
      <c r="A29" s="4" t="s">
        <v>366</v>
      </c>
      <c r="B29" s="4" t="s">
        <v>2144</v>
      </c>
      <c r="C29" s="4" t="s">
        <v>2143</v>
      </c>
      <c r="D29" s="4" t="s">
        <v>1939</v>
      </c>
      <c r="E29" s="84">
        <v>46209</v>
      </c>
      <c r="F29" s="4">
        <v>12</v>
      </c>
      <c r="G29" s="4" t="s">
        <v>322</v>
      </c>
      <c r="H29" s="4" t="s">
        <v>349</v>
      </c>
      <c r="I29" s="4" t="s">
        <v>13</v>
      </c>
      <c r="J29" s="4" t="s">
        <v>367</v>
      </c>
      <c r="K29" s="84">
        <v>46209</v>
      </c>
      <c r="L29" s="4" t="s">
        <v>322</v>
      </c>
      <c r="M29" s="4" t="s">
        <v>323</v>
      </c>
      <c r="N29" s="4" t="s">
        <v>368</v>
      </c>
      <c r="O29" s="4" t="s">
        <v>325</v>
      </c>
      <c r="P29" s="4" t="s">
        <v>45</v>
      </c>
      <c r="Q29" s="4">
        <v>5</v>
      </c>
      <c r="R29" s="4">
        <v>4</v>
      </c>
      <c r="S29" s="4">
        <v>0</v>
      </c>
      <c r="T29" s="4">
        <v>0.55555555555555602</v>
      </c>
      <c r="U29" s="4">
        <v>9</v>
      </c>
    </row>
    <row r="30" spans="1:21" ht="14.25" customHeight="1" x14ac:dyDescent="0.45">
      <c r="A30" s="4" t="s">
        <v>366</v>
      </c>
      <c r="B30" s="4" t="s">
        <v>2144</v>
      </c>
      <c r="C30" s="4" t="s">
        <v>2143</v>
      </c>
      <c r="D30" s="4" t="s">
        <v>1939</v>
      </c>
      <c r="E30" s="84">
        <v>46209</v>
      </c>
      <c r="F30" s="4">
        <v>12</v>
      </c>
      <c r="G30" s="4" t="s">
        <v>322</v>
      </c>
      <c r="H30" s="4" t="s">
        <v>354</v>
      </c>
      <c r="I30" s="4" t="s">
        <v>13</v>
      </c>
      <c r="J30" s="4" t="s">
        <v>330</v>
      </c>
      <c r="K30" s="84">
        <v>46209</v>
      </c>
      <c r="L30" s="4" t="s">
        <v>322</v>
      </c>
      <c r="M30" s="4" t="s">
        <v>323</v>
      </c>
      <c r="N30" s="4" t="s">
        <v>368</v>
      </c>
      <c r="O30" s="4" t="s">
        <v>325</v>
      </c>
      <c r="P30" s="4" t="s">
        <v>45</v>
      </c>
      <c r="Q30" s="4">
        <v>5</v>
      </c>
      <c r="R30" s="4">
        <v>4</v>
      </c>
      <c r="S30" s="4">
        <v>0</v>
      </c>
      <c r="T30" s="4">
        <v>0.55555555555555602</v>
      </c>
      <c r="U30" s="4">
        <v>9</v>
      </c>
    </row>
    <row r="31" spans="1:21" ht="14.25" customHeight="1" x14ac:dyDescent="0.45">
      <c r="A31" s="4" t="s">
        <v>366</v>
      </c>
      <c r="B31" s="4" t="s">
        <v>2144</v>
      </c>
      <c r="C31" s="4" t="s">
        <v>2143</v>
      </c>
      <c r="D31" s="4" t="s">
        <v>1939</v>
      </c>
      <c r="E31" s="84">
        <v>46209</v>
      </c>
      <c r="F31" s="4">
        <v>12</v>
      </c>
      <c r="G31" s="4" t="s">
        <v>322</v>
      </c>
      <c r="H31" s="4" t="s">
        <v>356</v>
      </c>
      <c r="I31" s="4" t="s">
        <v>12</v>
      </c>
      <c r="K31" s="84">
        <v>46209</v>
      </c>
      <c r="L31" s="4" t="s">
        <v>322</v>
      </c>
      <c r="M31" s="4" t="s">
        <v>323</v>
      </c>
      <c r="N31" s="4" t="s">
        <v>368</v>
      </c>
      <c r="O31" s="4" t="s">
        <v>325</v>
      </c>
      <c r="P31" s="4" t="s">
        <v>45</v>
      </c>
      <c r="Q31" s="4">
        <v>5</v>
      </c>
      <c r="R31" s="4">
        <v>4</v>
      </c>
      <c r="S31" s="4">
        <v>0</v>
      </c>
      <c r="T31" s="4">
        <v>0.55555555555555602</v>
      </c>
      <c r="U31" s="4">
        <v>9</v>
      </c>
    </row>
    <row r="32" spans="1:21" ht="14.25" customHeight="1" x14ac:dyDescent="0.45">
      <c r="A32" s="4" t="s">
        <v>366</v>
      </c>
      <c r="B32" s="4" t="s">
        <v>2144</v>
      </c>
      <c r="C32" s="4" t="s">
        <v>2143</v>
      </c>
      <c r="D32" s="4" t="s">
        <v>1939</v>
      </c>
      <c r="E32" s="84">
        <v>46209</v>
      </c>
      <c r="F32" s="4">
        <v>12</v>
      </c>
      <c r="G32" s="4" t="s">
        <v>322</v>
      </c>
      <c r="H32" s="4" t="s">
        <v>358</v>
      </c>
      <c r="I32" s="4" t="s">
        <v>13</v>
      </c>
      <c r="J32" s="4" t="s">
        <v>331</v>
      </c>
      <c r="K32" s="84">
        <v>46209</v>
      </c>
      <c r="L32" s="4" t="s">
        <v>322</v>
      </c>
      <c r="M32" s="4" t="s">
        <v>323</v>
      </c>
      <c r="N32" s="4" t="s">
        <v>368</v>
      </c>
      <c r="O32" s="4" t="s">
        <v>325</v>
      </c>
      <c r="P32" s="4" t="s">
        <v>45</v>
      </c>
      <c r="Q32" s="4">
        <v>5</v>
      </c>
      <c r="R32" s="4">
        <v>4</v>
      </c>
      <c r="S32" s="4">
        <v>0</v>
      </c>
      <c r="T32" s="4">
        <v>0.55555555555555602</v>
      </c>
      <c r="U32" s="4">
        <v>9</v>
      </c>
    </row>
    <row r="33" spans="1:21" ht="14.25" customHeight="1" x14ac:dyDescent="0.45">
      <c r="A33" s="4" t="s">
        <v>366</v>
      </c>
      <c r="B33" s="4" t="s">
        <v>2144</v>
      </c>
      <c r="C33" s="4" t="s">
        <v>2143</v>
      </c>
      <c r="D33" s="4" t="s">
        <v>1939</v>
      </c>
      <c r="E33" s="84">
        <v>46209</v>
      </c>
      <c r="F33" s="4">
        <v>12</v>
      </c>
      <c r="G33" s="4" t="s">
        <v>322</v>
      </c>
      <c r="H33" s="4" t="s">
        <v>360</v>
      </c>
      <c r="I33" s="4" t="s">
        <v>12</v>
      </c>
      <c r="K33" s="84">
        <v>46209</v>
      </c>
      <c r="L33" s="4" t="s">
        <v>322</v>
      </c>
      <c r="M33" s="4" t="s">
        <v>323</v>
      </c>
      <c r="N33" s="4" t="s">
        <v>368</v>
      </c>
      <c r="O33" s="4" t="s">
        <v>325</v>
      </c>
      <c r="P33" s="4" t="s">
        <v>45</v>
      </c>
      <c r="Q33" s="4">
        <v>5</v>
      </c>
      <c r="R33" s="4">
        <v>4</v>
      </c>
      <c r="S33" s="4">
        <v>0</v>
      </c>
      <c r="T33" s="4">
        <v>0.55555555555555602</v>
      </c>
      <c r="U33" s="4">
        <v>9</v>
      </c>
    </row>
    <row r="34" spans="1:21" ht="14.25" customHeight="1" x14ac:dyDescent="0.45">
      <c r="A34" s="4" t="s">
        <v>366</v>
      </c>
      <c r="B34" s="4" t="s">
        <v>2144</v>
      </c>
      <c r="C34" s="4" t="s">
        <v>2143</v>
      </c>
      <c r="D34" s="4" t="s">
        <v>1939</v>
      </c>
      <c r="E34" s="84">
        <v>46209</v>
      </c>
      <c r="F34" s="4">
        <v>12</v>
      </c>
      <c r="G34" s="4" t="s">
        <v>322</v>
      </c>
      <c r="H34" s="4" t="s">
        <v>361</v>
      </c>
      <c r="I34" s="4" t="s">
        <v>12</v>
      </c>
      <c r="K34" s="84">
        <v>46209</v>
      </c>
      <c r="L34" s="4" t="s">
        <v>322</v>
      </c>
      <c r="M34" s="4" t="s">
        <v>323</v>
      </c>
      <c r="N34" s="4" t="s">
        <v>368</v>
      </c>
      <c r="O34" s="4" t="s">
        <v>325</v>
      </c>
      <c r="P34" s="4" t="s">
        <v>45</v>
      </c>
      <c r="Q34" s="4">
        <v>5</v>
      </c>
      <c r="R34" s="4">
        <v>4</v>
      </c>
      <c r="S34" s="4">
        <v>0</v>
      </c>
      <c r="T34" s="4">
        <v>0.55555555555555602</v>
      </c>
      <c r="U34" s="4">
        <v>9</v>
      </c>
    </row>
    <row r="35" spans="1:21" ht="14.25" customHeight="1" x14ac:dyDescent="0.45">
      <c r="A35" s="4" t="s">
        <v>366</v>
      </c>
      <c r="B35" s="4" t="s">
        <v>2144</v>
      </c>
      <c r="C35" s="4" t="s">
        <v>2143</v>
      </c>
      <c r="D35" s="4" t="s">
        <v>1939</v>
      </c>
      <c r="E35" s="84">
        <v>46209</v>
      </c>
      <c r="F35" s="4">
        <v>12</v>
      </c>
      <c r="G35" s="4" t="s">
        <v>322</v>
      </c>
      <c r="H35" s="4" t="s">
        <v>362</v>
      </c>
      <c r="I35" s="4" t="s">
        <v>12</v>
      </c>
      <c r="K35" s="84">
        <v>46209</v>
      </c>
      <c r="L35" s="4" t="s">
        <v>322</v>
      </c>
      <c r="M35" s="4" t="s">
        <v>323</v>
      </c>
      <c r="N35" s="4" t="s">
        <v>368</v>
      </c>
      <c r="O35" s="4" t="s">
        <v>325</v>
      </c>
      <c r="P35" s="4" t="s">
        <v>45</v>
      </c>
      <c r="Q35" s="4">
        <v>5</v>
      </c>
      <c r="R35" s="4">
        <v>4</v>
      </c>
      <c r="S35" s="4">
        <v>0</v>
      </c>
      <c r="T35" s="4">
        <v>0.55555555555555602</v>
      </c>
      <c r="U35" s="4">
        <v>9</v>
      </c>
    </row>
    <row r="36" spans="1:21" ht="14.25" customHeight="1" x14ac:dyDescent="0.45">
      <c r="A36" s="4" t="s">
        <v>366</v>
      </c>
      <c r="B36" s="4" t="s">
        <v>2144</v>
      </c>
      <c r="C36" s="4" t="s">
        <v>2143</v>
      </c>
      <c r="D36" s="4" t="s">
        <v>1939</v>
      </c>
      <c r="E36" s="84">
        <v>46209</v>
      </c>
      <c r="F36" s="4">
        <v>12</v>
      </c>
      <c r="G36" s="4" t="s">
        <v>322</v>
      </c>
      <c r="H36" s="4" t="s">
        <v>363</v>
      </c>
      <c r="I36" s="4" t="s">
        <v>12</v>
      </c>
      <c r="K36" s="84">
        <v>46209</v>
      </c>
      <c r="L36" s="4" t="s">
        <v>322</v>
      </c>
      <c r="M36" s="4" t="s">
        <v>323</v>
      </c>
      <c r="N36" s="4" t="s">
        <v>368</v>
      </c>
      <c r="O36" s="4" t="s">
        <v>325</v>
      </c>
      <c r="P36" s="4" t="s">
        <v>45</v>
      </c>
      <c r="Q36" s="4">
        <v>5</v>
      </c>
      <c r="R36" s="4">
        <v>4</v>
      </c>
      <c r="S36" s="4">
        <v>0</v>
      </c>
      <c r="T36" s="4">
        <v>0.55555555555555602</v>
      </c>
      <c r="U36" s="4">
        <v>9</v>
      </c>
    </row>
    <row r="37" spans="1:21" ht="14.25" customHeight="1" x14ac:dyDescent="0.45">
      <c r="A37" s="4" t="s">
        <v>366</v>
      </c>
      <c r="B37" s="4" t="s">
        <v>2144</v>
      </c>
      <c r="C37" s="4" t="s">
        <v>2143</v>
      </c>
      <c r="D37" s="4" t="s">
        <v>1939</v>
      </c>
      <c r="E37" s="84">
        <v>46209</v>
      </c>
      <c r="F37" s="4">
        <v>12</v>
      </c>
      <c r="G37" s="4" t="s">
        <v>322</v>
      </c>
      <c r="H37" s="4" t="s">
        <v>364</v>
      </c>
      <c r="I37" s="4" t="s">
        <v>13</v>
      </c>
      <c r="J37" s="4" t="s">
        <v>369</v>
      </c>
      <c r="K37" s="84">
        <v>46209</v>
      </c>
      <c r="L37" s="4" t="s">
        <v>322</v>
      </c>
      <c r="M37" s="4" t="s">
        <v>323</v>
      </c>
      <c r="N37" s="4" t="s">
        <v>368</v>
      </c>
      <c r="O37" s="4" t="s">
        <v>325</v>
      </c>
      <c r="P37" s="4" t="s">
        <v>45</v>
      </c>
      <c r="Q37" s="4">
        <v>5</v>
      </c>
      <c r="R37" s="4">
        <v>4</v>
      </c>
      <c r="S37" s="4">
        <v>0</v>
      </c>
      <c r="T37" s="4">
        <v>0.55555555555555602</v>
      </c>
      <c r="U37" s="4">
        <v>9</v>
      </c>
    </row>
    <row r="38" spans="1:21" ht="14.25" customHeight="1" x14ac:dyDescent="0.45">
      <c r="A38" s="4" t="s">
        <v>370</v>
      </c>
      <c r="B38" s="4" t="s">
        <v>2145</v>
      </c>
      <c r="C38" s="4" t="s">
        <v>143</v>
      </c>
      <c r="D38" s="4" t="s">
        <v>1940</v>
      </c>
      <c r="E38" s="84">
        <v>46210</v>
      </c>
      <c r="F38" s="4">
        <v>12</v>
      </c>
      <c r="G38" s="4" t="s">
        <v>371</v>
      </c>
      <c r="H38" s="4" t="s">
        <v>334</v>
      </c>
      <c r="I38" s="4" t="s">
        <v>12</v>
      </c>
      <c r="K38" s="84">
        <v>46210</v>
      </c>
      <c r="L38" s="4" t="s">
        <v>371</v>
      </c>
      <c r="M38" s="4" t="s">
        <v>372</v>
      </c>
      <c r="N38" s="4" t="s">
        <v>373</v>
      </c>
      <c r="O38" s="4" t="s">
        <v>374</v>
      </c>
      <c r="P38" s="4" t="s">
        <v>326</v>
      </c>
      <c r="Q38" s="4">
        <v>4</v>
      </c>
      <c r="R38" s="4">
        <v>1</v>
      </c>
      <c r="S38" s="4">
        <v>0</v>
      </c>
      <c r="T38" s="4">
        <v>0.8</v>
      </c>
      <c r="U38" s="4">
        <v>5</v>
      </c>
    </row>
    <row r="39" spans="1:21" ht="14.25" customHeight="1" x14ac:dyDescent="0.45">
      <c r="A39" s="4" t="s">
        <v>370</v>
      </c>
      <c r="B39" s="4" t="s">
        <v>2145</v>
      </c>
      <c r="C39" s="4" t="s">
        <v>143</v>
      </c>
      <c r="D39" s="4" t="s">
        <v>1940</v>
      </c>
      <c r="E39" s="84">
        <v>46210</v>
      </c>
      <c r="F39" s="4">
        <v>12</v>
      </c>
      <c r="G39" s="4" t="s">
        <v>371</v>
      </c>
      <c r="H39" s="4" t="s">
        <v>343</v>
      </c>
      <c r="I39" s="4" t="s">
        <v>13</v>
      </c>
      <c r="J39" s="4" t="s">
        <v>377</v>
      </c>
      <c r="K39" s="84">
        <v>46210</v>
      </c>
      <c r="L39" s="4" t="s">
        <v>371</v>
      </c>
      <c r="M39" s="4" t="s">
        <v>372</v>
      </c>
      <c r="N39" s="4" t="s">
        <v>373</v>
      </c>
      <c r="O39" s="4" t="s">
        <v>374</v>
      </c>
      <c r="P39" s="4" t="s">
        <v>326</v>
      </c>
      <c r="Q39" s="4">
        <v>4</v>
      </c>
      <c r="R39" s="4">
        <v>1</v>
      </c>
      <c r="S39" s="4">
        <v>0</v>
      </c>
      <c r="T39" s="4">
        <v>0.8</v>
      </c>
      <c r="U39" s="4">
        <v>5</v>
      </c>
    </row>
    <row r="40" spans="1:21" ht="14.25" customHeight="1" x14ac:dyDescent="0.45">
      <c r="A40" s="4" t="s">
        <v>370</v>
      </c>
      <c r="B40" s="4" t="s">
        <v>2145</v>
      </c>
      <c r="C40" s="4" t="s">
        <v>143</v>
      </c>
      <c r="D40" s="4" t="s">
        <v>1940</v>
      </c>
      <c r="E40" s="84">
        <v>46210</v>
      </c>
      <c r="F40" s="4">
        <v>12</v>
      </c>
      <c r="G40" s="4" t="s">
        <v>371</v>
      </c>
      <c r="H40" s="4" t="s">
        <v>345</v>
      </c>
      <c r="I40" s="4" t="s">
        <v>12</v>
      </c>
      <c r="K40" s="84">
        <v>46210</v>
      </c>
      <c r="L40" s="4" t="s">
        <v>371</v>
      </c>
      <c r="M40" s="4" t="s">
        <v>372</v>
      </c>
      <c r="N40" s="4" t="s">
        <v>373</v>
      </c>
      <c r="O40" s="4" t="s">
        <v>374</v>
      </c>
      <c r="P40" s="4" t="s">
        <v>326</v>
      </c>
      <c r="Q40" s="4">
        <v>4</v>
      </c>
      <c r="R40" s="4">
        <v>1</v>
      </c>
      <c r="S40" s="4">
        <v>0</v>
      </c>
      <c r="T40" s="4">
        <v>0.8</v>
      </c>
      <c r="U40" s="4">
        <v>5</v>
      </c>
    </row>
    <row r="41" spans="1:21" ht="14.25" customHeight="1" x14ac:dyDescent="0.45">
      <c r="A41" s="4" t="s">
        <v>370</v>
      </c>
      <c r="B41" s="4" t="s">
        <v>2145</v>
      </c>
      <c r="C41" s="4" t="s">
        <v>143</v>
      </c>
      <c r="D41" s="4" t="s">
        <v>1940</v>
      </c>
      <c r="E41" s="84">
        <v>46210</v>
      </c>
      <c r="F41" s="4">
        <v>12</v>
      </c>
      <c r="G41" s="4" t="s">
        <v>371</v>
      </c>
      <c r="H41" s="4" t="s">
        <v>346</v>
      </c>
      <c r="I41" s="4" t="s">
        <v>12</v>
      </c>
      <c r="K41" s="84">
        <v>46210</v>
      </c>
      <c r="L41" s="4" t="s">
        <v>371</v>
      </c>
      <c r="M41" s="4" t="s">
        <v>372</v>
      </c>
      <c r="N41" s="4" t="s">
        <v>373</v>
      </c>
      <c r="O41" s="4" t="s">
        <v>374</v>
      </c>
      <c r="P41" s="4" t="s">
        <v>326</v>
      </c>
      <c r="Q41" s="4">
        <v>4</v>
      </c>
      <c r="R41" s="4">
        <v>1</v>
      </c>
      <c r="S41" s="4">
        <v>0</v>
      </c>
      <c r="T41" s="4">
        <v>0.8</v>
      </c>
      <c r="U41" s="4">
        <v>5</v>
      </c>
    </row>
    <row r="42" spans="1:21" ht="14.25" customHeight="1" x14ac:dyDescent="0.45">
      <c r="A42" s="4" t="s">
        <v>370</v>
      </c>
      <c r="B42" s="4" t="s">
        <v>2145</v>
      </c>
      <c r="C42" s="4" t="s">
        <v>143</v>
      </c>
      <c r="D42" s="4" t="s">
        <v>1940</v>
      </c>
      <c r="E42" s="84">
        <v>46210</v>
      </c>
      <c r="F42" s="4">
        <v>12</v>
      </c>
      <c r="G42" s="4" t="s">
        <v>371</v>
      </c>
      <c r="H42" s="4" t="s">
        <v>347</v>
      </c>
      <c r="I42" s="4" t="s">
        <v>12</v>
      </c>
      <c r="K42" s="84">
        <v>46210</v>
      </c>
      <c r="L42" s="4" t="s">
        <v>371</v>
      </c>
      <c r="M42" s="4" t="s">
        <v>372</v>
      </c>
      <c r="N42" s="4" t="s">
        <v>373</v>
      </c>
      <c r="O42" s="4" t="s">
        <v>374</v>
      </c>
      <c r="P42" s="4" t="s">
        <v>326</v>
      </c>
      <c r="Q42" s="4">
        <v>4</v>
      </c>
      <c r="R42" s="4">
        <v>1</v>
      </c>
      <c r="S42" s="4">
        <v>0</v>
      </c>
      <c r="T42" s="4">
        <v>0.8</v>
      </c>
      <c r="U42" s="4">
        <v>5</v>
      </c>
    </row>
    <row r="43" spans="1:21" ht="14.25" customHeight="1" x14ac:dyDescent="0.45">
      <c r="A43" s="4" t="s">
        <v>378</v>
      </c>
      <c r="B43" s="4" t="s">
        <v>2146</v>
      </c>
      <c r="C43" s="4" t="s">
        <v>207</v>
      </c>
      <c r="D43" s="4" t="s">
        <v>1017</v>
      </c>
      <c r="E43" s="84">
        <v>46212</v>
      </c>
      <c r="F43" s="4">
        <v>12</v>
      </c>
      <c r="G43" s="4" t="s">
        <v>322</v>
      </c>
      <c r="H43" s="4" t="s">
        <v>379</v>
      </c>
      <c r="I43" s="4" t="s">
        <v>13</v>
      </c>
      <c r="J43" s="4" t="s">
        <v>380</v>
      </c>
      <c r="K43" s="84">
        <v>46212</v>
      </c>
      <c r="L43" s="4" t="s">
        <v>322</v>
      </c>
      <c r="M43" s="4" t="s">
        <v>381</v>
      </c>
      <c r="N43" s="4" t="s">
        <v>382</v>
      </c>
      <c r="O43" s="4" t="s">
        <v>383</v>
      </c>
      <c r="P43" s="4" t="s">
        <v>45</v>
      </c>
      <c r="Q43" s="4">
        <v>3</v>
      </c>
      <c r="R43" s="4">
        <v>3</v>
      </c>
      <c r="S43" s="4">
        <v>1</v>
      </c>
      <c r="T43" s="4">
        <v>0.5</v>
      </c>
      <c r="U43" s="4">
        <v>7</v>
      </c>
    </row>
    <row r="44" spans="1:21" ht="14.25" customHeight="1" x14ac:dyDescent="0.45">
      <c r="A44" s="4" t="s">
        <v>378</v>
      </c>
      <c r="B44" s="4" t="s">
        <v>2146</v>
      </c>
      <c r="C44" s="4" t="s">
        <v>207</v>
      </c>
      <c r="D44" s="4" t="s">
        <v>1017</v>
      </c>
      <c r="E44" s="84">
        <v>46212</v>
      </c>
      <c r="F44" s="4">
        <v>12</v>
      </c>
      <c r="G44" s="4" t="s">
        <v>322</v>
      </c>
      <c r="H44" s="4" t="s">
        <v>386</v>
      </c>
      <c r="I44" s="4" t="s">
        <v>12</v>
      </c>
      <c r="K44" s="84">
        <v>46212</v>
      </c>
      <c r="L44" s="4" t="s">
        <v>322</v>
      </c>
      <c r="M44" s="4" t="s">
        <v>381</v>
      </c>
      <c r="N44" s="4" t="s">
        <v>382</v>
      </c>
      <c r="O44" s="4" t="s">
        <v>383</v>
      </c>
      <c r="P44" s="4" t="s">
        <v>45</v>
      </c>
      <c r="Q44" s="4">
        <v>3</v>
      </c>
      <c r="R44" s="4">
        <v>3</v>
      </c>
      <c r="S44" s="4">
        <v>1</v>
      </c>
      <c r="T44" s="4">
        <v>0.5</v>
      </c>
      <c r="U44" s="4">
        <v>7</v>
      </c>
    </row>
    <row r="45" spans="1:21" ht="14.25" customHeight="1" x14ac:dyDescent="0.45">
      <c r="A45" s="4" t="s">
        <v>378</v>
      </c>
      <c r="B45" s="4" t="s">
        <v>2146</v>
      </c>
      <c r="C45" s="4" t="s">
        <v>207</v>
      </c>
      <c r="D45" s="4" t="s">
        <v>1017</v>
      </c>
      <c r="E45" s="84">
        <v>46212</v>
      </c>
      <c r="F45" s="4">
        <v>12</v>
      </c>
      <c r="G45" s="4" t="s">
        <v>322</v>
      </c>
      <c r="H45" s="4" t="s">
        <v>387</v>
      </c>
      <c r="I45" s="4" t="s">
        <v>14</v>
      </c>
      <c r="K45" s="84">
        <v>46212</v>
      </c>
      <c r="L45" s="4" t="s">
        <v>322</v>
      </c>
      <c r="M45" s="4" t="s">
        <v>381</v>
      </c>
      <c r="N45" s="4" t="s">
        <v>382</v>
      </c>
      <c r="O45" s="4" t="s">
        <v>383</v>
      </c>
      <c r="P45" s="4" t="s">
        <v>45</v>
      </c>
      <c r="Q45" s="4">
        <v>3</v>
      </c>
      <c r="R45" s="4">
        <v>3</v>
      </c>
      <c r="S45" s="4">
        <v>1</v>
      </c>
      <c r="T45" s="4">
        <v>0.5</v>
      </c>
      <c r="U45" s="4">
        <v>7</v>
      </c>
    </row>
    <row r="46" spans="1:21" ht="14.25" customHeight="1" x14ac:dyDescent="0.45">
      <c r="A46" s="4" t="s">
        <v>378</v>
      </c>
      <c r="B46" s="4" t="s">
        <v>2146</v>
      </c>
      <c r="C46" s="4" t="s">
        <v>207</v>
      </c>
      <c r="D46" s="4" t="s">
        <v>1017</v>
      </c>
      <c r="E46" s="84">
        <v>46212</v>
      </c>
      <c r="F46" s="4">
        <v>12</v>
      </c>
      <c r="G46" s="4" t="s">
        <v>322</v>
      </c>
      <c r="H46" s="4" t="s">
        <v>388</v>
      </c>
      <c r="I46" s="4" t="s">
        <v>12</v>
      </c>
      <c r="K46" s="84">
        <v>46212</v>
      </c>
      <c r="L46" s="4" t="s">
        <v>322</v>
      </c>
      <c r="M46" s="4" t="s">
        <v>381</v>
      </c>
      <c r="N46" s="4" t="s">
        <v>382</v>
      </c>
      <c r="O46" s="4" t="s">
        <v>383</v>
      </c>
      <c r="P46" s="4" t="s">
        <v>45</v>
      </c>
      <c r="Q46" s="4">
        <v>3</v>
      </c>
      <c r="R46" s="4">
        <v>3</v>
      </c>
      <c r="S46" s="4">
        <v>1</v>
      </c>
      <c r="T46" s="4">
        <v>0.5</v>
      </c>
      <c r="U46" s="4">
        <v>7</v>
      </c>
    </row>
    <row r="47" spans="1:21" ht="14.25" customHeight="1" x14ac:dyDescent="0.45">
      <c r="A47" s="4" t="s">
        <v>378</v>
      </c>
      <c r="B47" s="4" t="s">
        <v>2146</v>
      </c>
      <c r="C47" s="4" t="s">
        <v>207</v>
      </c>
      <c r="D47" s="4" t="s">
        <v>1017</v>
      </c>
      <c r="E47" s="84">
        <v>46212</v>
      </c>
      <c r="F47" s="4">
        <v>12</v>
      </c>
      <c r="G47" s="4" t="s">
        <v>322</v>
      </c>
      <c r="H47" s="4" t="s">
        <v>389</v>
      </c>
      <c r="I47" s="4" t="s">
        <v>12</v>
      </c>
      <c r="K47" s="84">
        <v>46212</v>
      </c>
      <c r="L47" s="4" t="s">
        <v>322</v>
      </c>
      <c r="M47" s="4" t="s">
        <v>381</v>
      </c>
      <c r="N47" s="4" t="s">
        <v>382</v>
      </c>
      <c r="O47" s="4" t="s">
        <v>383</v>
      </c>
      <c r="P47" s="4" t="s">
        <v>45</v>
      </c>
      <c r="Q47" s="4">
        <v>3</v>
      </c>
      <c r="R47" s="4">
        <v>3</v>
      </c>
      <c r="S47" s="4">
        <v>1</v>
      </c>
      <c r="T47" s="4">
        <v>0.5</v>
      </c>
      <c r="U47" s="4">
        <v>7</v>
      </c>
    </row>
    <row r="48" spans="1:21" ht="14.25" customHeight="1" x14ac:dyDescent="0.45">
      <c r="A48" s="4" t="s">
        <v>378</v>
      </c>
      <c r="B48" s="4" t="s">
        <v>2146</v>
      </c>
      <c r="C48" s="4" t="s">
        <v>207</v>
      </c>
      <c r="D48" s="4" t="s">
        <v>1017</v>
      </c>
      <c r="E48" s="84">
        <v>46212</v>
      </c>
      <c r="F48" s="4">
        <v>12</v>
      </c>
      <c r="G48" s="4" t="s">
        <v>322</v>
      </c>
      <c r="H48" s="4" t="s">
        <v>390</v>
      </c>
      <c r="I48" s="4" t="s">
        <v>13</v>
      </c>
      <c r="J48" s="4" t="s">
        <v>391</v>
      </c>
      <c r="K48" s="84">
        <v>46212</v>
      </c>
      <c r="L48" s="4" t="s">
        <v>322</v>
      </c>
      <c r="M48" s="4" t="s">
        <v>381</v>
      </c>
      <c r="N48" s="4" t="s">
        <v>382</v>
      </c>
      <c r="O48" s="4" t="s">
        <v>383</v>
      </c>
      <c r="P48" s="4" t="s">
        <v>45</v>
      </c>
      <c r="Q48" s="4">
        <v>3</v>
      </c>
      <c r="R48" s="4">
        <v>3</v>
      </c>
      <c r="S48" s="4">
        <v>1</v>
      </c>
      <c r="T48" s="4">
        <v>0.5</v>
      </c>
      <c r="U48" s="4">
        <v>7</v>
      </c>
    </row>
    <row r="49" spans="1:21" ht="14.25" customHeight="1" x14ac:dyDescent="0.45">
      <c r="A49" s="4" t="s">
        <v>378</v>
      </c>
      <c r="B49" s="4" t="s">
        <v>2146</v>
      </c>
      <c r="C49" s="4" t="s">
        <v>207</v>
      </c>
      <c r="D49" s="4" t="s">
        <v>1017</v>
      </c>
      <c r="E49" s="84">
        <v>46212</v>
      </c>
      <c r="F49" s="4">
        <v>12</v>
      </c>
      <c r="G49" s="4" t="s">
        <v>322</v>
      </c>
      <c r="H49" s="4" t="s">
        <v>392</v>
      </c>
      <c r="I49" s="4" t="s">
        <v>13</v>
      </c>
      <c r="J49" s="4" t="s">
        <v>393</v>
      </c>
      <c r="K49" s="84">
        <v>46212</v>
      </c>
      <c r="L49" s="4" t="s">
        <v>322</v>
      </c>
      <c r="M49" s="4" t="s">
        <v>381</v>
      </c>
      <c r="N49" s="4" t="s">
        <v>382</v>
      </c>
      <c r="O49" s="4" t="s">
        <v>383</v>
      </c>
      <c r="P49" s="4" t="s">
        <v>45</v>
      </c>
      <c r="Q49" s="4">
        <v>3</v>
      </c>
      <c r="R49" s="4">
        <v>3</v>
      </c>
      <c r="S49" s="4">
        <v>1</v>
      </c>
      <c r="T49" s="4">
        <v>0.5</v>
      </c>
      <c r="U49" s="4">
        <v>7</v>
      </c>
    </row>
    <row r="50" spans="1:21" ht="14.25" customHeight="1" x14ac:dyDescent="0.45">
      <c r="A50" s="4" t="s">
        <v>394</v>
      </c>
      <c r="B50" s="4" t="s">
        <v>2147</v>
      </c>
      <c r="C50" s="4" t="s">
        <v>92</v>
      </c>
      <c r="D50" s="4" t="s">
        <v>2148</v>
      </c>
      <c r="E50" s="84">
        <v>46212</v>
      </c>
      <c r="F50" s="4">
        <v>12</v>
      </c>
      <c r="G50" s="4" t="s">
        <v>322</v>
      </c>
      <c r="H50" s="4" t="s">
        <v>395</v>
      </c>
      <c r="I50" s="4" t="s">
        <v>14</v>
      </c>
      <c r="K50" s="84">
        <v>46212</v>
      </c>
      <c r="L50" s="4" t="s">
        <v>322</v>
      </c>
      <c r="M50" s="4" t="s">
        <v>381</v>
      </c>
      <c r="N50" s="4" t="s">
        <v>382</v>
      </c>
      <c r="O50" s="4" t="s">
        <v>383</v>
      </c>
      <c r="P50" s="4" t="s">
        <v>45</v>
      </c>
      <c r="Q50" s="4">
        <v>6</v>
      </c>
      <c r="R50" s="4">
        <v>1</v>
      </c>
      <c r="S50" s="4">
        <v>2</v>
      </c>
      <c r="T50" s="4">
        <v>0.85714285714285698</v>
      </c>
      <c r="U50" s="4">
        <v>9</v>
      </c>
    </row>
    <row r="51" spans="1:21" ht="14.25" customHeight="1" x14ac:dyDescent="0.45">
      <c r="A51" s="4" t="s">
        <v>394</v>
      </c>
      <c r="B51" s="4" t="s">
        <v>2147</v>
      </c>
      <c r="C51" s="4" t="s">
        <v>92</v>
      </c>
      <c r="D51" s="4" t="s">
        <v>2148</v>
      </c>
      <c r="E51" s="84">
        <v>46212</v>
      </c>
      <c r="F51" s="4">
        <v>12</v>
      </c>
      <c r="G51" s="4" t="s">
        <v>322</v>
      </c>
      <c r="H51" s="4" t="s">
        <v>396</v>
      </c>
      <c r="I51" s="4" t="s">
        <v>12</v>
      </c>
      <c r="K51" s="84">
        <v>46212</v>
      </c>
      <c r="L51" s="4" t="s">
        <v>322</v>
      </c>
      <c r="M51" s="4" t="s">
        <v>381</v>
      </c>
      <c r="N51" s="4" t="s">
        <v>382</v>
      </c>
      <c r="O51" s="4" t="s">
        <v>383</v>
      </c>
      <c r="P51" s="4" t="s">
        <v>45</v>
      </c>
      <c r="Q51" s="4">
        <v>6</v>
      </c>
      <c r="R51" s="4">
        <v>1</v>
      </c>
      <c r="S51" s="4">
        <v>2</v>
      </c>
      <c r="T51" s="4">
        <v>0.85714285714285698</v>
      </c>
      <c r="U51" s="4">
        <v>9</v>
      </c>
    </row>
    <row r="52" spans="1:21" ht="14.25" customHeight="1" x14ac:dyDescent="0.45">
      <c r="A52" s="4" t="s">
        <v>394</v>
      </c>
      <c r="B52" s="4" t="s">
        <v>2147</v>
      </c>
      <c r="C52" s="4" t="s">
        <v>92</v>
      </c>
      <c r="D52" s="4" t="s">
        <v>2148</v>
      </c>
      <c r="E52" s="84">
        <v>46212</v>
      </c>
      <c r="F52" s="4">
        <v>12</v>
      </c>
      <c r="G52" s="4" t="s">
        <v>322</v>
      </c>
      <c r="H52" s="4" t="s">
        <v>397</v>
      </c>
      <c r="I52" s="4" t="s">
        <v>13</v>
      </c>
      <c r="J52" s="4" t="s">
        <v>398</v>
      </c>
      <c r="K52" s="84">
        <v>46212</v>
      </c>
      <c r="L52" s="4" t="s">
        <v>322</v>
      </c>
      <c r="M52" s="4" t="s">
        <v>381</v>
      </c>
      <c r="N52" s="4" t="s">
        <v>382</v>
      </c>
      <c r="O52" s="4" t="s">
        <v>383</v>
      </c>
      <c r="P52" s="4" t="s">
        <v>45</v>
      </c>
      <c r="Q52" s="4">
        <v>6</v>
      </c>
      <c r="R52" s="4">
        <v>1</v>
      </c>
      <c r="S52" s="4">
        <v>2</v>
      </c>
      <c r="T52" s="4">
        <v>0.85714285714285698</v>
      </c>
      <c r="U52" s="4">
        <v>9</v>
      </c>
    </row>
    <row r="53" spans="1:21" ht="14.25" customHeight="1" x14ac:dyDescent="0.45">
      <c r="A53" s="4" t="s">
        <v>394</v>
      </c>
      <c r="B53" s="4" t="s">
        <v>2147</v>
      </c>
      <c r="C53" s="4" t="s">
        <v>92</v>
      </c>
      <c r="D53" s="4" t="s">
        <v>2148</v>
      </c>
      <c r="E53" s="84">
        <v>46212</v>
      </c>
      <c r="F53" s="4">
        <v>12</v>
      </c>
      <c r="G53" s="4" t="s">
        <v>322</v>
      </c>
      <c r="H53" s="4" t="s">
        <v>399</v>
      </c>
      <c r="I53" s="4" t="s">
        <v>12</v>
      </c>
      <c r="K53" s="84">
        <v>46212</v>
      </c>
      <c r="L53" s="4" t="s">
        <v>322</v>
      </c>
      <c r="M53" s="4" t="s">
        <v>381</v>
      </c>
      <c r="N53" s="4" t="s">
        <v>382</v>
      </c>
      <c r="O53" s="4" t="s">
        <v>383</v>
      </c>
      <c r="P53" s="4" t="s">
        <v>45</v>
      </c>
      <c r="Q53" s="4">
        <v>6</v>
      </c>
      <c r="R53" s="4">
        <v>1</v>
      </c>
      <c r="S53" s="4">
        <v>2</v>
      </c>
      <c r="T53" s="4">
        <v>0.85714285714285698</v>
      </c>
      <c r="U53" s="4">
        <v>9</v>
      </c>
    </row>
    <row r="54" spans="1:21" ht="14.25" customHeight="1" x14ac:dyDescent="0.45">
      <c r="A54" s="4" t="s">
        <v>394</v>
      </c>
      <c r="B54" s="4" t="s">
        <v>2147</v>
      </c>
      <c r="C54" s="4" t="s">
        <v>92</v>
      </c>
      <c r="D54" s="4" t="s">
        <v>2148</v>
      </c>
      <c r="E54" s="84">
        <v>46212</v>
      </c>
      <c r="F54" s="4">
        <v>12</v>
      </c>
      <c r="G54" s="4" t="s">
        <v>322</v>
      </c>
      <c r="H54" s="4" t="s">
        <v>115</v>
      </c>
      <c r="I54" s="4" t="s">
        <v>12</v>
      </c>
      <c r="K54" s="84">
        <v>46212</v>
      </c>
      <c r="L54" s="4" t="s">
        <v>322</v>
      </c>
      <c r="M54" s="4" t="s">
        <v>381</v>
      </c>
      <c r="N54" s="4" t="s">
        <v>382</v>
      </c>
      <c r="O54" s="4" t="s">
        <v>383</v>
      </c>
      <c r="P54" s="4" t="s">
        <v>45</v>
      </c>
      <c r="Q54" s="4">
        <v>6</v>
      </c>
      <c r="R54" s="4">
        <v>1</v>
      </c>
      <c r="S54" s="4">
        <v>2</v>
      </c>
      <c r="T54" s="4">
        <v>0.85714285714285698</v>
      </c>
      <c r="U54" s="4">
        <v>9</v>
      </c>
    </row>
    <row r="55" spans="1:21" ht="14.25" customHeight="1" x14ac:dyDescent="0.45">
      <c r="A55" s="4" t="s">
        <v>394</v>
      </c>
      <c r="B55" s="4" t="s">
        <v>2147</v>
      </c>
      <c r="C55" s="4" t="s">
        <v>92</v>
      </c>
      <c r="D55" s="4" t="s">
        <v>2148</v>
      </c>
      <c r="E55" s="84">
        <v>46212</v>
      </c>
      <c r="F55" s="4">
        <v>12</v>
      </c>
      <c r="G55" s="4" t="s">
        <v>322</v>
      </c>
      <c r="H55" s="4" t="s">
        <v>119</v>
      </c>
      <c r="I55" s="4" t="s">
        <v>12</v>
      </c>
      <c r="K55" s="84">
        <v>46212</v>
      </c>
      <c r="L55" s="4" t="s">
        <v>322</v>
      </c>
      <c r="M55" s="4" t="s">
        <v>381</v>
      </c>
      <c r="N55" s="4" t="s">
        <v>382</v>
      </c>
      <c r="O55" s="4" t="s">
        <v>383</v>
      </c>
      <c r="P55" s="4" t="s">
        <v>45</v>
      </c>
      <c r="Q55" s="4">
        <v>6</v>
      </c>
      <c r="R55" s="4">
        <v>1</v>
      </c>
      <c r="S55" s="4">
        <v>2</v>
      </c>
      <c r="T55" s="4">
        <v>0.85714285714285698</v>
      </c>
      <c r="U55" s="4">
        <v>9</v>
      </c>
    </row>
    <row r="56" spans="1:21" ht="14.25" customHeight="1" x14ac:dyDescent="0.45">
      <c r="A56" s="4" t="s">
        <v>394</v>
      </c>
      <c r="B56" s="4" t="s">
        <v>2147</v>
      </c>
      <c r="C56" s="4" t="s">
        <v>92</v>
      </c>
      <c r="D56" s="4" t="s">
        <v>2148</v>
      </c>
      <c r="E56" s="84">
        <v>46212</v>
      </c>
      <c r="F56" s="4">
        <v>12</v>
      </c>
      <c r="G56" s="4" t="s">
        <v>322</v>
      </c>
      <c r="H56" s="4" t="s">
        <v>400</v>
      </c>
      <c r="I56" s="4" t="s">
        <v>12</v>
      </c>
      <c r="K56" s="84">
        <v>46212</v>
      </c>
      <c r="L56" s="4" t="s">
        <v>322</v>
      </c>
      <c r="M56" s="4" t="s">
        <v>381</v>
      </c>
      <c r="N56" s="4" t="s">
        <v>382</v>
      </c>
      <c r="O56" s="4" t="s">
        <v>383</v>
      </c>
      <c r="P56" s="4" t="s">
        <v>45</v>
      </c>
      <c r="Q56" s="4">
        <v>6</v>
      </c>
      <c r="R56" s="4">
        <v>1</v>
      </c>
      <c r="S56" s="4">
        <v>2</v>
      </c>
      <c r="T56" s="4">
        <v>0.85714285714285698</v>
      </c>
      <c r="U56" s="4">
        <v>9</v>
      </c>
    </row>
    <row r="57" spans="1:21" ht="14.25" customHeight="1" x14ac:dyDescent="0.45">
      <c r="A57" s="4" t="s">
        <v>394</v>
      </c>
      <c r="B57" s="4" t="s">
        <v>2147</v>
      </c>
      <c r="C57" s="4" t="s">
        <v>92</v>
      </c>
      <c r="D57" s="4" t="s">
        <v>2148</v>
      </c>
      <c r="E57" s="84">
        <v>46212</v>
      </c>
      <c r="F57" s="4">
        <v>12</v>
      </c>
      <c r="G57" s="4" t="s">
        <v>322</v>
      </c>
      <c r="H57" s="4" t="s">
        <v>401</v>
      </c>
      <c r="I57" s="4" t="s">
        <v>14</v>
      </c>
      <c r="K57" s="84">
        <v>46212</v>
      </c>
      <c r="L57" s="4" t="s">
        <v>322</v>
      </c>
      <c r="M57" s="4" t="s">
        <v>381</v>
      </c>
      <c r="N57" s="4" t="s">
        <v>382</v>
      </c>
      <c r="O57" s="4" t="s">
        <v>383</v>
      </c>
      <c r="P57" s="4" t="s">
        <v>45</v>
      </c>
      <c r="Q57" s="4">
        <v>6</v>
      </c>
      <c r="R57" s="4">
        <v>1</v>
      </c>
      <c r="S57" s="4">
        <v>2</v>
      </c>
      <c r="T57" s="4">
        <v>0.85714285714285698</v>
      </c>
      <c r="U57" s="4">
        <v>9</v>
      </c>
    </row>
    <row r="58" spans="1:21" ht="14.25" customHeight="1" x14ac:dyDescent="0.45">
      <c r="A58" s="4" t="s">
        <v>394</v>
      </c>
      <c r="B58" s="4" t="s">
        <v>2147</v>
      </c>
      <c r="C58" s="4" t="s">
        <v>92</v>
      </c>
      <c r="D58" s="4" t="s">
        <v>2148</v>
      </c>
      <c r="E58" s="84">
        <v>46212</v>
      </c>
      <c r="F58" s="4">
        <v>12</v>
      </c>
      <c r="G58" s="4" t="s">
        <v>322</v>
      </c>
      <c r="H58" s="4" t="s">
        <v>305</v>
      </c>
      <c r="I58" s="4" t="s">
        <v>12</v>
      </c>
      <c r="K58" s="84">
        <v>46212</v>
      </c>
      <c r="L58" s="4" t="s">
        <v>322</v>
      </c>
      <c r="M58" s="4" t="s">
        <v>381</v>
      </c>
      <c r="N58" s="4" t="s">
        <v>382</v>
      </c>
      <c r="O58" s="4" t="s">
        <v>383</v>
      </c>
      <c r="P58" s="4" t="s">
        <v>45</v>
      </c>
      <c r="Q58" s="4">
        <v>6</v>
      </c>
      <c r="R58" s="4">
        <v>1</v>
      </c>
      <c r="S58" s="4">
        <v>2</v>
      </c>
      <c r="T58" s="4">
        <v>0.85714285714285698</v>
      </c>
      <c r="U58" s="4">
        <v>9</v>
      </c>
    </row>
    <row r="59" spans="1:21" ht="14.25" customHeight="1" x14ac:dyDescent="0.45">
      <c r="A59" s="4" t="s">
        <v>402</v>
      </c>
      <c r="B59" s="4" t="s">
        <v>2149</v>
      </c>
      <c r="C59" s="4" t="s">
        <v>2143</v>
      </c>
      <c r="D59" s="4" t="s">
        <v>1939</v>
      </c>
      <c r="E59" s="84">
        <v>46212</v>
      </c>
      <c r="F59" s="4">
        <v>12</v>
      </c>
      <c r="G59" s="4" t="s">
        <v>322</v>
      </c>
      <c r="H59" s="4" t="s">
        <v>349</v>
      </c>
      <c r="I59" s="4" t="s">
        <v>13</v>
      </c>
      <c r="J59" s="4" t="s">
        <v>403</v>
      </c>
      <c r="K59" s="84">
        <v>46212</v>
      </c>
      <c r="L59" s="4" t="s">
        <v>322</v>
      </c>
      <c r="M59" s="4" t="s">
        <v>381</v>
      </c>
      <c r="N59" s="4" t="s">
        <v>382</v>
      </c>
      <c r="O59" s="4" t="s">
        <v>383</v>
      </c>
      <c r="P59" s="4" t="s">
        <v>45</v>
      </c>
      <c r="Q59" s="4">
        <v>3</v>
      </c>
      <c r="R59" s="4">
        <v>6</v>
      </c>
      <c r="S59" s="4">
        <v>0</v>
      </c>
      <c r="T59" s="4">
        <v>0.33333333333333298</v>
      </c>
      <c r="U59" s="4">
        <v>9</v>
      </c>
    </row>
    <row r="60" spans="1:21" ht="14.25" customHeight="1" x14ac:dyDescent="0.45">
      <c r="A60" s="4" t="s">
        <v>402</v>
      </c>
      <c r="B60" s="4" t="s">
        <v>2149</v>
      </c>
      <c r="C60" s="4" t="s">
        <v>2143</v>
      </c>
      <c r="D60" s="4" t="s">
        <v>1939</v>
      </c>
      <c r="E60" s="84">
        <v>46212</v>
      </c>
      <c r="F60" s="4">
        <v>12</v>
      </c>
      <c r="G60" s="4" t="s">
        <v>322</v>
      </c>
      <c r="H60" s="4" t="s">
        <v>354</v>
      </c>
      <c r="I60" s="4" t="s">
        <v>13</v>
      </c>
      <c r="J60" s="4" t="s">
        <v>404</v>
      </c>
      <c r="K60" s="84">
        <v>46212</v>
      </c>
      <c r="L60" s="4" t="s">
        <v>322</v>
      </c>
      <c r="M60" s="4" t="s">
        <v>381</v>
      </c>
      <c r="N60" s="4" t="s">
        <v>382</v>
      </c>
      <c r="O60" s="4" t="s">
        <v>383</v>
      </c>
      <c r="P60" s="4" t="s">
        <v>45</v>
      </c>
      <c r="Q60" s="4">
        <v>3</v>
      </c>
      <c r="R60" s="4">
        <v>6</v>
      </c>
      <c r="S60" s="4">
        <v>0</v>
      </c>
      <c r="T60" s="4">
        <v>0.33333333333333298</v>
      </c>
      <c r="U60" s="4">
        <v>9</v>
      </c>
    </row>
    <row r="61" spans="1:21" ht="14.25" customHeight="1" x14ac:dyDescent="0.45">
      <c r="A61" s="4" t="s">
        <v>402</v>
      </c>
      <c r="B61" s="4" t="s">
        <v>2149</v>
      </c>
      <c r="C61" s="4" t="s">
        <v>2143</v>
      </c>
      <c r="D61" s="4" t="s">
        <v>1939</v>
      </c>
      <c r="E61" s="84">
        <v>46212</v>
      </c>
      <c r="F61" s="4">
        <v>12</v>
      </c>
      <c r="G61" s="4" t="s">
        <v>322</v>
      </c>
      <c r="H61" s="4" t="s">
        <v>356</v>
      </c>
      <c r="I61" s="4" t="s">
        <v>13</v>
      </c>
      <c r="J61" s="4" t="s">
        <v>405</v>
      </c>
      <c r="K61" s="84">
        <v>46212</v>
      </c>
      <c r="L61" s="4" t="s">
        <v>322</v>
      </c>
      <c r="M61" s="4" t="s">
        <v>381</v>
      </c>
      <c r="N61" s="4" t="s">
        <v>382</v>
      </c>
      <c r="O61" s="4" t="s">
        <v>383</v>
      </c>
      <c r="P61" s="4" t="s">
        <v>45</v>
      </c>
      <c r="Q61" s="4">
        <v>3</v>
      </c>
      <c r="R61" s="4">
        <v>6</v>
      </c>
      <c r="S61" s="4">
        <v>0</v>
      </c>
      <c r="T61" s="4">
        <v>0.33333333333333298</v>
      </c>
      <c r="U61" s="4">
        <v>9</v>
      </c>
    </row>
    <row r="62" spans="1:21" ht="14.25" customHeight="1" x14ac:dyDescent="0.45">
      <c r="A62" s="4" t="s">
        <v>402</v>
      </c>
      <c r="B62" s="4" t="s">
        <v>2149</v>
      </c>
      <c r="C62" s="4" t="s">
        <v>2143</v>
      </c>
      <c r="D62" s="4" t="s">
        <v>1939</v>
      </c>
      <c r="E62" s="84">
        <v>46212</v>
      </c>
      <c r="F62" s="4">
        <v>12</v>
      </c>
      <c r="G62" s="4" t="s">
        <v>322</v>
      </c>
      <c r="H62" s="4" t="s">
        <v>358</v>
      </c>
      <c r="I62" s="4" t="s">
        <v>13</v>
      </c>
      <c r="J62" s="4" t="s">
        <v>406</v>
      </c>
      <c r="K62" s="84">
        <v>46212</v>
      </c>
      <c r="L62" s="4" t="s">
        <v>322</v>
      </c>
      <c r="M62" s="4" t="s">
        <v>381</v>
      </c>
      <c r="N62" s="4" t="s">
        <v>382</v>
      </c>
      <c r="O62" s="4" t="s">
        <v>383</v>
      </c>
      <c r="P62" s="4" t="s">
        <v>45</v>
      </c>
      <c r="Q62" s="4">
        <v>3</v>
      </c>
      <c r="R62" s="4">
        <v>6</v>
      </c>
      <c r="S62" s="4">
        <v>0</v>
      </c>
      <c r="T62" s="4">
        <v>0.33333333333333298</v>
      </c>
      <c r="U62" s="4">
        <v>9</v>
      </c>
    </row>
    <row r="63" spans="1:21" ht="14.25" customHeight="1" x14ac:dyDescent="0.45">
      <c r="A63" s="4" t="s">
        <v>402</v>
      </c>
      <c r="B63" s="4" t="s">
        <v>2149</v>
      </c>
      <c r="C63" s="4" t="s">
        <v>2143</v>
      </c>
      <c r="D63" s="4" t="s">
        <v>1939</v>
      </c>
      <c r="E63" s="84">
        <v>46212</v>
      </c>
      <c r="F63" s="4">
        <v>12</v>
      </c>
      <c r="G63" s="4" t="s">
        <v>322</v>
      </c>
      <c r="H63" s="4" t="s">
        <v>360</v>
      </c>
      <c r="I63" s="4" t="s">
        <v>12</v>
      </c>
      <c r="K63" s="84">
        <v>46212</v>
      </c>
      <c r="L63" s="4" t="s">
        <v>322</v>
      </c>
      <c r="M63" s="4" t="s">
        <v>381</v>
      </c>
      <c r="N63" s="4" t="s">
        <v>382</v>
      </c>
      <c r="O63" s="4" t="s">
        <v>383</v>
      </c>
      <c r="P63" s="4" t="s">
        <v>45</v>
      </c>
      <c r="Q63" s="4">
        <v>3</v>
      </c>
      <c r="R63" s="4">
        <v>6</v>
      </c>
      <c r="S63" s="4">
        <v>0</v>
      </c>
      <c r="T63" s="4">
        <v>0.33333333333333298</v>
      </c>
      <c r="U63" s="4">
        <v>9</v>
      </c>
    </row>
    <row r="64" spans="1:21" ht="14.25" customHeight="1" x14ac:dyDescent="0.45">
      <c r="A64" s="4" t="s">
        <v>402</v>
      </c>
      <c r="B64" s="4" t="s">
        <v>2149</v>
      </c>
      <c r="C64" s="4" t="s">
        <v>2143</v>
      </c>
      <c r="D64" s="4" t="s">
        <v>1939</v>
      </c>
      <c r="E64" s="84">
        <v>46212</v>
      </c>
      <c r="F64" s="4">
        <v>12</v>
      </c>
      <c r="G64" s="4" t="s">
        <v>322</v>
      </c>
      <c r="H64" s="4" t="s">
        <v>361</v>
      </c>
      <c r="I64" s="4" t="s">
        <v>13</v>
      </c>
      <c r="J64" s="4" t="s">
        <v>407</v>
      </c>
      <c r="K64" s="84">
        <v>46212</v>
      </c>
      <c r="L64" s="4" t="s">
        <v>322</v>
      </c>
      <c r="M64" s="4" t="s">
        <v>381</v>
      </c>
      <c r="N64" s="4" t="s">
        <v>382</v>
      </c>
      <c r="O64" s="4" t="s">
        <v>383</v>
      </c>
      <c r="P64" s="4" t="s">
        <v>45</v>
      </c>
      <c r="Q64" s="4">
        <v>3</v>
      </c>
      <c r="R64" s="4">
        <v>6</v>
      </c>
      <c r="S64" s="4">
        <v>0</v>
      </c>
      <c r="T64" s="4">
        <v>0.33333333333333298</v>
      </c>
      <c r="U64" s="4">
        <v>9</v>
      </c>
    </row>
    <row r="65" spans="1:21" ht="14.25" customHeight="1" x14ac:dyDescent="0.45">
      <c r="A65" s="4" t="s">
        <v>402</v>
      </c>
      <c r="B65" s="4" t="s">
        <v>2149</v>
      </c>
      <c r="C65" s="4" t="s">
        <v>2143</v>
      </c>
      <c r="D65" s="4" t="s">
        <v>1939</v>
      </c>
      <c r="E65" s="84">
        <v>46212</v>
      </c>
      <c r="F65" s="4">
        <v>12</v>
      </c>
      <c r="G65" s="4" t="s">
        <v>322</v>
      </c>
      <c r="H65" s="4" t="s">
        <v>362</v>
      </c>
      <c r="I65" s="4" t="s">
        <v>12</v>
      </c>
      <c r="K65" s="84">
        <v>46212</v>
      </c>
      <c r="L65" s="4" t="s">
        <v>322</v>
      </c>
      <c r="M65" s="4" t="s">
        <v>381</v>
      </c>
      <c r="N65" s="4" t="s">
        <v>382</v>
      </c>
      <c r="O65" s="4" t="s">
        <v>383</v>
      </c>
      <c r="P65" s="4" t="s">
        <v>45</v>
      </c>
      <c r="Q65" s="4">
        <v>3</v>
      </c>
      <c r="R65" s="4">
        <v>6</v>
      </c>
      <c r="S65" s="4">
        <v>0</v>
      </c>
      <c r="T65" s="4">
        <v>0.33333333333333298</v>
      </c>
      <c r="U65" s="4">
        <v>9</v>
      </c>
    </row>
    <row r="66" spans="1:21" ht="14.25" customHeight="1" x14ac:dyDescent="0.45">
      <c r="A66" s="4" t="s">
        <v>402</v>
      </c>
      <c r="B66" s="4" t="s">
        <v>2149</v>
      </c>
      <c r="C66" s="4" t="s">
        <v>2143</v>
      </c>
      <c r="D66" s="4" t="s">
        <v>1939</v>
      </c>
      <c r="E66" s="84">
        <v>46212</v>
      </c>
      <c r="F66" s="4">
        <v>12</v>
      </c>
      <c r="G66" s="4" t="s">
        <v>322</v>
      </c>
      <c r="H66" s="4" t="s">
        <v>363</v>
      </c>
      <c r="I66" s="4" t="s">
        <v>12</v>
      </c>
      <c r="K66" s="84">
        <v>46212</v>
      </c>
      <c r="L66" s="4" t="s">
        <v>322</v>
      </c>
      <c r="M66" s="4" t="s">
        <v>381</v>
      </c>
      <c r="N66" s="4" t="s">
        <v>382</v>
      </c>
      <c r="O66" s="4" t="s">
        <v>383</v>
      </c>
      <c r="P66" s="4" t="s">
        <v>45</v>
      </c>
      <c r="Q66" s="4">
        <v>3</v>
      </c>
      <c r="R66" s="4">
        <v>6</v>
      </c>
      <c r="S66" s="4">
        <v>0</v>
      </c>
      <c r="T66" s="4">
        <v>0.33333333333333298</v>
      </c>
      <c r="U66" s="4">
        <v>9</v>
      </c>
    </row>
    <row r="67" spans="1:21" ht="14.25" customHeight="1" x14ac:dyDescent="0.45">
      <c r="A67" s="4" t="s">
        <v>402</v>
      </c>
      <c r="B67" s="4" t="s">
        <v>2149</v>
      </c>
      <c r="C67" s="4" t="s">
        <v>2143</v>
      </c>
      <c r="D67" s="4" t="s">
        <v>1939</v>
      </c>
      <c r="E67" s="84">
        <v>46212</v>
      </c>
      <c r="F67" s="4">
        <v>12</v>
      </c>
      <c r="G67" s="4" t="s">
        <v>322</v>
      </c>
      <c r="H67" s="4" t="s">
        <v>364</v>
      </c>
      <c r="I67" s="4" t="s">
        <v>13</v>
      </c>
      <c r="J67" s="4" t="s">
        <v>408</v>
      </c>
      <c r="K67" s="84">
        <v>46212</v>
      </c>
      <c r="L67" s="4" t="s">
        <v>322</v>
      </c>
      <c r="M67" s="4" t="s">
        <v>381</v>
      </c>
      <c r="N67" s="4" t="s">
        <v>382</v>
      </c>
      <c r="O67" s="4" t="s">
        <v>383</v>
      </c>
      <c r="P67" s="4" t="s">
        <v>45</v>
      </c>
      <c r="Q67" s="4">
        <v>3</v>
      </c>
      <c r="R67" s="4">
        <v>6</v>
      </c>
      <c r="S67" s="4">
        <v>0</v>
      </c>
      <c r="T67" s="4">
        <v>0.33333333333333298</v>
      </c>
      <c r="U67" s="4">
        <v>9</v>
      </c>
    </row>
    <row r="68" spans="1:21" ht="14.25" customHeight="1" x14ac:dyDescent="0.45">
      <c r="A68" s="4" t="s">
        <v>409</v>
      </c>
      <c r="B68" s="4" t="s">
        <v>2150</v>
      </c>
      <c r="C68" s="4" t="s">
        <v>410</v>
      </c>
      <c r="D68" s="4" t="s">
        <v>154</v>
      </c>
      <c r="E68" s="84">
        <v>46209</v>
      </c>
      <c r="F68" s="4">
        <v>12</v>
      </c>
      <c r="G68" s="4" t="s">
        <v>322</v>
      </c>
      <c r="H68" s="4" t="s">
        <v>412</v>
      </c>
      <c r="I68" s="4" t="s">
        <v>12</v>
      </c>
      <c r="K68" s="84">
        <v>46209</v>
      </c>
      <c r="L68" s="4" t="s">
        <v>322</v>
      </c>
      <c r="M68" s="4" t="s">
        <v>351</v>
      </c>
      <c r="N68" s="4" t="s">
        <v>352</v>
      </c>
      <c r="O68" s="4" t="s">
        <v>413</v>
      </c>
      <c r="P68" s="4" t="s">
        <v>45</v>
      </c>
      <c r="Q68" s="4">
        <v>1</v>
      </c>
      <c r="R68" s="4">
        <v>2</v>
      </c>
      <c r="S68" s="4">
        <v>1</v>
      </c>
      <c r="T68" s="4">
        <v>0.33333333333333298</v>
      </c>
      <c r="U68" s="4">
        <v>4</v>
      </c>
    </row>
    <row r="69" spans="1:21" ht="14.25" customHeight="1" x14ac:dyDescent="0.45">
      <c r="A69" s="4" t="s">
        <v>409</v>
      </c>
      <c r="B69" s="4" t="s">
        <v>2150</v>
      </c>
      <c r="C69" s="4" t="s">
        <v>410</v>
      </c>
      <c r="D69" s="4" t="s">
        <v>154</v>
      </c>
      <c r="E69" s="84">
        <v>46209</v>
      </c>
      <c r="F69" s="4">
        <v>12</v>
      </c>
      <c r="G69" s="4" t="s">
        <v>322</v>
      </c>
      <c r="H69" s="4" t="s">
        <v>415</v>
      </c>
      <c r="I69" s="4" t="s">
        <v>13</v>
      </c>
      <c r="J69" s="4" t="s">
        <v>416</v>
      </c>
      <c r="K69" s="84">
        <v>46209</v>
      </c>
      <c r="L69" s="4" t="s">
        <v>322</v>
      </c>
      <c r="M69" s="4" t="s">
        <v>351</v>
      </c>
      <c r="N69" s="4" t="s">
        <v>352</v>
      </c>
      <c r="O69" s="4" t="s">
        <v>413</v>
      </c>
      <c r="P69" s="4" t="s">
        <v>45</v>
      </c>
      <c r="Q69" s="4">
        <v>1</v>
      </c>
      <c r="R69" s="4">
        <v>2</v>
      </c>
      <c r="S69" s="4">
        <v>1</v>
      </c>
      <c r="T69" s="4">
        <v>0.33333333333333298</v>
      </c>
      <c r="U69" s="4">
        <v>4</v>
      </c>
    </row>
    <row r="70" spans="1:21" ht="14.25" customHeight="1" x14ac:dyDescent="0.45">
      <c r="A70" s="4" t="s">
        <v>409</v>
      </c>
      <c r="B70" s="4" t="s">
        <v>2150</v>
      </c>
      <c r="C70" s="4" t="s">
        <v>410</v>
      </c>
      <c r="D70" s="4" t="s">
        <v>154</v>
      </c>
      <c r="E70" s="84">
        <v>46209</v>
      </c>
      <c r="F70" s="4">
        <v>12</v>
      </c>
      <c r="G70" s="4" t="s">
        <v>322</v>
      </c>
      <c r="H70" s="4" t="s">
        <v>418</v>
      </c>
      <c r="I70" s="4" t="s">
        <v>13</v>
      </c>
      <c r="J70" s="4" t="s">
        <v>419</v>
      </c>
      <c r="K70" s="84">
        <v>46209</v>
      </c>
      <c r="L70" s="4" t="s">
        <v>322</v>
      </c>
      <c r="M70" s="4" t="s">
        <v>351</v>
      </c>
      <c r="N70" s="4" t="s">
        <v>352</v>
      </c>
      <c r="O70" s="4" t="s">
        <v>413</v>
      </c>
      <c r="P70" s="4" t="s">
        <v>45</v>
      </c>
      <c r="Q70" s="4">
        <v>1</v>
      </c>
      <c r="R70" s="4">
        <v>2</v>
      </c>
      <c r="S70" s="4">
        <v>1</v>
      </c>
      <c r="T70" s="4">
        <v>0.33333333333333298</v>
      </c>
      <c r="U70" s="4">
        <v>4</v>
      </c>
    </row>
    <row r="71" spans="1:21" ht="14.25" customHeight="1" x14ac:dyDescent="0.45">
      <c r="A71" s="4" t="s">
        <v>409</v>
      </c>
      <c r="B71" s="4" t="s">
        <v>2150</v>
      </c>
      <c r="C71" s="4" t="s">
        <v>410</v>
      </c>
      <c r="D71" s="4" t="s">
        <v>154</v>
      </c>
      <c r="E71" s="84">
        <v>46209</v>
      </c>
      <c r="F71" s="4">
        <v>12</v>
      </c>
      <c r="G71" s="4" t="s">
        <v>322</v>
      </c>
      <c r="H71" s="4" t="s">
        <v>421</v>
      </c>
      <c r="I71" s="4" t="s">
        <v>14</v>
      </c>
      <c r="K71" s="84">
        <v>46209</v>
      </c>
      <c r="L71" s="4" t="s">
        <v>322</v>
      </c>
      <c r="M71" s="4" t="s">
        <v>351</v>
      </c>
      <c r="N71" s="4" t="s">
        <v>352</v>
      </c>
      <c r="O71" s="4" t="s">
        <v>413</v>
      </c>
      <c r="P71" s="4" t="s">
        <v>45</v>
      </c>
      <c r="Q71" s="4">
        <v>1</v>
      </c>
      <c r="R71" s="4">
        <v>2</v>
      </c>
      <c r="S71" s="4">
        <v>1</v>
      </c>
      <c r="T71" s="4">
        <v>0.33333333333333298</v>
      </c>
      <c r="U71" s="4">
        <v>4</v>
      </c>
    </row>
    <row r="72" spans="1:21" ht="14.25" customHeight="1" x14ac:dyDescent="0.45">
      <c r="A72" s="4" t="s">
        <v>422</v>
      </c>
      <c r="B72" s="4" t="s">
        <v>2151</v>
      </c>
      <c r="C72" s="4" t="s">
        <v>423</v>
      </c>
      <c r="D72" s="4" t="s">
        <v>426</v>
      </c>
      <c r="F72" s="4">
        <v>12</v>
      </c>
      <c r="G72" s="4" t="s">
        <v>427</v>
      </c>
      <c r="H72" s="4" t="s">
        <v>425</v>
      </c>
      <c r="I72" s="4" t="s">
        <v>12</v>
      </c>
      <c r="L72" s="4" t="s">
        <v>427</v>
      </c>
      <c r="M72" s="4" t="s">
        <v>428</v>
      </c>
      <c r="N72" s="4" t="s">
        <v>429</v>
      </c>
      <c r="P72" s="4" t="s">
        <v>45</v>
      </c>
      <c r="Q72" s="4">
        <v>4</v>
      </c>
      <c r="R72" s="4">
        <v>0</v>
      </c>
      <c r="S72" s="4">
        <v>0</v>
      </c>
      <c r="T72" s="4">
        <v>1</v>
      </c>
      <c r="U72" s="4">
        <v>4</v>
      </c>
    </row>
    <row r="73" spans="1:21" ht="14.25" customHeight="1" x14ac:dyDescent="0.45">
      <c r="A73" s="4" t="s">
        <v>422</v>
      </c>
      <c r="B73" s="4" t="s">
        <v>2151</v>
      </c>
      <c r="C73" s="4" t="s">
        <v>423</v>
      </c>
      <c r="D73" s="4" t="s">
        <v>426</v>
      </c>
      <c r="F73" s="4">
        <v>12</v>
      </c>
      <c r="G73" s="4" t="s">
        <v>427</v>
      </c>
      <c r="H73" s="4" t="s">
        <v>432</v>
      </c>
      <c r="I73" s="4" t="s">
        <v>12</v>
      </c>
      <c r="L73" s="4" t="s">
        <v>427</v>
      </c>
      <c r="M73" s="4" t="s">
        <v>428</v>
      </c>
      <c r="N73" s="4" t="s">
        <v>429</v>
      </c>
      <c r="P73" s="4" t="s">
        <v>45</v>
      </c>
      <c r="Q73" s="4">
        <v>4</v>
      </c>
      <c r="R73" s="4">
        <v>0</v>
      </c>
      <c r="S73" s="4">
        <v>0</v>
      </c>
      <c r="T73" s="4">
        <v>1</v>
      </c>
      <c r="U73" s="4">
        <v>4</v>
      </c>
    </row>
    <row r="74" spans="1:21" ht="14.25" customHeight="1" x14ac:dyDescent="0.45">
      <c r="A74" s="4" t="s">
        <v>422</v>
      </c>
      <c r="B74" s="4" t="s">
        <v>2151</v>
      </c>
      <c r="C74" s="4" t="s">
        <v>423</v>
      </c>
      <c r="D74" s="4" t="s">
        <v>426</v>
      </c>
      <c r="F74" s="4">
        <v>12</v>
      </c>
      <c r="G74" s="4" t="s">
        <v>427</v>
      </c>
      <c r="H74" s="4" t="s">
        <v>434</v>
      </c>
      <c r="I74" s="4" t="s">
        <v>12</v>
      </c>
      <c r="L74" s="4" t="s">
        <v>427</v>
      </c>
      <c r="M74" s="4" t="s">
        <v>428</v>
      </c>
      <c r="N74" s="4" t="s">
        <v>429</v>
      </c>
      <c r="P74" s="4" t="s">
        <v>45</v>
      </c>
      <c r="Q74" s="4">
        <v>4</v>
      </c>
      <c r="R74" s="4">
        <v>0</v>
      </c>
      <c r="S74" s="4">
        <v>0</v>
      </c>
      <c r="T74" s="4">
        <v>1</v>
      </c>
      <c r="U74" s="4">
        <v>4</v>
      </c>
    </row>
    <row r="75" spans="1:21" ht="14.25" customHeight="1" x14ac:dyDescent="0.45">
      <c r="A75" s="4" t="s">
        <v>422</v>
      </c>
      <c r="B75" s="4" t="s">
        <v>2151</v>
      </c>
      <c r="C75" s="4" t="s">
        <v>423</v>
      </c>
      <c r="D75" s="4" t="s">
        <v>426</v>
      </c>
      <c r="F75" s="4">
        <v>12</v>
      </c>
      <c r="G75" s="4" t="s">
        <v>427</v>
      </c>
      <c r="H75" s="4" t="s">
        <v>436</v>
      </c>
      <c r="I75" s="4" t="s">
        <v>12</v>
      </c>
      <c r="L75" s="4" t="s">
        <v>427</v>
      </c>
      <c r="M75" s="4" t="s">
        <v>428</v>
      </c>
      <c r="N75" s="4" t="s">
        <v>429</v>
      </c>
      <c r="P75" s="4" t="s">
        <v>45</v>
      </c>
      <c r="Q75" s="4">
        <v>4</v>
      </c>
      <c r="R75" s="4">
        <v>0</v>
      </c>
      <c r="S75" s="4">
        <v>0</v>
      </c>
      <c r="T75" s="4">
        <v>1</v>
      </c>
      <c r="U75" s="4">
        <v>4</v>
      </c>
    </row>
    <row r="76" spans="1:21" ht="14.25" customHeight="1" x14ac:dyDescent="0.45">
      <c r="A76" s="4" t="s">
        <v>437</v>
      </c>
      <c r="B76" s="4" t="s">
        <v>2152</v>
      </c>
      <c r="C76" s="4" t="s">
        <v>292</v>
      </c>
      <c r="D76" s="4" t="s">
        <v>1008</v>
      </c>
      <c r="F76" s="4">
        <v>12</v>
      </c>
      <c r="G76" s="4" t="s">
        <v>427</v>
      </c>
      <c r="H76" s="4" t="s">
        <v>294</v>
      </c>
      <c r="I76" s="4" t="s">
        <v>12</v>
      </c>
      <c r="L76" s="4" t="s">
        <v>427</v>
      </c>
      <c r="M76" s="4" t="s">
        <v>438</v>
      </c>
      <c r="N76" s="4" t="s">
        <v>439</v>
      </c>
      <c r="O76" s="4" t="s">
        <v>440</v>
      </c>
      <c r="Q76" s="4">
        <v>3</v>
      </c>
      <c r="R76" s="4">
        <v>1</v>
      </c>
      <c r="S76" s="4">
        <v>3</v>
      </c>
      <c r="T76" s="4">
        <v>0.75</v>
      </c>
      <c r="U76" s="4">
        <v>7</v>
      </c>
    </row>
    <row r="77" spans="1:21" ht="14.25" customHeight="1" x14ac:dyDescent="0.45">
      <c r="A77" s="4" t="s">
        <v>437</v>
      </c>
      <c r="B77" s="4" t="s">
        <v>2152</v>
      </c>
      <c r="C77" s="4" t="s">
        <v>292</v>
      </c>
      <c r="D77" s="4" t="s">
        <v>1008</v>
      </c>
      <c r="F77" s="4">
        <v>12</v>
      </c>
      <c r="G77" s="4" t="s">
        <v>427</v>
      </c>
      <c r="H77" s="4" t="s">
        <v>301</v>
      </c>
      <c r="I77" s="4" t="s">
        <v>12</v>
      </c>
      <c r="L77" s="4" t="s">
        <v>427</v>
      </c>
      <c r="M77" s="4" t="s">
        <v>438</v>
      </c>
      <c r="N77" s="4" t="s">
        <v>439</v>
      </c>
      <c r="O77" s="4" t="s">
        <v>440</v>
      </c>
      <c r="Q77" s="4">
        <v>3</v>
      </c>
      <c r="R77" s="4">
        <v>1</v>
      </c>
      <c r="S77" s="4">
        <v>3</v>
      </c>
      <c r="T77" s="4">
        <v>0.75</v>
      </c>
      <c r="U77" s="4">
        <v>7</v>
      </c>
    </row>
    <row r="78" spans="1:21" ht="14.25" customHeight="1" x14ac:dyDescent="0.45">
      <c r="A78" s="4" t="s">
        <v>437</v>
      </c>
      <c r="B78" s="4" t="s">
        <v>2152</v>
      </c>
      <c r="C78" s="4" t="s">
        <v>292</v>
      </c>
      <c r="D78" s="4" t="s">
        <v>1008</v>
      </c>
      <c r="F78" s="4">
        <v>12</v>
      </c>
      <c r="G78" s="4" t="s">
        <v>427</v>
      </c>
      <c r="H78" s="4" t="s">
        <v>305</v>
      </c>
      <c r="I78" s="4" t="s">
        <v>12</v>
      </c>
      <c r="L78" s="4" t="s">
        <v>427</v>
      </c>
      <c r="M78" s="4" t="s">
        <v>438</v>
      </c>
      <c r="N78" s="4" t="s">
        <v>439</v>
      </c>
      <c r="O78" s="4" t="s">
        <v>440</v>
      </c>
      <c r="Q78" s="4">
        <v>3</v>
      </c>
      <c r="R78" s="4">
        <v>1</v>
      </c>
      <c r="S78" s="4">
        <v>3</v>
      </c>
      <c r="T78" s="4">
        <v>0.75</v>
      </c>
      <c r="U78" s="4">
        <v>7</v>
      </c>
    </row>
    <row r="79" spans="1:21" ht="14.25" customHeight="1" x14ac:dyDescent="0.45">
      <c r="A79" s="4" t="s">
        <v>437</v>
      </c>
      <c r="B79" s="4" t="s">
        <v>2152</v>
      </c>
      <c r="C79" s="4" t="s">
        <v>292</v>
      </c>
      <c r="D79" s="4" t="s">
        <v>1008</v>
      </c>
      <c r="F79" s="4">
        <v>12</v>
      </c>
      <c r="G79" s="4" t="s">
        <v>427</v>
      </c>
      <c r="H79" s="4" t="s">
        <v>309</v>
      </c>
      <c r="I79" s="4" t="s">
        <v>14</v>
      </c>
      <c r="J79" s="4" t="s">
        <v>441</v>
      </c>
      <c r="L79" s="4" t="s">
        <v>427</v>
      </c>
      <c r="M79" s="4" t="s">
        <v>438</v>
      </c>
      <c r="N79" s="4" t="s">
        <v>439</v>
      </c>
      <c r="O79" s="4" t="s">
        <v>440</v>
      </c>
      <c r="Q79" s="4">
        <v>3</v>
      </c>
      <c r="R79" s="4">
        <v>1</v>
      </c>
      <c r="S79" s="4">
        <v>3</v>
      </c>
      <c r="T79" s="4">
        <v>0.75</v>
      </c>
      <c r="U79" s="4">
        <v>7</v>
      </c>
    </row>
    <row r="80" spans="1:21" ht="14.25" customHeight="1" x14ac:dyDescent="0.45">
      <c r="A80" s="4" t="s">
        <v>437</v>
      </c>
      <c r="B80" s="4" t="s">
        <v>2152</v>
      </c>
      <c r="C80" s="4" t="s">
        <v>292</v>
      </c>
      <c r="D80" s="4" t="s">
        <v>1008</v>
      </c>
      <c r="F80" s="4">
        <v>12</v>
      </c>
      <c r="G80" s="4" t="s">
        <v>427</v>
      </c>
      <c r="H80" s="4" t="s">
        <v>312</v>
      </c>
      <c r="I80" s="4" t="s">
        <v>14</v>
      </c>
      <c r="L80" s="4" t="s">
        <v>427</v>
      </c>
      <c r="M80" s="4" t="s">
        <v>438</v>
      </c>
      <c r="N80" s="4" t="s">
        <v>439</v>
      </c>
      <c r="O80" s="4" t="s">
        <v>440</v>
      </c>
      <c r="Q80" s="4">
        <v>3</v>
      </c>
      <c r="R80" s="4">
        <v>1</v>
      </c>
      <c r="S80" s="4">
        <v>3</v>
      </c>
      <c r="T80" s="4">
        <v>0.75</v>
      </c>
      <c r="U80" s="4">
        <v>7</v>
      </c>
    </row>
    <row r="81" spans="1:21" ht="14.25" customHeight="1" x14ac:dyDescent="0.45">
      <c r="A81" s="4" t="s">
        <v>437</v>
      </c>
      <c r="B81" s="4" t="s">
        <v>2152</v>
      </c>
      <c r="C81" s="4" t="s">
        <v>292</v>
      </c>
      <c r="D81" s="4" t="s">
        <v>1008</v>
      </c>
      <c r="F81" s="4">
        <v>12</v>
      </c>
      <c r="G81" s="4" t="s">
        <v>427</v>
      </c>
      <c r="H81" s="4" t="s">
        <v>315</v>
      </c>
      <c r="I81" s="4" t="s">
        <v>13</v>
      </c>
      <c r="J81" s="4" t="s">
        <v>442</v>
      </c>
      <c r="L81" s="4" t="s">
        <v>427</v>
      </c>
      <c r="M81" s="4" t="s">
        <v>438</v>
      </c>
      <c r="N81" s="4" t="s">
        <v>439</v>
      </c>
      <c r="O81" s="4" t="s">
        <v>440</v>
      </c>
      <c r="Q81" s="4">
        <v>3</v>
      </c>
      <c r="R81" s="4">
        <v>1</v>
      </c>
      <c r="S81" s="4">
        <v>3</v>
      </c>
      <c r="T81" s="4">
        <v>0.75</v>
      </c>
      <c r="U81" s="4">
        <v>7</v>
      </c>
    </row>
    <row r="82" spans="1:21" ht="14.25" customHeight="1" x14ac:dyDescent="0.45">
      <c r="A82" s="4" t="s">
        <v>437</v>
      </c>
      <c r="B82" s="4" t="s">
        <v>2152</v>
      </c>
      <c r="C82" s="4" t="s">
        <v>292</v>
      </c>
      <c r="D82" s="4" t="s">
        <v>1008</v>
      </c>
      <c r="F82" s="4">
        <v>12</v>
      </c>
      <c r="G82" s="4" t="s">
        <v>427</v>
      </c>
      <c r="H82" s="4" t="s">
        <v>319</v>
      </c>
      <c r="I82" s="4" t="s">
        <v>14</v>
      </c>
      <c r="L82" s="4" t="s">
        <v>427</v>
      </c>
      <c r="M82" s="4" t="s">
        <v>438</v>
      </c>
      <c r="N82" s="4" t="s">
        <v>439</v>
      </c>
      <c r="O82" s="4" t="s">
        <v>440</v>
      </c>
      <c r="Q82" s="4">
        <v>3</v>
      </c>
      <c r="R82" s="4">
        <v>1</v>
      </c>
      <c r="S82" s="4">
        <v>3</v>
      </c>
      <c r="T82" s="4">
        <v>0.75</v>
      </c>
      <c r="U82" s="4">
        <v>7</v>
      </c>
    </row>
    <row r="83" spans="1:21" ht="14.25" customHeight="1" x14ac:dyDescent="0.45">
      <c r="A83" s="4" t="s">
        <v>443</v>
      </c>
      <c r="B83" s="4" t="s">
        <v>2153</v>
      </c>
      <c r="C83" s="4" t="s">
        <v>92</v>
      </c>
      <c r="D83" s="4" t="s">
        <v>2148</v>
      </c>
      <c r="E83" s="84">
        <v>46212</v>
      </c>
      <c r="F83" s="4">
        <v>12</v>
      </c>
      <c r="G83" s="4" t="s">
        <v>322</v>
      </c>
      <c r="H83" s="4" t="s">
        <v>395</v>
      </c>
      <c r="I83" s="4" t="s">
        <v>13</v>
      </c>
      <c r="J83" s="4" t="s">
        <v>444</v>
      </c>
      <c r="K83" s="84">
        <v>46212</v>
      </c>
      <c r="L83" s="4" t="s">
        <v>322</v>
      </c>
      <c r="M83" s="4" t="s">
        <v>445</v>
      </c>
      <c r="N83" s="4" t="s">
        <v>446</v>
      </c>
      <c r="O83" s="4" t="s">
        <v>447</v>
      </c>
      <c r="P83" s="4" t="s">
        <v>45</v>
      </c>
      <c r="Q83" s="4">
        <v>5</v>
      </c>
      <c r="R83" s="4">
        <v>3</v>
      </c>
      <c r="S83" s="4">
        <v>1</v>
      </c>
      <c r="T83" s="4">
        <v>0.625</v>
      </c>
      <c r="U83" s="4">
        <v>9</v>
      </c>
    </row>
    <row r="84" spans="1:21" ht="14.25" customHeight="1" x14ac:dyDescent="0.45">
      <c r="A84" s="4" t="s">
        <v>443</v>
      </c>
      <c r="B84" s="4" t="s">
        <v>2153</v>
      </c>
      <c r="C84" s="4" t="s">
        <v>92</v>
      </c>
      <c r="D84" s="4" t="s">
        <v>2148</v>
      </c>
      <c r="E84" s="84">
        <v>46212</v>
      </c>
      <c r="F84" s="4">
        <v>12</v>
      </c>
      <c r="G84" s="4" t="s">
        <v>322</v>
      </c>
      <c r="H84" s="4" t="s">
        <v>396</v>
      </c>
      <c r="I84" s="4" t="s">
        <v>12</v>
      </c>
      <c r="K84" s="84">
        <v>46212</v>
      </c>
      <c r="L84" s="4" t="s">
        <v>322</v>
      </c>
      <c r="M84" s="4" t="s">
        <v>445</v>
      </c>
      <c r="N84" s="4" t="s">
        <v>446</v>
      </c>
      <c r="O84" s="4" t="s">
        <v>447</v>
      </c>
      <c r="P84" s="4" t="s">
        <v>45</v>
      </c>
      <c r="Q84" s="4">
        <v>5</v>
      </c>
      <c r="R84" s="4">
        <v>3</v>
      </c>
      <c r="S84" s="4">
        <v>1</v>
      </c>
      <c r="T84" s="4">
        <v>0.625</v>
      </c>
      <c r="U84" s="4">
        <v>9</v>
      </c>
    </row>
    <row r="85" spans="1:21" ht="14.25" customHeight="1" x14ac:dyDescent="0.45">
      <c r="A85" s="4" t="s">
        <v>443</v>
      </c>
      <c r="B85" s="4" t="s">
        <v>2153</v>
      </c>
      <c r="C85" s="4" t="s">
        <v>92</v>
      </c>
      <c r="D85" s="4" t="s">
        <v>2148</v>
      </c>
      <c r="E85" s="84">
        <v>46212</v>
      </c>
      <c r="F85" s="4">
        <v>12</v>
      </c>
      <c r="G85" s="4" t="s">
        <v>322</v>
      </c>
      <c r="H85" s="4" t="s">
        <v>397</v>
      </c>
      <c r="I85" s="4" t="s">
        <v>13</v>
      </c>
      <c r="J85" s="4" t="s">
        <v>448</v>
      </c>
      <c r="K85" s="84">
        <v>46212</v>
      </c>
      <c r="L85" s="4" t="s">
        <v>322</v>
      </c>
      <c r="M85" s="4" t="s">
        <v>445</v>
      </c>
      <c r="N85" s="4" t="s">
        <v>446</v>
      </c>
      <c r="O85" s="4" t="s">
        <v>447</v>
      </c>
      <c r="P85" s="4" t="s">
        <v>45</v>
      </c>
      <c r="Q85" s="4">
        <v>5</v>
      </c>
      <c r="R85" s="4">
        <v>3</v>
      </c>
      <c r="S85" s="4">
        <v>1</v>
      </c>
      <c r="T85" s="4">
        <v>0.625</v>
      </c>
      <c r="U85" s="4">
        <v>9</v>
      </c>
    </row>
    <row r="86" spans="1:21" ht="14.25" customHeight="1" x14ac:dyDescent="0.45">
      <c r="A86" s="4" t="s">
        <v>443</v>
      </c>
      <c r="B86" s="4" t="s">
        <v>2153</v>
      </c>
      <c r="C86" s="4" t="s">
        <v>92</v>
      </c>
      <c r="D86" s="4" t="s">
        <v>2148</v>
      </c>
      <c r="E86" s="84">
        <v>46212</v>
      </c>
      <c r="F86" s="4">
        <v>12</v>
      </c>
      <c r="G86" s="4" t="s">
        <v>322</v>
      </c>
      <c r="H86" s="4" t="s">
        <v>399</v>
      </c>
      <c r="I86" s="4" t="s">
        <v>12</v>
      </c>
      <c r="K86" s="84">
        <v>46212</v>
      </c>
      <c r="L86" s="4" t="s">
        <v>322</v>
      </c>
      <c r="M86" s="4" t="s">
        <v>445</v>
      </c>
      <c r="N86" s="4" t="s">
        <v>446</v>
      </c>
      <c r="O86" s="4" t="s">
        <v>447</v>
      </c>
      <c r="P86" s="4" t="s">
        <v>45</v>
      </c>
      <c r="Q86" s="4">
        <v>5</v>
      </c>
      <c r="R86" s="4">
        <v>3</v>
      </c>
      <c r="S86" s="4">
        <v>1</v>
      </c>
      <c r="T86" s="4">
        <v>0.625</v>
      </c>
      <c r="U86" s="4">
        <v>9</v>
      </c>
    </row>
    <row r="87" spans="1:21" ht="14.25" customHeight="1" x14ac:dyDescent="0.45">
      <c r="A87" s="4" t="s">
        <v>443</v>
      </c>
      <c r="B87" s="4" t="s">
        <v>2153</v>
      </c>
      <c r="C87" s="4" t="s">
        <v>92</v>
      </c>
      <c r="D87" s="4" t="s">
        <v>2148</v>
      </c>
      <c r="E87" s="84">
        <v>46212</v>
      </c>
      <c r="F87" s="4">
        <v>12</v>
      </c>
      <c r="G87" s="4" t="s">
        <v>322</v>
      </c>
      <c r="H87" s="4" t="s">
        <v>115</v>
      </c>
      <c r="I87" s="4" t="s">
        <v>12</v>
      </c>
      <c r="K87" s="84">
        <v>46212</v>
      </c>
      <c r="L87" s="4" t="s">
        <v>322</v>
      </c>
      <c r="M87" s="4" t="s">
        <v>445</v>
      </c>
      <c r="N87" s="4" t="s">
        <v>446</v>
      </c>
      <c r="O87" s="4" t="s">
        <v>447</v>
      </c>
      <c r="P87" s="4" t="s">
        <v>45</v>
      </c>
      <c r="Q87" s="4">
        <v>5</v>
      </c>
      <c r="R87" s="4">
        <v>3</v>
      </c>
      <c r="S87" s="4">
        <v>1</v>
      </c>
      <c r="T87" s="4">
        <v>0.625</v>
      </c>
      <c r="U87" s="4">
        <v>9</v>
      </c>
    </row>
    <row r="88" spans="1:21" ht="14.25" customHeight="1" x14ac:dyDescent="0.45">
      <c r="A88" s="4" t="s">
        <v>443</v>
      </c>
      <c r="B88" s="4" t="s">
        <v>2153</v>
      </c>
      <c r="C88" s="4" t="s">
        <v>92</v>
      </c>
      <c r="D88" s="4" t="s">
        <v>2148</v>
      </c>
      <c r="E88" s="84">
        <v>46212</v>
      </c>
      <c r="F88" s="4">
        <v>12</v>
      </c>
      <c r="G88" s="4" t="s">
        <v>322</v>
      </c>
      <c r="H88" s="4" t="s">
        <v>119</v>
      </c>
      <c r="I88" s="4" t="s">
        <v>13</v>
      </c>
      <c r="J88" s="4" t="s">
        <v>449</v>
      </c>
      <c r="K88" s="84">
        <v>46212</v>
      </c>
      <c r="L88" s="4" t="s">
        <v>322</v>
      </c>
      <c r="M88" s="4" t="s">
        <v>445</v>
      </c>
      <c r="N88" s="4" t="s">
        <v>446</v>
      </c>
      <c r="O88" s="4" t="s">
        <v>447</v>
      </c>
      <c r="P88" s="4" t="s">
        <v>45</v>
      </c>
      <c r="Q88" s="4">
        <v>5</v>
      </c>
      <c r="R88" s="4">
        <v>3</v>
      </c>
      <c r="S88" s="4">
        <v>1</v>
      </c>
      <c r="T88" s="4">
        <v>0.625</v>
      </c>
      <c r="U88" s="4">
        <v>9</v>
      </c>
    </row>
    <row r="89" spans="1:21" ht="14.25" customHeight="1" x14ac:dyDescent="0.45">
      <c r="A89" s="4" t="s">
        <v>443</v>
      </c>
      <c r="B89" s="4" t="s">
        <v>2153</v>
      </c>
      <c r="C89" s="4" t="s">
        <v>92</v>
      </c>
      <c r="D89" s="4" t="s">
        <v>2148</v>
      </c>
      <c r="E89" s="84">
        <v>46212</v>
      </c>
      <c r="F89" s="4">
        <v>12</v>
      </c>
      <c r="G89" s="4" t="s">
        <v>322</v>
      </c>
      <c r="H89" s="4" t="s">
        <v>400</v>
      </c>
      <c r="I89" s="4" t="s">
        <v>12</v>
      </c>
      <c r="K89" s="84">
        <v>46212</v>
      </c>
      <c r="L89" s="4" t="s">
        <v>322</v>
      </c>
      <c r="M89" s="4" t="s">
        <v>445</v>
      </c>
      <c r="N89" s="4" t="s">
        <v>446</v>
      </c>
      <c r="O89" s="4" t="s">
        <v>447</v>
      </c>
      <c r="P89" s="4" t="s">
        <v>45</v>
      </c>
      <c r="Q89" s="4">
        <v>5</v>
      </c>
      <c r="R89" s="4">
        <v>3</v>
      </c>
      <c r="S89" s="4">
        <v>1</v>
      </c>
      <c r="T89" s="4">
        <v>0.625</v>
      </c>
      <c r="U89" s="4">
        <v>9</v>
      </c>
    </row>
    <row r="90" spans="1:21" ht="14.25" customHeight="1" x14ac:dyDescent="0.45">
      <c r="A90" s="4" t="s">
        <v>443</v>
      </c>
      <c r="B90" s="4" t="s">
        <v>2153</v>
      </c>
      <c r="C90" s="4" t="s">
        <v>92</v>
      </c>
      <c r="D90" s="4" t="s">
        <v>2148</v>
      </c>
      <c r="E90" s="84">
        <v>46212</v>
      </c>
      <c r="F90" s="4">
        <v>12</v>
      </c>
      <c r="G90" s="4" t="s">
        <v>322</v>
      </c>
      <c r="H90" s="4" t="s">
        <v>401</v>
      </c>
      <c r="I90" s="4" t="s">
        <v>14</v>
      </c>
      <c r="K90" s="84">
        <v>46212</v>
      </c>
      <c r="L90" s="4" t="s">
        <v>322</v>
      </c>
      <c r="M90" s="4" t="s">
        <v>445</v>
      </c>
      <c r="N90" s="4" t="s">
        <v>446</v>
      </c>
      <c r="O90" s="4" t="s">
        <v>447</v>
      </c>
      <c r="P90" s="4" t="s">
        <v>45</v>
      </c>
      <c r="Q90" s="4">
        <v>5</v>
      </c>
      <c r="R90" s="4">
        <v>3</v>
      </c>
      <c r="S90" s="4">
        <v>1</v>
      </c>
      <c r="T90" s="4">
        <v>0.625</v>
      </c>
      <c r="U90" s="4">
        <v>9</v>
      </c>
    </row>
    <row r="91" spans="1:21" ht="14.25" customHeight="1" x14ac:dyDescent="0.45">
      <c r="A91" s="4" t="s">
        <v>443</v>
      </c>
      <c r="B91" s="4" t="s">
        <v>2153</v>
      </c>
      <c r="C91" s="4" t="s">
        <v>92</v>
      </c>
      <c r="D91" s="4" t="s">
        <v>2148</v>
      </c>
      <c r="E91" s="84">
        <v>46212</v>
      </c>
      <c r="F91" s="4">
        <v>12</v>
      </c>
      <c r="G91" s="4" t="s">
        <v>322</v>
      </c>
      <c r="H91" s="4" t="s">
        <v>305</v>
      </c>
      <c r="I91" s="4" t="s">
        <v>12</v>
      </c>
      <c r="K91" s="84">
        <v>46212</v>
      </c>
      <c r="L91" s="4" t="s">
        <v>322</v>
      </c>
      <c r="M91" s="4" t="s">
        <v>445</v>
      </c>
      <c r="N91" s="4" t="s">
        <v>446</v>
      </c>
      <c r="O91" s="4" t="s">
        <v>447</v>
      </c>
      <c r="P91" s="4" t="s">
        <v>45</v>
      </c>
      <c r="Q91" s="4">
        <v>5</v>
      </c>
      <c r="R91" s="4">
        <v>3</v>
      </c>
      <c r="S91" s="4">
        <v>1</v>
      </c>
      <c r="T91" s="4">
        <v>0.625</v>
      </c>
      <c r="U91" s="4">
        <v>9</v>
      </c>
    </row>
  </sheetData>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1"/>
  <sheetViews>
    <sheetView zoomScaleNormal="100" workbookViewId="0"/>
  </sheetViews>
  <sheetFormatPr defaultColWidth="8.6640625" defaultRowHeight="14.25" customHeight="1" x14ac:dyDescent="0.45"/>
  <sheetData>
    <row r="1" spans="1:4" ht="28.5" customHeight="1" x14ac:dyDescent="0.45">
      <c r="A1" s="54" t="s">
        <v>1951</v>
      </c>
      <c r="B1" s="54" t="s">
        <v>2154</v>
      </c>
      <c r="C1" s="54" t="s">
        <v>2015</v>
      </c>
      <c r="D1" s="54" t="s">
        <v>2013</v>
      </c>
    </row>
    <row r="2" spans="1:4" ht="14.25" customHeight="1" x14ac:dyDescent="0.45">
      <c r="A2" s="4" t="s">
        <v>423</v>
      </c>
      <c r="B2" s="4" t="s">
        <v>426</v>
      </c>
      <c r="C2" s="4">
        <f>COUNTIFS('INPUT-SIF_Questions'!$H$2:$H$300,A2,'INPUT-SIF_Questions'!$J$2:$J$300,"A",'INPUT-SIF_Questions'!$G$2:$G$300,"Y")</f>
        <v>1</v>
      </c>
      <c r="D2" s="4">
        <f>IF(C2=0,"",COUNTIF($C$2:$C$11,"&gt;"&amp;C2)+COUNTIF($C$2:C2,C2))</f>
        <v>6</v>
      </c>
    </row>
    <row r="3" spans="1:4" ht="14.25" customHeight="1" x14ac:dyDescent="0.45">
      <c r="A3" s="4" t="s">
        <v>410</v>
      </c>
      <c r="B3" s="4" t="s">
        <v>154</v>
      </c>
      <c r="C3" s="4">
        <f>COUNTIFS('INPUT-SIF_Questions'!$H$2:$H$300,A3,'INPUT-SIF_Questions'!$J$2:$J$300,"A",'INPUT-SIF_Questions'!$G$2:$G$300,"Y")</f>
        <v>1</v>
      </c>
      <c r="D3" s="4">
        <f>IF(C3=0,"",COUNTIF($C$2:$C$11,"&gt;"&amp;C3)+COUNTIF($C$2:C3,C3))</f>
        <v>7</v>
      </c>
    </row>
    <row r="4" spans="1:4" ht="14.25" customHeight="1" x14ac:dyDescent="0.45">
      <c r="A4" s="4" t="s">
        <v>292</v>
      </c>
      <c r="B4" s="4" t="s">
        <v>1008</v>
      </c>
      <c r="C4" s="4">
        <f>COUNTIFS('INPUT-SIF_Questions'!$H$2:$H$300,A4,'INPUT-SIF_Questions'!$J$2:$J$300,"A",'INPUT-SIF_Questions'!$G$2:$G$300,"Y")</f>
        <v>2</v>
      </c>
      <c r="D4" s="4">
        <f>IF(C4=0,"",COUNTIF($C$2:$C$11,"&gt;"&amp;C4)+COUNTIF($C$2:C4,C4))</f>
        <v>5</v>
      </c>
    </row>
    <row r="5" spans="1:4" ht="14.25" customHeight="1" x14ac:dyDescent="0.45">
      <c r="A5" s="4" t="s">
        <v>207</v>
      </c>
      <c r="B5" s="4" t="s">
        <v>1017</v>
      </c>
      <c r="C5" s="4">
        <f>COUNTIFS('INPUT-SIF_Questions'!$H$2:$H$300,A5,'INPUT-SIF_Questions'!$J$2:$J$300,"A",'INPUT-SIF_Questions'!$G$2:$G$300,"Y")</f>
        <v>4</v>
      </c>
      <c r="D5" s="4">
        <f>IF(C5=0,"",COUNTIF($C$2:$C$11,"&gt;"&amp;C5)+COUNTIF($C$2:C5,C5))</f>
        <v>2</v>
      </c>
    </row>
    <row r="6" spans="1:4" ht="14.25" customHeight="1" x14ac:dyDescent="0.45">
      <c r="A6" s="4" t="s">
        <v>92</v>
      </c>
      <c r="B6" s="4" t="s">
        <v>1937</v>
      </c>
      <c r="C6" s="4">
        <f>COUNTIFS('INPUT-SIF_Questions'!$H$2:$H$300,A6,'INPUT-SIF_Questions'!$J$2:$J$300,"A",'INPUT-SIF_Questions'!$G$2:$G$300,"Y")</f>
        <v>4</v>
      </c>
      <c r="D6" s="4">
        <f>IF(C6=0,"",COUNTIF($C$2:$C$11,"&gt;"&amp;C6)+COUNTIF($C$2:C6,C6))</f>
        <v>3</v>
      </c>
    </row>
    <row r="7" spans="1:4" ht="14.25" customHeight="1" x14ac:dyDescent="0.45">
      <c r="A7" s="4" t="s">
        <v>1938</v>
      </c>
      <c r="B7" s="4" t="s">
        <v>1037</v>
      </c>
      <c r="C7" s="4">
        <f>COUNTIFS('INPUT-SIF_Questions'!$H$2:$H$300,A7,'INPUT-SIF_Questions'!$J$2:$J$300,"A",'INPUT-SIF_Questions'!$G$2:$G$300,"Y")</f>
        <v>0</v>
      </c>
      <c r="D7" s="4" t="str">
        <f>IF(C7=0,"",COUNTIF($C$2:$C$11,"&gt;"&amp;C7)+COUNTIF($C$2:C7,C7))</f>
        <v/>
      </c>
    </row>
    <row r="8" spans="1:4" ht="14.25" customHeight="1" x14ac:dyDescent="0.45">
      <c r="A8" s="4" t="s">
        <v>34</v>
      </c>
      <c r="B8" s="4" t="s">
        <v>1939</v>
      </c>
      <c r="C8" s="4">
        <f>COUNTIFS('INPUT-SIF_Questions'!$H$2:$H$300,A8,'INPUT-SIF_Questions'!$J$2:$J$300,"A",'INPUT-SIF_Questions'!$G$2:$G$300,"Y")</f>
        <v>8</v>
      </c>
      <c r="D8" s="4">
        <f>IF(C8=0,"",COUNTIF($C$2:$C$11,"&gt;"&amp;C8)+COUNTIF($C$2:C8,C8))</f>
        <v>1</v>
      </c>
    </row>
    <row r="9" spans="1:4" ht="14.25" customHeight="1" x14ac:dyDescent="0.45">
      <c r="A9" s="4" t="s">
        <v>143</v>
      </c>
      <c r="B9" s="4" t="s">
        <v>1080</v>
      </c>
      <c r="C9" s="4">
        <f>COUNTIFS('INPUT-SIF_Questions'!$H$2:$H$300,A9,'INPUT-SIF_Questions'!$J$2:$J$300,"A",'INPUT-SIF_Questions'!$G$2:$G$300,"Y")</f>
        <v>3</v>
      </c>
      <c r="D9" s="4">
        <f>IF(C9=0,"",COUNTIF($C$2:$C$11,"&gt;"&amp;C9)+COUNTIF($C$2:C9,C9))</f>
        <v>4</v>
      </c>
    </row>
    <row r="10" spans="1:4" ht="14.25" customHeight="1" x14ac:dyDescent="0.45">
      <c r="A10" s="4" t="s">
        <v>1941</v>
      </c>
      <c r="B10" s="4" t="s">
        <v>1087</v>
      </c>
      <c r="C10" s="4">
        <f>COUNTIFS('INPUT-SIF_Questions'!$H$2:$H$300,A10,'INPUT-SIF_Questions'!$J$2:$J$300,"A",'INPUT-SIF_Questions'!$G$2:$G$300,"Y")</f>
        <v>0</v>
      </c>
      <c r="D10" s="4" t="str">
        <f>IF(C10=0,"",COUNTIF($C$2:$C$11,"&gt;"&amp;C10)+COUNTIF($C$2:C10,C10))</f>
        <v/>
      </c>
    </row>
    <row r="11" spans="1:4" ht="14.25" customHeight="1" x14ac:dyDescent="0.45">
      <c r="A11" s="4" t="s">
        <v>1942</v>
      </c>
      <c r="B11" s="4" t="s">
        <v>1943</v>
      </c>
      <c r="C11" s="4">
        <f>COUNTIFS('INPUT-SIF_Questions'!$H$2:$H$300,A11,'INPUT-SIF_Questions'!$J$2:$J$300,"A",'INPUT-SIF_Questions'!$G$2:$G$300,"Y")</f>
        <v>0</v>
      </c>
      <c r="D11" s="4" t="str">
        <f>IF(C11=0,"",COUNTIF($C$2:$C$11,"&gt;"&amp;C11)+COUNTIF($C$2:C11,C11))</f>
        <v/>
      </c>
    </row>
  </sheetData>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00"/>
  <sheetViews>
    <sheetView zoomScaleNormal="100" workbookViewId="0"/>
  </sheetViews>
  <sheetFormatPr defaultColWidth="8.6640625" defaultRowHeight="14.25" customHeight="1" x14ac:dyDescent="0.45"/>
  <sheetData>
    <row r="1" spans="1:3" ht="14.25" customHeight="1" x14ac:dyDescent="0.45">
      <c r="A1" s="54" t="s">
        <v>2014</v>
      </c>
      <c r="B1" s="54" t="s">
        <v>2015</v>
      </c>
      <c r="C1" s="54" t="s">
        <v>2013</v>
      </c>
    </row>
    <row r="2" spans="1:3" ht="14.25" customHeight="1" x14ac:dyDescent="0.45">
      <c r="A2" s="4" t="s">
        <v>63</v>
      </c>
      <c r="B2" s="4">
        <f>IF(A2="","",COUNTIFS('INPUT-SIF_Questions'!$R$2:$R$300,A2,'INPUT-SIF_Questions'!$N$2:$N$300,1,'INPUT-SIF_Questions'!$G$2:$G$300,"Y"))</f>
        <v>6</v>
      </c>
      <c r="C2" s="4">
        <f>IF(A2="","",COUNTIF($B$2:$B$100,"&gt;"&amp;B2)+COUNTIF($B$2:B2,B2))</f>
        <v>5</v>
      </c>
    </row>
    <row r="3" spans="1:3" ht="14.25" customHeight="1" x14ac:dyDescent="0.45">
      <c r="A3" s="4" t="s">
        <v>224</v>
      </c>
      <c r="B3" s="4">
        <f>IF(A3="","",COUNTIFS('INPUT-SIF_Questions'!$R$2:$R$300,A3,'INPUT-SIF_Questions'!$N$2:$N$300,1,'INPUT-SIF_Questions'!$G$2:$G$300,"Y"))</f>
        <v>0</v>
      </c>
      <c r="C3" s="4">
        <f>IF(A3="","",COUNTIF($B$2:$B$100,"&gt;"&amp;B3)+COUNTIF($B$2:B3,B3))</f>
        <v>27</v>
      </c>
    </row>
    <row r="4" spans="1:3" ht="14.25" customHeight="1" x14ac:dyDescent="0.45">
      <c r="A4" s="4" t="s">
        <v>297</v>
      </c>
      <c r="B4" s="4">
        <f>IF(A4="","",COUNTIFS('INPUT-SIF_Questions'!$R$2:$R$300,A4,'INPUT-SIF_Questions'!$N$2:$N$300,1,'INPUT-SIF_Questions'!$G$2:$G$300,"Y"))</f>
        <v>1</v>
      </c>
      <c r="C4" s="4">
        <f>IF(A4="","",COUNTIF($B$2:$B$100,"&gt;"&amp;B4)+COUNTIF($B$2:B4,B4))</f>
        <v>13</v>
      </c>
    </row>
    <row r="5" spans="1:3" ht="14.25" customHeight="1" x14ac:dyDescent="0.45">
      <c r="A5" s="4" t="s">
        <v>68</v>
      </c>
      <c r="B5" s="4">
        <f>IF(A5="","",COUNTIFS('INPUT-SIF_Questions'!$R$2:$R$300,A5,'INPUT-SIF_Questions'!$N$2:$N$300,1,'INPUT-SIF_Questions'!$G$2:$G$300,"Y"))</f>
        <v>2</v>
      </c>
      <c r="C5" s="4">
        <f>IF(A5="","",COUNTIF($B$2:$B$100,"&gt;"&amp;B5)+COUNTIF($B$2:B5,B5))</f>
        <v>11</v>
      </c>
    </row>
    <row r="6" spans="1:3" ht="14.25" customHeight="1" x14ac:dyDescent="0.45">
      <c r="A6" s="4" t="s">
        <v>320</v>
      </c>
      <c r="B6" s="4">
        <f>IF(A6="","",COUNTIFS('INPUT-SIF_Questions'!$R$2:$R$300,A6,'INPUT-SIF_Questions'!$N$2:$N$300,1,'INPUT-SIF_Questions'!$G$2:$G$300,"Y"))</f>
        <v>1</v>
      </c>
      <c r="C6" s="4">
        <f>IF(A6="","",COUNTIF($B$2:$B$100,"&gt;"&amp;B6)+COUNTIF($B$2:B6,B6))</f>
        <v>14</v>
      </c>
    </row>
    <row r="7" spans="1:3" ht="14.25" customHeight="1" x14ac:dyDescent="0.45">
      <c r="A7" s="4" t="s">
        <v>52</v>
      </c>
      <c r="B7" s="4">
        <f>IF(A7="","",COUNTIFS('INPUT-SIF_Questions'!$R$2:$R$300,A7,'INPUT-SIF_Questions'!$N$2:$N$300,1,'INPUT-SIF_Questions'!$G$2:$G$300,"Y"))</f>
        <v>8</v>
      </c>
      <c r="C7" s="4">
        <f>IF(A7="","",COUNTIF($B$2:$B$100,"&gt;"&amp;B7)+COUNTIF($B$2:B7,B7))</f>
        <v>2</v>
      </c>
    </row>
    <row r="8" spans="1:3" ht="14.25" customHeight="1" x14ac:dyDescent="0.45">
      <c r="A8" s="4" t="s">
        <v>313</v>
      </c>
      <c r="B8" s="4">
        <f>IF(A8="","",COUNTIFS('INPUT-SIF_Questions'!$R$2:$R$300,A8,'INPUT-SIF_Questions'!$N$2:$N$300,1,'INPUT-SIF_Questions'!$G$2:$G$300,"Y"))</f>
        <v>0</v>
      </c>
      <c r="C8" s="4">
        <f>IF(A8="","",COUNTIF($B$2:$B$100,"&gt;"&amp;B8)+COUNTIF($B$2:B8,B8))</f>
        <v>28</v>
      </c>
    </row>
    <row r="9" spans="1:3" ht="14.25" customHeight="1" x14ac:dyDescent="0.45">
      <c r="A9" s="4" t="s">
        <v>415</v>
      </c>
      <c r="B9" s="4">
        <f>IF(A9="","",COUNTIFS('INPUT-SIF_Questions'!$R$2:$R$300,A9,'INPUT-SIF_Questions'!$N$2:$N$300,1,'INPUT-SIF_Questions'!$G$2:$G$300,"Y"))</f>
        <v>1</v>
      </c>
      <c r="C9" s="4">
        <f>IF(A9="","",COUNTIF($B$2:$B$100,"&gt;"&amp;B9)+COUNTIF($B$2:B9,B9))</f>
        <v>15</v>
      </c>
    </row>
    <row r="10" spans="1:3" ht="14.25" customHeight="1" x14ac:dyDescent="0.45">
      <c r="A10" s="4" t="s">
        <v>58</v>
      </c>
      <c r="B10" s="4">
        <f>IF(A10="","",COUNTIFS('INPUT-SIF_Questions'!$R$2:$R$300,A10,'INPUT-SIF_Questions'!$N$2:$N$300,1,'INPUT-SIF_Questions'!$G$2:$G$300,"Y"))</f>
        <v>7</v>
      </c>
      <c r="C10" s="4">
        <f>IF(A10="","",COUNTIF($B$2:$B$100,"&gt;"&amp;B10)+COUNTIF($B$2:B10,B10))</f>
        <v>4</v>
      </c>
    </row>
    <row r="11" spans="1:3" ht="14.25" customHeight="1" x14ac:dyDescent="0.45">
      <c r="A11" s="4" t="s">
        <v>243</v>
      </c>
      <c r="B11" s="4">
        <f>IF(A11="","",COUNTIFS('INPUT-SIF_Questions'!$R$2:$R$300,A11,'INPUT-SIF_Questions'!$N$2:$N$300,1,'INPUT-SIF_Questions'!$G$2:$G$300,"Y"))</f>
        <v>4</v>
      </c>
      <c r="C11" s="4">
        <f>IF(A11="","",COUNTIF($B$2:$B$100,"&gt;"&amp;B11)+COUNTIF($B$2:B11,B11))</f>
        <v>6</v>
      </c>
    </row>
    <row r="12" spans="1:3" ht="14.25" customHeight="1" x14ac:dyDescent="0.45">
      <c r="A12" s="4" t="s">
        <v>80</v>
      </c>
      <c r="B12" s="4">
        <f>IF(A12="","",COUNTIFS('INPUT-SIF_Questions'!$R$2:$R$300,A12,'INPUT-SIF_Questions'!$N$2:$N$300,1,'INPUT-SIF_Questions'!$G$2:$G$300,"Y"))</f>
        <v>1</v>
      </c>
      <c r="C12" s="4">
        <f>IF(A12="","",COUNTIF($B$2:$B$100,"&gt;"&amp;B12)+COUNTIF($B$2:B12,B12))</f>
        <v>16</v>
      </c>
    </row>
    <row r="13" spans="1:3" ht="14.25" customHeight="1" x14ac:dyDescent="0.45">
      <c r="A13" s="4" t="s">
        <v>155</v>
      </c>
      <c r="B13" s="4">
        <f>IF(A13="","",COUNTIFS('INPUT-SIF_Questions'!$R$2:$R$300,A13,'INPUT-SIF_Questions'!$N$2:$N$300,1,'INPUT-SIF_Questions'!$G$2:$G$300,"Y"))</f>
        <v>1</v>
      </c>
      <c r="C13" s="4">
        <f>IF(A13="","",COUNTIF($B$2:$B$100,"&gt;"&amp;B13)+COUNTIF($B$2:B13,B13))</f>
        <v>17</v>
      </c>
    </row>
    <row r="14" spans="1:3" ht="14.25" customHeight="1" x14ac:dyDescent="0.45">
      <c r="A14" s="4" t="s">
        <v>40</v>
      </c>
      <c r="B14" s="4">
        <f>IF(A14="","",COUNTIFS('INPUT-SIF_Questions'!$R$2:$R$300,A14,'INPUT-SIF_Questions'!$N$2:$N$300,1,'INPUT-SIF_Questions'!$G$2:$G$300,"Y"))</f>
        <v>8</v>
      </c>
      <c r="C14" s="4">
        <f>IF(A14="","",COUNTIF($B$2:$B$100,"&gt;"&amp;B14)+COUNTIF($B$2:B14,B14))</f>
        <v>3</v>
      </c>
    </row>
    <row r="15" spans="1:3" ht="14.25" customHeight="1" x14ac:dyDescent="0.45">
      <c r="A15" s="4" t="s">
        <v>111</v>
      </c>
      <c r="B15" s="4">
        <f>IF(A15="","",COUNTIFS('INPUT-SIF_Questions'!$R$2:$R$300,A15,'INPUT-SIF_Questions'!$N$2:$N$300,1,'INPUT-SIF_Questions'!$G$2:$G$300,"Y"))</f>
        <v>3</v>
      </c>
      <c r="C15" s="4">
        <f>IF(A15="","",COUNTIF($B$2:$B$100,"&gt;"&amp;B15)+COUNTIF($B$2:B15,B15))</f>
        <v>10</v>
      </c>
    </row>
    <row r="16" spans="1:3" ht="14.25" customHeight="1" x14ac:dyDescent="0.45">
      <c r="A16" s="4" t="s">
        <v>229</v>
      </c>
      <c r="B16" s="4">
        <f>IF(A16="","",COUNTIFS('INPUT-SIF_Questions'!$R$2:$R$300,A16,'INPUT-SIF_Questions'!$N$2:$N$300,1,'INPUT-SIF_Questions'!$G$2:$G$300,"Y"))</f>
        <v>0</v>
      </c>
      <c r="C16" s="4">
        <f>IF(A16="","",COUNTIF($B$2:$B$100,"&gt;"&amp;B16)+COUNTIF($B$2:B16,B16))</f>
        <v>29</v>
      </c>
    </row>
    <row r="17" spans="1:3" ht="14.25" customHeight="1" x14ac:dyDescent="0.45">
      <c r="A17" s="4" t="s">
        <v>412</v>
      </c>
      <c r="B17" s="4">
        <f>IF(A17="","",COUNTIFS('INPUT-SIF_Questions'!$R$2:$R$300,A17,'INPUT-SIF_Questions'!$N$2:$N$300,1,'INPUT-SIF_Questions'!$G$2:$G$300,"Y"))</f>
        <v>0</v>
      </c>
      <c r="C17" s="4">
        <f>IF(A17="","",COUNTIF($B$2:$B$100,"&gt;"&amp;B17)+COUNTIF($B$2:B17,B17))</f>
        <v>30</v>
      </c>
    </row>
    <row r="18" spans="1:3" ht="14.25" customHeight="1" x14ac:dyDescent="0.45">
      <c r="A18" s="4" t="s">
        <v>317</v>
      </c>
      <c r="B18" s="4">
        <f>IF(A18="","",COUNTIFS('INPUT-SIF_Questions'!$R$2:$R$300,A18,'INPUT-SIF_Questions'!$N$2:$N$300,1,'INPUT-SIF_Questions'!$G$2:$G$300,"Y"))</f>
        <v>2</v>
      </c>
      <c r="C18" s="4">
        <f>IF(A18="","",COUNTIF($B$2:$B$100,"&gt;"&amp;B18)+COUNTIF($B$2:B18,B18))</f>
        <v>12</v>
      </c>
    </row>
    <row r="19" spans="1:3" ht="14.25" customHeight="1" x14ac:dyDescent="0.45">
      <c r="A19" s="4" t="s">
        <v>141</v>
      </c>
      <c r="B19" s="4">
        <f>IF(A19="","",COUNTIFS('INPUT-SIF_Questions'!$R$2:$R$300,A19,'INPUT-SIF_Questions'!$N$2:$N$300,1,'INPUT-SIF_Questions'!$G$2:$G$300,"Y"))</f>
        <v>1</v>
      </c>
      <c r="C19" s="4">
        <f>IF(A19="","",COUNTIF($B$2:$B$100,"&gt;"&amp;B19)+COUNTIF($B$2:B19,B19))</f>
        <v>18</v>
      </c>
    </row>
    <row r="20" spans="1:3" ht="14.25" customHeight="1" x14ac:dyDescent="0.45">
      <c r="A20" s="4" t="s">
        <v>107</v>
      </c>
      <c r="B20" s="4">
        <f>IF(A20="","",COUNTIFS('INPUT-SIF_Questions'!$R$2:$R$300,A20,'INPUT-SIF_Questions'!$N$2:$N$300,1,'INPUT-SIF_Questions'!$G$2:$G$300,"Y"))</f>
        <v>4</v>
      </c>
      <c r="C20" s="4">
        <f>IF(A20="","",COUNTIF($B$2:$B$100,"&gt;"&amp;B20)+COUNTIF($B$2:B20,B20))</f>
        <v>7</v>
      </c>
    </row>
    <row r="21" spans="1:3" ht="14.25" customHeight="1" x14ac:dyDescent="0.45">
      <c r="A21" s="4" t="s">
        <v>309</v>
      </c>
      <c r="B21" s="4">
        <f>IF(A21="","",COUNTIFS('INPUT-SIF_Questions'!$R$2:$R$300,A21,'INPUT-SIF_Questions'!$N$2:$N$300,1,'INPUT-SIF_Questions'!$G$2:$G$300,"Y"))</f>
        <v>0</v>
      </c>
      <c r="C21" s="4">
        <f>IF(A21="","",COUNTIF($B$2:$B$100,"&gt;"&amp;B21)+COUNTIF($B$2:B21,B21))</f>
        <v>31</v>
      </c>
    </row>
    <row r="22" spans="1:3" ht="14.25" customHeight="1" x14ac:dyDescent="0.45">
      <c r="A22" s="4" t="s">
        <v>115</v>
      </c>
      <c r="B22" s="4">
        <f>IF(A22="","",COUNTIFS('INPUT-SIF_Questions'!$R$2:$R$300,A22,'INPUT-SIF_Questions'!$N$2:$N$300,1,'INPUT-SIF_Questions'!$G$2:$G$300,"Y"))</f>
        <v>0</v>
      </c>
      <c r="C22" s="4">
        <f>IF(A22="","",COUNTIF($B$2:$B$100,"&gt;"&amp;B22)+COUNTIF($B$2:B22,B22))</f>
        <v>32</v>
      </c>
    </row>
    <row r="23" spans="1:3" ht="14.25" customHeight="1" x14ac:dyDescent="0.45">
      <c r="A23" s="4" t="s">
        <v>103</v>
      </c>
      <c r="B23" s="4">
        <f>IF(A23="","",COUNTIFS('INPUT-SIF_Questions'!$R$2:$R$300,A23,'INPUT-SIF_Questions'!$N$2:$N$300,1,'INPUT-SIF_Questions'!$G$2:$G$300,"Y"))</f>
        <v>0</v>
      </c>
      <c r="C23" s="4">
        <f>IF(A23="","",COUNTIF($B$2:$B$100,"&gt;"&amp;B23)+COUNTIF($B$2:B23,B23))</f>
        <v>33</v>
      </c>
    </row>
    <row r="24" spans="1:3" ht="14.25" customHeight="1" x14ac:dyDescent="0.45">
      <c r="A24" s="4" t="s">
        <v>303</v>
      </c>
      <c r="B24" s="4">
        <f>IF(A24="","",COUNTIFS('INPUT-SIF_Questions'!$R$2:$R$300,A24,'INPUT-SIF_Questions'!$N$2:$N$300,1,'INPUT-SIF_Questions'!$G$2:$G$300,"Y"))</f>
        <v>0</v>
      </c>
      <c r="C24" s="4">
        <f>IF(A24="","",COUNTIF($B$2:$B$100,"&gt;"&amp;B24)+COUNTIF($B$2:B24,B24))</f>
        <v>34</v>
      </c>
    </row>
    <row r="25" spans="1:3" ht="14.25" customHeight="1" x14ac:dyDescent="0.45">
      <c r="A25" s="4" t="s">
        <v>123</v>
      </c>
      <c r="B25" s="4">
        <f>IF(A25="","",COUNTIFS('INPUT-SIF_Questions'!$R$2:$R$300,A25,'INPUT-SIF_Questions'!$N$2:$N$300,1,'INPUT-SIF_Questions'!$G$2:$G$300,"Y"))</f>
        <v>0</v>
      </c>
      <c r="C25" s="4">
        <f>IF(A25="","",COUNTIF($B$2:$B$100,"&gt;"&amp;B25)+COUNTIF($B$2:B25,B25))</f>
        <v>35</v>
      </c>
    </row>
    <row r="26" spans="1:3" ht="14.25" customHeight="1" x14ac:dyDescent="0.45">
      <c r="A26" s="4" t="s">
        <v>421</v>
      </c>
      <c r="B26" s="4">
        <f>IF(A26="","",COUNTIFS('INPUT-SIF_Questions'!$R$2:$R$300,A26,'INPUT-SIF_Questions'!$N$2:$N$300,1,'INPUT-SIF_Questions'!$G$2:$G$300,"Y"))</f>
        <v>0</v>
      </c>
      <c r="C26" s="4">
        <f>IF(A26="","",COUNTIF($B$2:$B$100,"&gt;"&amp;B26)+COUNTIF($B$2:B26,B26))</f>
        <v>36</v>
      </c>
    </row>
    <row r="27" spans="1:3" ht="14.25" customHeight="1" x14ac:dyDescent="0.45">
      <c r="A27" s="4" t="s">
        <v>436</v>
      </c>
      <c r="B27" s="4">
        <f>IF(A27="","",COUNTIFS('INPUT-SIF_Questions'!$R$2:$R$300,A27,'INPUT-SIF_Questions'!$N$2:$N$300,1,'INPUT-SIF_Questions'!$G$2:$G$300,"Y"))</f>
        <v>0</v>
      </c>
      <c r="C27" s="4">
        <f>IF(A27="","",COUNTIF($B$2:$B$100,"&gt;"&amp;B27)+COUNTIF($B$2:B27,B27))</f>
        <v>37</v>
      </c>
    </row>
    <row r="28" spans="1:3" ht="14.25" customHeight="1" x14ac:dyDescent="0.45">
      <c r="A28" s="4" t="s">
        <v>131</v>
      </c>
      <c r="B28" s="4">
        <f>IF(A28="","",COUNTIFS('INPUT-SIF_Questions'!$R$2:$R$300,A28,'INPUT-SIF_Questions'!$N$2:$N$300,1,'INPUT-SIF_Questions'!$G$2:$G$300,"Y"))</f>
        <v>1</v>
      </c>
      <c r="C28" s="4">
        <f>IF(A28="","",COUNTIF($B$2:$B$100,"&gt;"&amp;B28)+COUNTIF($B$2:B28,B28))</f>
        <v>19</v>
      </c>
    </row>
    <row r="29" spans="1:3" ht="14.25" customHeight="1" x14ac:dyDescent="0.45">
      <c r="A29" s="4" t="s">
        <v>85</v>
      </c>
      <c r="B29" s="4">
        <f>IF(A29="","",COUNTIFS('INPUT-SIF_Questions'!$R$2:$R$300,A29,'INPUT-SIF_Questions'!$N$2:$N$300,1,'INPUT-SIF_Questions'!$G$2:$G$300,"Y"))</f>
        <v>1</v>
      </c>
      <c r="C29" s="4">
        <f>IF(A29="","",COUNTIF($B$2:$B$100,"&gt;"&amp;B29)+COUNTIF($B$2:B29,B29))</f>
        <v>20</v>
      </c>
    </row>
    <row r="30" spans="1:3" ht="14.25" customHeight="1" x14ac:dyDescent="0.45">
      <c r="A30" s="4" t="s">
        <v>90</v>
      </c>
      <c r="B30" s="4">
        <f>IF(A30="","",COUNTIFS('INPUT-SIF_Questions'!$R$2:$R$300,A30,'INPUT-SIF_Questions'!$N$2:$N$300,1,'INPUT-SIF_Questions'!$G$2:$G$300,"Y"))</f>
        <v>11</v>
      </c>
      <c r="C30" s="4">
        <f>IF(A30="","",COUNTIF($B$2:$B$100,"&gt;"&amp;B30)+COUNTIF($B$2:B30,B30))</f>
        <v>1</v>
      </c>
    </row>
    <row r="31" spans="1:3" ht="14.25" customHeight="1" x14ac:dyDescent="0.45">
      <c r="A31" s="4" t="s">
        <v>119</v>
      </c>
      <c r="B31" s="4">
        <f>IF(A31="","",COUNTIFS('INPUT-SIF_Questions'!$R$2:$R$300,A31,'INPUT-SIF_Questions'!$N$2:$N$300,1,'INPUT-SIF_Questions'!$G$2:$G$300,"Y"))</f>
        <v>1</v>
      </c>
      <c r="C31" s="4">
        <f>IF(A31="","",COUNTIF($B$2:$B$100,"&gt;"&amp;B31)+COUNTIF($B$2:B31,B31))</f>
        <v>21</v>
      </c>
    </row>
    <row r="32" spans="1:3" ht="14.25" customHeight="1" x14ac:dyDescent="0.45">
      <c r="A32" s="4" t="s">
        <v>425</v>
      </c>
      <c r="B32" s="4">
        <f>IF(A32="","",COUNTIFS('INPUT-SIF_Questions'!$R$2:$R$300,A32,'INPUT-SIF_Questions'!$N$2:$N$300,1,'INPUT-SIF_Questions'!$G$2:$G$300,"Y"))</f>
        <v>0</v>
      </c>
      <c r="C32" s="4">
        <f>IF(A32="","",COUNTIF($B$2:$B$100,"&gt;"&amp;B32)+COUNTIF($B$2:B32,B32))</f>
        <v>38</v>
      </c>
    </row>
    <row r="33" spans="1:3" ht="14.25" customHeight="1" x14ac:dyDescent="0.45">
      <c r="A33" s="4" t="s">
        <v>169</v>
      </c>
      <c r="B33" s="4">
        <f>IF(A33="","",COUNTIFS('INPUT-SIF_Questions'!$R$2:$R$300,A33,'INPUT-SIF_Questions'!$N$2:$N$300,1,'INPUT-SIF_Questions'!$G$2:$G$300,"Y"))</f>
        <v>1</v>
      </c>
      <c r="C33" s="4">
        <f>IF(A33="","",COUNTIF($B$2:$B$100,"&gt;"&amp;B33)+COUNTIF($B$2:B33,B33))</f>
        <v>22</v>
      </c>
    </row>
    <row r="34" spans="1:3" ht="14.25" customHeight="1" x14ac:dyDescent="0.45">
      <c r="A34" s="4" t="s">
        <v>74</v>
      </c>
      <c r="B34" s="4">
        <f>IF(A34="","",COUNTIFS('INPUT-SIF_Questions'!$R$2:$R$300,A34,'INPUT-SIF_Questions'!$N$2:$N$300,1,'INPUT-SIF_Questions'!$G$2:$G$300,"Y"))</f>
        <v>4</v>
      </c>
      <c r="C34" s="4">
        <f>IF(A34="","",COUNTIF($B$2:$B$100,"&gt;"&amp;B34)+COUNTIF($B$2:B34,B34))</f>
        <v>8</v>
      </c>
    </row>
    <row r="35" spans="1:3" ht="14.25" customHeight="1" x14ac:dyDescent="0.45">
      <c r="A35" s="4" t="s">
        <v>432</v>
      </c>
      <c r="B35" s="4">
        <f>IF(A35="","",COUNTIFS('INPUT-SIF_Questions'!$R$2:$R$300,A35,'INPUT-SIF_Questions'!$N$2:$N$300,1,'INPUT-SIF_Questions'!$G$2:$G$300,"Y"))</f>
        <v>0</v>
      </c>
      <c r="C35" s="4">
        <f>IF(A35="","",COUNTIF($B$2:$B$100,"&gt;"&amp;B35)+COUNTIF($B$2:B35,B35))</f>
        <v>39</v>
      </c>
    </row>
    <row r="36" spans="1:3" ht="14.25" customHeight="1" x14ac:dyDescent="0.45">
      <c r="A36" s="4" t="s">
        <v>212</v>
      </c>
      <c r="B36" s="4">
        <f>IF(A36="","",COUNTIFS('INPUT-SIF_Questions'!$R$2:$R$300,A36,'INPUT-SIF_Questions'!$N$2:$N$300,1,'INPUT-SIF_Questions'!$G$2:$G$300,"Y"))</f>
        <v>4</v>
      </c>
      <c r="C36" s="4">
        <f>IF(A36="","",COUNTIF($B$2:$B$100,"&gt;"&amp;B36)+COUNTIF($B$2:B36,B36))</f>
        <v>9</v>
      </c>
    </row>
    <row r="37" spans="1:3" ht="14.25" customHeight="1" x14ac:dyDescent="0.45">
      <c r="A37" s="4" t="s">
        <v>434</v>
      </c>
      <c r="B37" s="4">
        <f>IF(A37="","",COUNTIFS('INPUT-SIF_Questions'!$R$2:$R$300,A37,'INPUT-SIF_Questions'!$N$2:$N$300,1,'INPUT-SIF_Questions'!$G$2:$G$300,"Y"))</f>
        <v>0</v>
      </c>
      <c r="C37" s="4">
        <f>IF(A37="","",COUNTIF($B$2:$B$100,"&gt;"&amp;B37)+COUNTIF($B$2:B37,B37))</f>
        <v>40</v>
      </c>
    </row>
    <row r="38" spans="1:3" ht="14.25" customHeight="1" x14ac:dyDescent="0.45">
      <c r="A38" s="4" t="s">
        <v>164</v>
      </c>
      <c r="B38" s="4">
        <f>IF(A38="","",COUNTIFS('INPUT-SIF_Questions'!$R$2:$R$300,A38,'INPUT-SIF_Questions'!$N$2:$N$300,1,'INPUT-SIF_Questions'!$G$2:$G$300,"Y"))</f>
        <v>0</v>
      </c>
      <c r="C38" s="4">
        <f>IF(A38="","",COUNTIF($B$2:$B$100,"&gt;"&amp;B38)+COUNTIF($B$2:B38,B38))</f>
        <v>41</v>
      </c>
    </row>
    <row r="39" spans="1:3" ht="14.25" customHeight="1" x14ac:dyDescent="0.45">
      <c r="A39" s="4" t="s">
        <v>418</v>
      </c>
      <c r="B39" s="4">
        <f>IF(A39="","",COUNTIFS('INPUT-SIF_Questions'!$R$2:$R$300,A39,'INPUT-SIF_Questions'!$N$2:$N$300,1,'INPUT-SIF_Questions'!$G$2:$G$300,"Y"))</f>
        <v>1</v>
      </c>
      <c r="C39" s="4">
        <f>IF(A39="","",COUNTIF($B$2:$B$100,"&gt;"&amp;B39)+COUNTIF($B$2:B39,B39))</f>
        <v>23</v>
      </c>
    </row>
    <row r="40" spans="1:3" ht="14.25" customHeight="1" x14ac:dyDescent="0.45">
      <c r="A40" s="4" t="s">
        <v>307</v>
      </c>
      <c r="B40" s="4">
        <f>IF(A40="","",COUNTIFS('INPUT-SIF_Questions'!$R$2:$R$300,A40,'INPUT-SIF_Questions'!$N$2:$N$300,1,'INPUT-SIF_Questions'!$G$2:$G$300,"Y"))</f>
        <v>1</v>
      </c>
      <c r="C40" s="4">
        <f>IF(A40="","",COUNTIF($B$2:$B$100,"&gt;"&amp;B40)+COUNTIF($B$2:B40,B40))</f>
        <v>24</v>
      </c>
    </row>
    <row r="41" spans="1:3" ht="14.25" customHeight="1" x14ac:dyDescent="0.45">
      <c r="A41" s="4" t="s">
        <v>127</v>
      </c>
      <c r="B41" s="4">
        <f>IF(A41="","",COUNTIFS('INPUT-SIF_Questions'!$R$2:$R$300,A41,'INPUT-SIF_Questions'!$N$2:$N$300,1,'INPUT-SIF_Questions'!$G$2:$G$300,"Y"))</f>
        <v>0</v>
      </c>
      <c r="C41" s="4">
        <f>IF(A41="","",COUNTIF($B$2:$B$100,"&gt;"&amp;B41)+COUNTIF($B$2:B41,B41))</f>
        <v>42</v>
      </c>
    </row>
    <row r="42" spans="1:3" ht="14.25" customHeight="1" x14ac:dyDescent="0.45">
      <c r="A42" s="4" t="s">
        <v>148</v>
      </c>
      <c r="B42" s="4">
        <f>IF(A42="","",COUNTIFS('INPUT-SIF_Questions'!$R$2:$R$300,A42,'INPUT-SIF_Questions'!$N$2:$N$300,1,'INPUT-SIF_Questions'!$G$2:$G$300,"Y"))</f>
        <v>1</v>
      </c>
      <c r="C42" s="4">
        <f>IF(A42="","",COUNTIF($B$2:$B$100,"&gt;"&amp;B42)+COUNTIF($B$2:B42,B42))</f>
        <v>25</v>
      </c>
    </row>
    <row r="43" spans="1:3" ht="14.25" customHeight="1" x14ac:dyDescent="0.45">
      <c r="A43" s="4" t="s">
        <v>234</v>
      </c>
      <c r="B43" s="4">
        <f>IF(A43="","",COUNTIFS('INPUT-SIF_Questions'!$R$2:$R$300,A43,'INPUT-SIF_Questions'!$N$2:$N$300,1,'INPUT-SIF_Questions'!$G$2:$G$300,"Y"))</f>
        <v>0</v>
      </c>
      <c r="C43" s="4">
        <f>IF(A43="","",COUNTIF($B$2:$B$100,"&gt;"&amp;B43)+COUNTIF($B$2:B43,B43))</f>
        <v>43</v>
      </c>
    </row>
    <row r="44" spans="1:3" ht="14.25" customHeight="1" x14ac:dyDescent="0.45">
      <c r="A44" s="4" t="s">
        <v>97</v>
      </c>
      <c r="B44" s="4">
        <f>IF(A44="","",COUNTIFS('INPUT-SIF_Questions'!$R$2:$R$300,A44,'INPUT-SIF_Questions'!$N$2:$N$300,1,'INPUT-SIF_Questions'!$G$2:$G$300,"Y"))</f>
        <v>1</v>
      </c>
      <c r="C44" s="4">
        <f>IF(A44="","",COUNTIF($B$2:$B$100,"&gt;"&amp;B44)+COUNTIF($B$2:B44,B44))</f>
        <v>26</v>
      </c>
    </row>
    <row r="45" spans="1:3" ht="14.25" customHeight="1" x14ac:dyDescent="0.45">
      <c r="B45" s="4" t="str">
        <f>IF(A45="","",COUNTIFS('INPUT-SIF_Questions'!$R$2:$R$300,A45,'INPUT-SIF_Questions'!$N$2:$N$300,1,'INPUT-SIF_Questions'!$G$2:$G$300,"Y"))</f>
        <v/>
      </c>
      <c r="C45" s="4" t="str">
        <f>IF(A45="","",COUNTIF($B$2:$B$100,"&gt;"&amp;B45)+COUNTIF($B$2:B45,B45))</f>
        <v/>
      </c>
    </row>
    <row r="46" spans="1:3" ht="14.25" customHeight="1" x14ac:dyDescent="0.45">
      <c r="B46" s="4" t="str">
        <f>IF(A46="","",COUNTIFS('INPUT-SIF_Questions'!$R$2:$R$300,A46,'INPUT-SIF_Questions'!$N$2:$N$300,1,'INPUT-SIF_Questions'!$G$2:$G$300,"Y"))</f>
        <v/>
      </c>
      <c r="C46" s="4" t="str">
        <f>IF(A46="","",COUNTIF($B$2:$B$100,"&gt;"&amp;B46)+COUNTIF($B$2:B46,B46))</f>
        <v/>
      </c>
    </row>
    <row r="47" spans="1:3" ht="14.25" customHeight="1" x14ac:dyDescent="0.45">
      <c r="B47" s="4" t="str">
        <f>IF(A47="","",COUNTIFS('INPUT-SIF_Questions'!$R$2:$R$300,A47,'INPUT-SIF_Questions'!$N$2:$N$300,1,'INPUT-SIF_Questions'!$G$2:$G$300,"Y"))</f>
        <v/>
      </c>
      <c r="C47" s="4" t="str">
        <f>IF(A47="","",COUNTIF($B$2:$B$100,"&gt;"&amp;B47)+COUNTIF($B$2:B47,B47))</f>
        <v/>
      </c>
    </row>
    <row r="48" spans="1:3" ht="14.25" customHeight="1" x14ac:dyDescent="0.45">
      <c r="B48" s="4" t="str">
        <f>IF(A48="","",COUNTIFS('INPUT-SIF_Questions'!$R$2:$R$300,A48,'INPUT-SIF_Questions'!$N$2:$N$300,1,'INPUT-SIF_Questions'!$G$2:$G$300,"Y"))</f>
        <v/>
      </c>
      <c r="C48" s="4" t="str">
        <f>IF(A48="","",COUNTIF($B$2:$B$100,"&gt;"&amp;B48)+COUNTIF($B$2:B48,B48))</f>
        <v/>
      </c>
    </row>
    <row r="49" spans="2:3" ht="14.25" customHeight="1" x14ac:dyDescent="0.45">
      <c r="B49" s="4" t="str">
        <f>IF(A49="","",COUNTIFS('INPUT-SIF_Questions'!$R$2:$R$300,A49,'INPUT-SIF_Questions'!$N$2:$N$300,1,'INPUT-SIF_Questions'!$G$2:$G$300,"Y"))</f>
        <v/>
      </c>
      <c r="C49" s="4" t="str">
        <f>IF(A49="","",COUNTIF($B$2:$B$100,"&gt;"&amp;B49)+COUNTIF($B$2:B49,B49))</f>
        <v/>
      </c>
    </row>
    <row r="50" spans="2:3" ht="14.25" customHeight="1" x14ac:dyDescent="0.45">
      <c r="B50" s="4" t="str">
        <f>IF(A50="","",COUNTIFS('INPUT-SIF_Questions'!$R$2:$R$300,A50,'INPUT-SIF_Questions'!$N$2:$N$300,1,'INPUT-SIF_Questions'!$G$2:$G$300,"Y"))</f>
        <v/>
      </c>
      <c r="C50" s="4" t="str">
        <f>IF(A50="","",COUNTIF($B$2:$B$100,"&gt;"&amp;B50)+COUNTIF($B$2:B50,B50))</f>
        <v/>
      </c>
    </row>
    <row r="51" spans="2:3" ht="14.25" customHeight="1" x14ac:dyDescent="0.45">
      <c r="B51" s="4" t="str">
        <f>IF(A51="","",COUNTIFS('INPUT-SIF_Questions'!$R$2:$R$300,A51,'INPUT-SIF_Questions'!$N$2:$N$300,1,'INPUT-SIF_Questions'!$G$2:$G$300,"Y"))</f>
        <v/>
      </c>
      <c r="C51" s="4" t="str">
        <f>IF(A51="","",COUNTIF($B$2:$B$100,"&gt;"&amp;B51)+COUNTIF($B$2:B51,B51))</f>
        <v/>
      </c>
    </row>
    <row r="52" spans="2:3" ht="14.25" customHeight="1" x14ac:dyDescent="0.45">
      <c r="B52" s="4" t="str">
        <f>IF(A52="","",COUNTIFS('INPUT-SIF_Questions'!$R$2:$R$300,A52,'INPUT-SIF_Questions'!$N$2:$N$300,1,'INPUT-SIF_Questions'!$G$2:$G$300,"Y"))</f>
        <v/>
      </c>
      <c r="C52" s="4" t="str">
        <f>IF(A52="","",COUNTIF($B$2:$B$100,"&gt;"&amp;B52)+COUNTIF($B$2:B52,B52))</f>
        <v/>
      </c>
    </row>
    <row r="53" spans="2:3" ht="14.25" customHeight="1" x14ac:dyDescent="0.45">
      <c r="B53" s="4" t="str">
        <f>IF(A53="","",COUNTIFS('INPUT-SIF_Questions'!$R$2:$R$300,A53,'INPUT-SIF_Questions'!$N$2:$N$300,1,'INPUT-SIF_Questions'!$G$2:$G$300,"Y"))</f>
        <v/>
      </c>
      <c r="C53" s="4" t="str">
        <f>IF(A53="","",COUNTIF($B$2:$B$100,"&gt;"&amp;B53)+COUNTIF($B$2:B53,B53))</f>
        <v/>
      </c>
    </row>
    <row r="54" spans="2:3" ht="14.25" customHeight="1" x14ac:dyDescent="0.45">
      <c r="B54" s="4" t="str">
        <f>IF(A54="","",COUNTIFS('INPUT-SIF_Questions'!$R$2:$R$300,A54,'INPUT-SIF_Questions'!$N$2:$N$300,1,'INPUT-SIF_Questions'!$G$2:$G$300,"Y"))</f>
        <v/>
      </c>
      <c r="C54" s="4" t="str">
        <f>IF(A54="","",COUNTIF($B$2:$B$100,"&gt;"&amp;B54)+COUNTIF($B$2:B54,B54))</f>
        <v/>
      </c>
    </row>
    <row r="55" spans="2:3" ht="14.25" customHeight="1" x14ac:dyDescent="0.45">
      <c r="B55" s="4" t="str">
        <f>IF(A55="","",COUNTIFS('INPUT-SIF_Questions'!$R$2:$R$300,A55,'INPUT-SIF_Questions'!$N$2:$N$300,1,'INPUT-SIF_Questions'!$G$2:$G$300,"Y"))</f>
        <v/>
      </c>
      <c r="C55" s="4" t="str">
        <f>IF(A55="","",COUNTIF($B$2:$B$100,"&gt;"&amp;B55)+COUNTIF($B$2:B55,B55))</f>
        <v/>
      </c>
    </row>
    <row r="56" spans="2:3" ht="14.25" customHeight="1" x14ac:dyDescent="0.45">
      <c r="B56" s="4" t="str">
        <f>IF(A56="","",COUNTIFS('INPUT-SIF_Questions'!$R$2:$R$300,A56,'INPUT-SIF_Questions'!$N$2:$N$300,1,'INPUT-SIF_Questions'!$G$2:$G$300,"Y"))</f>
        <v/>
      </c>
      <c r="C56" s="4" t="str">
        <f>IF(A56="","",COUNTIF($B$2:$B$100,"&gt;"&amp;B56)+COUNTIF($B$2:B56,B56))</f>
        <v/>
      </c>
    </row>
    <row r="57" spans="2:3" ht="14.25" customHeight="1" x14ac:dyDescent="0.45">
      <c r="B57" s="4" t="str">
        <f>IF(A57="","",COUNTIFS('INPUT-SIF_Questions'!$R$2:$R$300,A57,'INPUT-SIF_Questions'!$N$2:$N$300,1,'INPUT-SIF_Questions'!$G$2:$G$300,"Y"))</f>
        <v/>
      </c>
      <c r="C57" s="4" t="str">
        <f>IF(A57="","",COUNTIF($B$2:$B$100,"&gt;"&amp;B57)+COUNTIF($B$2:B57,B57))</f>
        <v/>
      </c>
    </row>
    <row r="58" spans="2:3" ht="14.25" customHeight="1" x14ac:dyDescent="0.45">
      <c r="B58" s="4" t="str">
        <f>IF(A58="","",COUNTIFS('INPUT-SIF_Questions'!$R$2:$R$300,A58,'INPUT-SIF_Questions'!$N$2:$N$300,1,'INPUT-SIF_Questions'!$G$2:$G$300,"Y"))</f>
        <v/>
      </c>
      <c r="C58" s="4" t="str">
        <f>IF(A58="","",COUNTIF($B$2:$B$100,"&gt;"&amp;B58)+COUNTIF($B$2:B58,B58))</f>
        <v/>
      </c>
    </row>
    <row r="59" spans="2:3" ht="14.25" customHeight="1" x14ac:dyDescent="0.45">
      <c r="B59" s="4" t="str">
        <f>IF(A59="","",COUNTIFS('INPUT-SIF_Questions'!$R$2:$R$300,A59,'INPUT-SIF_Questions'!$N$2:$N$300,1,'INPUT-SIF_Questions'!$G$2:$G$300,"Y"))</f>
        <v/>
      </c>
      <c r="C59" s="4" t="str">
        <f>IF(A59="","",COUNTIF($B$2:$B$100,"&gt;"&amp;B59)+COUNTIF($B$2:B59,B59))</f>
        <v/>
      </c>
    </row>
    <row r="60" spans="2:3" ht="14.25" customHeight="1" x14ac:dyDescent="0.45">
      <c r="B60" s="4" t="str">
        <f>IF(A60="","",COUNTIFS('INPUT-SIF_Questions'!$R$2:$R$300,A60,'INPUT-SIF_Questions'!$N$2:$N$300,1,'INPUT-SIF_Questions'!$G$2:$G$300,"Y"))</f>
        <v/>
      </c>
      <c r="C60" s="4" t="str">
        <f>IF(A60="","",COUNTIF($B$2:$B$100,"&gt;"&amp;B60)+COUNTIF($B$2:B60,B60))</f>
        <v/>
      </c>
    </row>
    <row r="61" spans="2:3" ht="14.25" customHeight="1" x14ac:dyDescent="0.45">
      <c r="B61" s="4" t="str">
        <f>IF(A61="","",COUNTIFS('INPUT-SIF_Questions'!$R$2:$R$300,A61,'INPUT-SIF_Questions'!$N$2:$N$300,1,'INPUT-SIF_Questions'!$G$2:$G$300,"Y"))</f>
        <v/>
      </c>
      <c r="C61" s="4" t="str">
        <f>IF(A61="","",COUNTIF($B$2:$B$100,"&gt;"&amp;B61)+COUNTIF($B$2:B61,B61))</f>
        <v/>
      </c>
    </row>
    <row r="62" spans="2:3" ht="14.25" customHeight="1" x14ac:dyDescent="0.45">
      <c r="B62" s="4" t="str">
        <f>IF(A62="","",COUNTIFS('INPUT-SIF_Questions'!$R$2:$R$300,A62,'INPUT-SIF_Questions'!$N$2:$N$300,1,'INPUT-SIF_Questions'!$G$2:$G$300,"Y"))</f>
        <v/>
      </c>
      <c r="C62" s="4" t="str">
        <f>IF(A62="","",COUNTIF($B$2:$B$100,"&gt;"&amp;B62)+COUNTIF($B$2:B62,B62))</f>
        <v/>
      </c>
    </row>
    <row r="63" spans="2:3" ht="14.25" customHeight="1" x14ac:dyDescent="0.45">
      <c r="B63" s="4" t="str">
        <f>IF(A63="","",COUNTIFS('INPUT-SIF_Questions'!$R$2:$R$300,A63,'INPUT-SIF_Questions'!$N$2:$N$300,1,'INPUT-SIF_Questions'!$G$2:$G$300,"Y"))</f>
        <v/>
      </c>
      <c r="C63" s="4" t="str">
        <f>IF(A63="","",COUNTIF($B$2:$B$100,"&gt;"&amp;B63)+COUNTIF($B$2:B63,B63))</f>
        <v/>
      </c>
    </row>
    <row r="64" spans="2:3" ht="14.25" customHeight="1" x14ac:dyDescent="0.45">
      <c r="B64" s="4" t="str">
        <f>IF(A64="","",COUNTIFS('INPUT-SIF_Questions'!$R$2:$R$300,A64,'INPUT-SIF_Questions'!$N$2:$N$300,1,'INPUT-SIF_Questions'!$G$2:$G$300,"Y"))</f>
        <v/>
      </c>
      <c r="C64" s="4" t="str">
        <f>IF(A64="","",COUNTIF($B$2:$B$100,"&gt;"&amp;B64)+COUNTIF($B$2:B64,B64))</f>
        <v/>
      </c>
    </row>
    <row r="65" spans="2:3" ht="14.25" customHeight="1" x14ac:dyDescent="0.45">
      <c r="B65" s="4" t="str">
        <f>IF(A65="","",COUNTIFS('INPUT-SIF_Questions'!$R$2:$R$300,A65,'INPUT-SIF_Questions'!$N$2:$N$300,1,'INPUT-SIF_Questions'!$G$2:$G$300,"Y"))</f>
        <v/>
      </c>
      <c r="C65" s="4" t="str">
        <f>IF(A65="","",COUNTIF($B$2:$B$100,"&gt;"&amp;B65)+COUNTIF($B$2:B65,B65))</f>
        <v/>
      </c>
    </row>
    <row r="66" spans="2:3" ht="14.25" customHeight="1" x14ac:dyDescent="0.45">
      <c r="B66" s="4" t="str">
        <f>IF(A66="","",COUNTIFS('INPUT-SIF_Questions'!$R$2:$R$300,A66,'INPUT-SIF_Questions'!$N$2:$N$300,1,'INPUT-SIF_Questions'!$G$2:$G$300,"Y"))</f>
        <v/>
      </c>
      <c r="C66" s="4" t="str">
        <f>IF(A66="","",COUNTIF($B$2:$B$100,"&gt;"&amp;B66)+COUNTIF($B$2:B66,B66))</f>
        <v/>
      </c>
    </row>
    <row r="67" spans="2:3" ht="14.25" customHeight="1" x14ac:dyDescent="0.45">
      <c r="B67" s="4" t="str">
        <f>IF(A67="","",COUNTIFS('INPUT-SIF_Questions'!$R$2:$R$300,A67,'INPUT-SIF_Questions'!$N$2:$N$300,1,'INPUT-SIF_Questions'!$G$2:$G$300,"Y"))</f>
        <v/>
      </c>
      <c r="C67" s="4" t="str">
        <f>IF(A67="","",COUNTIF($B$2:$B$100,"&gt;"&amp;B67)+COUNTIF($B$2:B67,B67))</f>
        <v/>
      </c>
    </row>
    <row r="68" spans="2:3" ht="14.25" customHeight="1" x14ac:dyDescent="0.45">
      <c r="B68" s="4" t="str">
        <f>IF(A68="","",COUNTIFS('INPUT-SIF_Questions'!$R$2:$R$300,A68,'INPUT-SIF_Questions'!$N$2:$N$300,1,'INPUT-SIF_Questions'!$G$2:$G$300,"Y"))</f>
        <v/>
      </c>
      <c r="C68" s="4" t="str">
        <f>IF(A68="","",COUNTIF($B$2:$B$100,"&gt;"&amp;B68)+COUNTIF($B$2:B68,B68))</f>
        <v/>
      </c>
    </row>
    <row r="69" spans="2:3" ht="14.25" customHeight="1" x14ac:dyDescent="0.45">
      <c r="B69" s="4" t="str">
        <f>IF(A69="","",COUNTIFS('INPUT-SIF_Questions'!$R$2:$R$300,A69,'INPUT-SIF_Questions'!$N$2:$N$300,1,'INPUT-SIF_Questions'!$G$2:$G$300,"Y"))</f>
        <v/>
      </c>
      <c r="C69" s="4" t="str">
        <f>IF(A69="","",COUNTIF($B$2:$B$100,"&gt;"&amp;B69)+COUNTIF($B$2:B69,B69))</f>
        <v/>
      </c>
    </row>
    <row r="70" spans="2:3" ht="14.25" customHeight="1" x14ac:dyDescent="0.45">
      <c r="B70" s="4" t="str">
        <f>IF(A70="","",COUNTIFS('INPUT-SIF_Questions'!$R$2:$R$300,A70,'INPUT-SIF_Questions'!$N$2:$N$300,1,'INPUT-SIF_Questions'!$G$2:$G$300,"Y"))</f>
        <v/>
      </c>
      <c r="C70" s="4" t="str">
        <f>IF(A70="","",COUNTIF($B$2:$B$100,"&gt;"&amp;B70)+COUNTIF($B$2:B70,B70))</f>
        <v/>
      </c>
    </row>
    <row r="71" spans="2:3" ht="14.25" customHeight="1" x14ac:dyDescent="0.45">
      <c r="B71" s="4" t="str">
        <f>IF(A71="","",COUNTIFS('INPUT-SIF_Questions'!$R$2:$R$300,A71,'INPUT-SIF_Questions'!$N$2:$N$300,1,'INPUT-SIF_Questions'!$G$2:$G$300,"Y"))</f>
        <v/>
      </c>
      <c r="C71" s="4" t="str">
        <f>IF(A71="","",COUNTIF($B$2:$B$100,"&gt;"&amp;B71)+COUNTIF($B$2:B71,B71))</f>
        <v/>
      </c>
    </row>
    <row r="72" spans="2:3" ht="14.25" customHeight="1" x14ac:dyDescent="0.45">
      <c r="B72" s="4" t="str">
        <f>IF(A72="","",COUNTIFS('INPUT-SIF_Questions'!$R$2:$R$300,A72,'INPUT-SIF_Questions'!$N$2:$N$300,1,'INPUT-SIF_Questions'!$G$2:$G$300,"Y"))</f>
        <v/>
      </c>
      <c r="C72" s="4" t="str">
        <f>IF(A72="","",COUNTIF($B$2:$B$100,"&gt;"&amp;B72)+COUNTIF($B$2:B72,B72))</f>
        <v/>
      </c>
    </row>
    <row r="73" spans="2:3" ht="14.25" customHeight="1" x14ac:dyDescent="0.45">
      <c r="B73" s="4" t="str">
        <f>IF(A73="","",COUNTIFS('INPUT-SIF_Questions'!$R$2:$R$300,A73,'INPUT-SIF_Questions'!$N$2:$N$300,1,'INPUT-SIF_Questions'!$G$2:$G$300,"Y"))</f>
        <v/>
      </c>
      <c r="C73" s="4" t="str">
        <f>IF(A73="","",COUNTIF($B$2:$B$100,"&gt;"&amp;B73)+COUNTIF($B$2:B73,B73))</f>
        <v/>
      </c>
    </row>
    <row r="74" spans="2:3" ht="14.25" customHeight="1" x14ac:dyDescent="0.45">
      <c r="B74" s="4" t="str">
        <f>IF(A74="","",COUNTIFS('INPUT-SIF_Questions'!$R$2:$R$300,A74,'INPUT-SIF_Questions'!$N$2:$N$300,1,'INPUT-SIF_Questions'!$G$2:$G$300,"Y"))</f>
        <v/>
      </c>
      <c r="C74" s="4" t="str">
        <f>IF(A74="","",COUNTIF($B$2:$B$100,"&gt;"&amp;B74)+COUNTIF($B$2:B74,B74))</f>
        <v/>
      </c>
    </row>
    <row r="75" spans="2:3" ht="14.25" customHeight="1" x14ac:dyDescent="0.45">
      <c r="B75" s="4" t="str">
        <f>IF(A75="","",COUNTIFS('INPUT-SIF_Questions'!$R$2:$R$300,A75,'INPUT-SIF_Questions'!$N$2:$N$300,1,'INPUT-SIF_Questions'!$G$2:$G$300,"Y"))</f>
        <v/>
      </c>
      <c r="C75" s="4" t="str">
        <f>IF(A75="","",COUNTIF($B$2:$B$100,"&gt;"&amp;B75)+COUNTIF($B$2:B75,B75))</f>
        <v/>
      </c>
    </row>
    <row r="76" spans="2:3" ht="14.25" customHeight="1" x14ac:dyDescent="0.45">
      <c r="B76" s="4" t="str">
        <f>IF(A76="","",COUNTIFS('INPUT-SIF_Questions'!$R$2:$R$300,A76,'INPUT-SIF_Questions'!$N$2:$N$300,1,'INPUT-SIF_Questions'!$G$2:$G$300,"Y"))</f>
        <v/>
      </c>
      <c r="C76" s="4" t="str">
        <f>IF(A76="","",COUNTIF($B$2:$B$100,"&gt;"&amp;B76)+COUNTIF($B$2:B76,B76))</f>
        <v/>
      </c>
    </row>
    <row r="77" spans="2:3" ht="14.25" customHeight="1" x14ac:dyDescent="0.45">
      <c r="B77" s="4" t="str">
        <f>IF(A77="","",COUNTIFS('INPUT-SIF_Questions'!$R$2:$R$300,A77,'INPUT-SIF_Questions'!$N$2:$N$300,1,'INPUT-SIF_Questions'!$G$2:$G$300,"Y"))</f>
        <v/>
      </c>
      <c r="C77" s="4" t="str">
        <f>IF(A77="","",COUNTIF($B$2:$B$100,"&gt;"&amp;B77)+COUNTIF($B$2:B77,B77))</f>
        <v/>
      </c>
    </row>
    <row r="78" spans="2:3" ht="14.25" customHeight="1" x14ac:dyDescent="0.45">
      <c r="B78" s="4" t="str">
        <f>IF(A78="","",COUNTIFS('INPUT-SIF_Questions'!$R$2:$R$300,A78,'INPUT-SIF_Questions'!$N$2:$N$300,1,'INPUT-SIF_Questions'!$G$2:$G$300,"Y"))</f>
        <v/>
      </c>
      <c r="C78" s="4" t="str">
        <f>IF(A78="","",COUNTIF($B$2:$B$100,"&gt;"&amp;B78)+COUNTIF($B$2:B78,B78))</f>
        <v/>
      </c>
    </row>
    <row r="79" spans="2:3" ht="14.25" customHeight="1" x14ac:dyDescent="0.45">
      <c r="B79" s="4" t="str">
        <f>IF(A79="","",COUNTIFS('INPUT-SIF_Questions'!$R$2:$R$300,A79,'INPUT-SIF_Questions'!$N$2:$N$300,1,'INPUT-SIF_Questions'!$G$2:$G$300,"Y"))</f>
        <v/>
      </c>
      <c r="C79" s="4" t="str">
        <f>IF(A79="","",COUNTIF($B$2:$B$100,"&gt;"&amp;B79)+COUNTIF($B$2:B79,B79))</f>
        <v/>
      </c>
    </row>
    <row r="80" spans="2:3" ht="14.25" customHeight="1" x14ac:dyDescent="0.45">
      <c r="B80" s="4" t="str">
        <f>IF(A80="","",COUNTIFS('INPUT-SIF_Questions'!$R$2:$R$300,A80,'INPUT-SIF_Questions'!$N$2:$N$300,1,'INPUT-SIF_Questions'!$G$2:$G$300,"Y"))</f>
        <v/>
      </c>
      <c r="C80" s="4" t="str">
        <f>IF(A80="","",COUNTIF($B$2:$B$100,"&gt;"&amp;B80)+COUNTIF($B$2:B80,B80))</f>
        <v/>
      </c>
    </row>
    <row r="81" spans="2:3" ht="14.25" customHeight="1" x14ac:dyDescent="0.45">
      <c r="B81" s="4" t="str">
        <f>IF(A81="","",COUNTIFS('INPUT-SIF_Questions'!$R$2:$R$300,A81,'INPUT-SIF_Questions'!$N$2:$N$300,1,'INPUT-SIF_Questions'!$G$2:$G$300,"Y"))</f>
        <v/>
      </c>
      <c r="C81" s="4" t="str">
        <f>IF(A81="","",COUNTIF($B$2:$B$100,"&gt;"&amp;B81)+COUNTIF($B$2:B81,B81))</f>
        <v/>
      </c>
    </row>
    <row r="82" spans="2:3" ht="14.25" customHeight="1" x14ac:dyDescent="0.45">
      <c r="B82" s="4" t="str">
        <f>IF(A82="","",COUNTIFS('INPUT-SIF_Questions'!$R$2:$R$300,A82,'INPUT-SIF_Questions'!$N$2:$N$300,1,'INPUT-SIF_Questions'!$G$2:$G$300,"Y"))</f>
        <v/>
      </c>
      <c r="C82" s="4" t="str">
        <f>IF(A82="","",COUNTIF($B$2:$B$100,"&gt;"&amp;B82)+COUNTIF($B$2:B82,B82))</f>
        <v/>
      </c>
    </row>
    <row r="83" spans="2:3" ht="14.25" customHeight="1" x14ac:dyDescent="0.45">
      <c r="B83" s="4" t="str">
        <f>IF(A83="","",COUNTIFS('INPUT-SIF_Questions'!$R$2:$R$300,A83,'INPUT-SIF_Questions'!$N$2:$N$300,1,'INPUT-SIF_Questions'!$G$2:$G$300,"Y"))</f>
        <v/>
      </c>
      <c r="C83" s="4" t="str">
        <f>IF(A83="","",COUNTIF($B$2:$B$100,"&gt;"&amp;B83)+COUNTIF($B$2:B83,B83))</f>
        <v/>
      </c>
    </row>
    <row r="84" spans="2:3" ht="14.25" customHeight="1" x14ac:dyDescent="0.45">
      <c r="B84" s="4" t="str">
        <f>IF(A84="","",COUNTIFS('INPUT-SIF_Questions'!$R$2:$R$300,A84,'INPUT-SIF_Questions'!$N$2:$N$300,1,'INPUT-SIF_Questions'!$G$2:$G$300,"Y"))</f>
        <v/>
      </c>
      <c r="C84" s="4" t="str">
        <f>IF(A84="","",COUNTIF($B$2:$B$100,"&gt;"&amp;B84)+COUNTIF($B$2:B84,B84))</f>
        <v/>
      </c>
    </row>
    <row r="85" spans="2:3" ht="14.25" customHeight="1" x14ac:dyDescent="0.45">
      <c r="B85" s="4" t="str">
        <f>IF(A85="","",COUNTIFS('INPUT-SIF_Questions'!$R$2:$R$300,A85,'INPUT-SIF_Questions'!$N$2:$N$300,1,'INPUT-SIF_Questions'!$G$2:$G$300,"Y"))</f>
        <v/>
      </c>
      <c r="C85" s="4" t="str">
        <f>IF(A85="","",COUNTIF($B$2:$B$100,"&gt;"&amp;B85)+COUNTIF($B$2:B85,B85))</f>
        <v/>
      </c>
    </row>
    <row r="86" spans="2:3" ht="14.25" customHeight="1" x14ac:dyDescent="0.45">
      <c r="B86" s="4" t="str">
        <f>IF(A86="","",COUNTIFS('INPUT-SIF_Questions'!$R$2:$R$300,A86,'INPUT-SIF_Questions'!$N$2:$N$300,1,'INPUT-SIF_Questions'!$G$2:$G$300,"Y"))</f>
        <v/>
      </c>
      <c r="C86" s="4" t="str">
        <f>IF(A86="","",COUNTIF($B$2:$B$100,"&gt;"&amp;B86)+COUNTIF($B$2:B86,B86))</f>
        <v/>
      </c>
    </row>
    <row r="87" spans="2:3" ht="14.25" customHeight="1" x14ac:dyDescent="0.45">
      <c r="B87" s="4" t="str">
        <f>IF(A87="","",COUNTIFS('INPUT-SIF_Questions'!$R$2:$R$300,A87,'INPUT-SIF_Questions'!$N$2:$N$300,1,'INPUT-SIF_Questions'!$G$2:$G$300,"Y"))</f>
        <v/>
      </c>
      <c r="C87" s="4" t="str">
        <f>IF(A87="","",COUNTIF($B$2:$B$100,"&gt;"&amp;B87)+COUNTIF($B$2:B87,B87))</f>
        <v/>
      </c>
    </row>
    <row r="88" spans="2:3" ht="14.25" customHeight="1" x14ac:dyDescent="0.45">
      <c r="B88" s="4" t="str">
        <f>IF(A88="","",COUNTIFS('INPUT-SIF_Questions'!$R$2:$R$300,A88,'INPUT-SIF_Questions'!$N$2:$N$300,1,'INPUT-SIF_Questions'!$G$2:$G$300,"Y"))</f>
        <v/>
      </c>
      <c r="C88" s="4" t="str">
        <f>IF(A88="","",COUNTIF($B$2:$B$100,"&gt;"&amp;B88)+COUNTIF($B$2:B88,B88))</f>
        <v/>
      </c>
    </row>
    <row r="89" spans="2:3" ht="14.25" customHeight="1" x14ac:dyDescent="0.45">
      <c r="B89" s="4" t="str">
        <f>IF(A89="","",COUNTIFS('INPUT-SIF_Questions'!$R$2:$R$300,A89,'INPUT-SIF_Questions'!$N$2:$N$300,1,'INPUT-SIF_Questions'!$G$2:$G$300,"Y"))</f>
        <v/>
      </c>
      <c r="C89" s="4" t="str">
        <f>IF(A89="","",COUNTIF($B$2:$B$100,"&gt;"&amp;B89)+COUNTIF($B$2:B89,B89))</f>
        <v/>
      </c>
    </row>
    <row r="90" spans="2:3" ht="14.25" customHeight="1" x14ac:dyDescent="0.45">
      <c r="B90" s="4" t="str">
        <f>IF(A90="","",COUNTIFS('INPUT-SIF_Questions'!$R$2:$R$300,A90,'INPUT-SIF_Questions'!$N$2:$N$300,1,'INPUT-SIF_Questions'!$G$2:$G$300,"Y"))</f>
        <v/>
      </c>
      <c r="C90" s="4" t="str">
        <f>IF(A90="","",COUNTIF($B$2:$B$100,"&gt;"&amp;B90)+COUNTIF($B$2:B90,B90))</f>
        <v/>
      </c>
    </row>
    <row r="91" spans="2:3" ht="14.25" customHeight="1" x14ac:dyDescent="0.45">
      <c r="B91" s="4" t="str">
        <f>IF(A91="","",COUNTIFS('INPUT-SIF_Questions'!$R$2:$R$300,A91,'INPUT-SIF_Questions'!$N$2:$N$300,1,'INPUT-SIF_Questions'!$G$2:$G$300,"Y"))</f>
        <v/>
      </c>
      <c r="C91" s="4" t="str">
        <f>IF(A91="","",COUNTIF($B$2:$B$100,"&gt;"&amp;B91)+COUNTIF($B$2:B91,B91))</f>
        <v/>
      </c>
    </row>
    <row r="92" spans="2:3" ht="14.25" customHeight="1" x14ac:dyDescent="0.45">
      <c r="B92" s="4" t="str">
        <f>IF(A92="","",COUNTIFS('INPUT-SIF_Questions'!$R$2:$R$300,A92,'INPUT-SIF_Questions'!$N$2:$N$300,1,'INPUT-SIF_Questions'!$G$2:$G$300,"Y"))</f>
        <v/>
      </c>
      <c r="C92" s="4" t="str">
        <f>IF(A92="","",COUNTIF($B$2:$B$100,"&gt;"&amp;B92)+COUNTIF($B$2:B92,B92))</f>
        <v/>
      </c>
    </row>
    <row r="93" spans="2:3" ht="14.25" customHeight="1" x14ac:dyDescent="0.45">
      <c r="B93" s="4" t="str">
        <f>IF(A93="","",COUNTIFS('INPUT-SIF_Questions'!$R$2:$R$300,A93,'INPUT-SIF_Questions'!$N$2:$N$300,1,'INPUT-SIF_Questions'!$G$2:$G$300,"Y"))</f>
        <v/>
      </c>
      <c r="C93" s="4" t="str">
        <f>IF(A93="","",COUNTIF($B$2:$B$100,"&gt;"&amp;B93)+COUNTIF($B$2:B93,B93))</f>
        <v/>
      </c>
    </row>
    <row r="94" spans="2:3" ht="14.25" customHeight="1" x14ac:dyDescent="0.45">
      <c r="B94" s="4" t="str">
        <f>IF(A94="","",COUNTIFS('INPUT-SIF_Questions'!$R$2:$R$300,A94,'INPUT-SIF_Questions'!$N$2:$N$300,1,'INPUT-SIF_Questions'!$G$2:$G$300,"Y"))</f>
        <v/>
      </c>
      <c r="C94" s="4" t="str">
        <f>IF(A94="","",COUNTIF($B$2:$B$100,"&gt;"&amp;B94)+COUNTIF($B$2:B94,B94))</f>
        <v/>
      </c>
    </row>
    <row r="95" spans="2:3" ht="14.25" customHeight="1" x14ac:dyDescent="0.45">
      <c r="B95" s="4" t="str">
        <f>IF(A95="","",COUNTIFS('INPUT-SIF_Questions'!$R$2:$R$300,A95,'INPUT-SIF_Questions'!$N$2:$N$300,1,'INPUT-SIF_Questions'!$G$2:$G$300,"Y"))</f>
        <v/>
      </c>
      <c r="C95" s="4" t="str">
        <f>IF(A95="","",COUNTIF($B$2:$B$100,"&gt;"&amp;B95)+COUNTIF($B$2:B95,B95))</f>
        <v/>
      </c>
    </row>
    <row r="96" spans="2:3" ht="14.25" customHeight="1" x14ac:dyDescent="0.45">
      <c r="B96" s="4" t="str">
        <f>IF(A96="","",COUNTIFS('INPUT-SIF_Questions'!$R$2:$R$300,A96,'INPUT-SIF_Questions'!$N$2:$N$300,1,'INPUT-SIF_Questions'!$G$2:$G$300,"Y"))</f>
        <v/>
      </c>
      <c r="C96" s="4" t="str">
        <f>IF(A96="","",COUNTIF($B$2:$B$100,"&gt;"&amp;B96)+COUNTIF($B$2:B96,B96))</f>
        <v/>
      </c>
    </row>
    <row r="97" spans="2:3" ht="14.25" customHeight="1" x14ac:dyDescent="0.45">
      <c r="B97" s="4" t="str">
        <f>IF(A97="","",COUNTIFS('INPUT-SIF_Questions'!$R$2:$R$300,A97,'INPUT-SIF_Questions'!$N$2:$N$300,1,'INPUT-SIF_Questions'!$G$2:$G$300,"Y"))</f>
        <v/>
      </c>
      <c r="C97" s="4" t="str">
        <f>IF(A97="","",COUNTIF($B$2:$B$100,"&gt;"&amp;B97)+COUNTIF($B$2:B97,B97))</f>
        <v/>
      </c>
    </row>
    <row r="98" spans="2:3" ht="14.25" customHeight="1" x14ac:dyDescent="0.45">
      <c r="B98" s="4" t="str">
        <f>IF(A98="","",COUNTIFS('INPUT-SIF_Questions'!$R$2:$R$300,A98,'INPUT-SIF_Questions'!$N$2:$N$300,1,'INPUT-SIF_Questions'!$G$2:$G$300,"Y"))</f>
        <v/>
      </c>
      <c r="C98" s="4" t="str">
        <f>IF(A98="","",COUNTIF($B$2:$B$100,"&gt;"&amp;B98)+COUNTIF($B$2:B98,B98))</f>
        <v/>
      </c>
    </row>
    <row r="99" spans="2:3" ht="14.25" customHeight="1" x14ac:dyDescent="0.45">
      <c r="B99" s="4" t="str">
        <f>IF(A99="","",COUNTIFS('INPUT-SIF_Questions'!$R$2:$R$300,A99,'INPUT-SIF_Questions'!$N$2:$N$300,1,'INPUT-SIF_Questions'!$G$2:$G$300,"Y"))</f>
        <v/>
      </c>
      <c r="C99" s="4" t="str">
        <f>IF(A99="","",COUNTIF($B$2:$B$100,"&gt;"&amp;B99)+COUNTIF($B$2:B99,B99))</f>
        <v/>
      </c>
    </row>
    <row r="100" spans="2:3" ht="14.25" customHeight="1" x14ac:dyDescent="0.45">
      <c r="B100" s="4" t="str">
        <f>IF(A100="","",COUNTIFS('INPUT-SIF_Questions'!$R$2:$R$300,A100,'INPUT-SIF_Questions'!$N$2:$N$300,1,'INPUT-SIF_Questions'!$G$2:$G$300,"Y"))</f>
        <v/>
      </c>
      <c r="C100" s="4" t="str">
        <f>IF(A100="","",COUNTIF($B$2:$B$100,"&gt;"&amp;B100)+COUNTIF($B$2:B100,B100))</f>
        <v/>
      </c>
    </row>
  </sheetData>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250"/>
  <sheetViews>
    <sheetView zoomScaleNormal="100" workbookViewId="0"/>
  </sheetViews>
  <sheetFormatPr defaultColWidth="8.6640625" defaultRowHeight="14.25" customHeight="1" x14ac:dyDescent="0.45"/>
  <cols>
    <col min="1" max="1" width="12" style="4" customWidth="1"/>
    <col min="2" max="2" width="14" style="4" customWidth="1"/>
    <col min="3" max="3" width="12" style="4" customWidth="1"/>
    <col min="4" max="4" width="15" style="4" customWidth="1"/>
    <col min="5" max="5" width="16" style="4" customWidth="1"/>
    <col min="6" max="6" width="15" style="4" customWidth="1"/>
    <col min="7" max="7" width="12" style="4" customWidth="1"/>
    <col min="8" max="8" width="22" style="4" customWidth="1"/>
    <col min="9" max="9" width="19" style="4" customWidth="1"/>
    <col min="10" max="10" width="26" style="4" customWidth="1"/>
    <col min="11" max="11" width="15" style="4" customWidth="1"/>
    <col min="12" max="12" width="55" style="4" customWidth="1"/>
  </cols>
  <sheetData>
    <row r="1" spans="1:12" ht="27.75" customHeight="1" x14ac:dyDescent="0.45">
      <c r="A1" s="54" t="s">
        <v>2155</v>
      </c>
      <c r="B1" s="54" t="s">
        <v>0</v>
      </c>
      <c r="C1" s="54" t="s">
        <v>9</v>
      </c>
      <c r="D1" s="54" t="s">
        <v>1951</v>
      </c>
      <c r="E1" s="54" t="s">
        <v>10</v>
      </c>
      <c r="F1" s="54" t="s">
        <v>2156</v>
      </c>
      <c r="G1" s="54" t="s">
        <v>2157</v>
      </c>
      <c r="H1" s="54" t="s">
        <v>2158</v>
      </c>
      <c r="I1" s="54" t="s">
        <v>2159</v>
      </c>
      <c r="J1" s="54" t="s">
        <v>2160</v>
      </c>
      <c r="K1" s="54" t="s">
        <v>2161</v>
      </c>
      <c r="L1" s="54" t="s">
        <v>1964</v>
      </c>
    </row>
    <row r="2" spans="1:12" ht="14.25" customHeight="1" x14ac:dyDescent="0.45">
      <c r="A2" s="4">
        <f>IF('INPUT-SIF_Questions'!A2="","",ROW())</f>
        <v>2</v>
      </c>
      <c r="B2" s="4" t="str">
        <f>IF(A2="","",'INPUT-SIF_Questions'!A2)</f>
        <v>OBS-001</v>
      </c>
      <c r="C2" s="4" t="str">
        <f>IF(A2="","",'INPUT-SIF_Questions'!J2)</f>
        <v>A</v>
      </c>
      <c r="D2" s="4" t="str">
        <f>IF(A2="","",'INPUT-SIF_Questions'!H2)</f>
        <v>WAH</v>
      </c>
      <c r="E2" s="4" t="str">
        <f>IF(A2="","",'INPUT-SIF_Questions'!K2)</f>
        <v>CLSR07-A</v>
      </c>
      <c r="F2" s="4" t="str">
        <f>IF(D2="","",IFERROR(VLOOKUP(D2,Helper_Protocol_Map!$A$2:$B$11,2,FALSE()),"OTHER"))</f>
        <v>CLSR07</v>
      </c>
      <c r="G2" s="4">
        <f>IF(A2="","",N('INPUT-SIF_Questions'!M2)+N('INPUT-SIF_Questions'!N2)+N('INPUT-SIF_Questions'!O2))</f>
        <v>1</v>
      </c>
      <c r="H2" s="4" t="str">
        <f t="shared" ref="H2:H65" si="0">IF(A2="","",IF(LEFT(E2,6)=F2,"PASS","FAIL"))</f>
        <v>PASS</v>
      </c>
      <c r="I2" s="4" t="str">
        <f t="shared" ref="I2:I65" si="1">IF(A2="","",IF(G2=1,"PASS","FAIL"))</f>
        <v>PASS</v>
      </c>
      <c r="J2" s="4" t="str">
        <f>IF(A2="","",IF(AND('INPUT-SIF_Questions'!S2&lt;&gt;"",'INPUT-SIF_Questions'!V2&lt;&gt;"",'INPUT-SIF_Questions'!W2&lt;&gt;""),"PASS","WARNING"))</f>
        <v>PASS</v>
      </c>
      <c r="K2" s="4" t="str">
        <f t="shared" ref="K2:K65" si="2">IF(A2="","",IF(OR(H2="FAIL",I2="FAIL"),"FAIL",IF(J2="WARNING","WARNING","PASS")))</f>
        <v>PASS</v>
      </c>
      <c r="L2" s="4" t="str">
        <f t="shared" ref="L2:L65" si="3">IF(A2="","",IF(H2="FAIL","Protocol/CCVC mismatch; ","")&amp;IF(I2="FAIL","YES/NO/NA selection invalid; ","")&amp;IF(J2="WARNING","Date/Zona/Site incomplete",""))</f>
        <v/>
      </c>
    </row>
    <row r="3" spans="1:12" ht="14.25" customHeight="1" x14ac:dyDescent="0.45">
      <c r="A3" s="4">
        <f>IF('INPUT-SIF_Questions'!A3="","",ROW())</f>
        <v>3</v>
      </c>
      <c r="B3" s="4" t="str">
        <f>IF(A3="","",'INPUT-SIF_Questions'!A3)</f>
        <v>OBS-001</v>
      </c>
      <c r="C3" s="4" t="str">
        <f>IF(A3="","",'INPUT-SIF_Questions'!J3)</f>
        <v>B</v>
      </c>
      <c r="D3" s="4" t="str">
        <f>IF(A3="","",'INPUT-SIF_Questions'!H3)</f>
        <v>WAH</v>
      </c>
      <c r="E3" s="4" t="str">
        <f>IF(A3="","",'INPUT-SIF_Questions'!K3)</f>
        <v>CLSR07-B</v>
      </c>
      <c r="F3" s="4" t="str">
        <f>IF(D3="","",IFERROR(VLOOKUP(D3,Helper_Protocol_Map!$A$2:$B$11,2,FALSE()),"OTHER"))</f>
        <v>CLSR07</v>
      </c>
      <c r="G3" s="4">
        <f>IF(A3="","",N('INPUT-SIF_Questions'!M3)+N('INPUT-SIF_Questions'!N3)+N('INPUT-SIF_Questions'!O3))</f>
        <v>1</v>
      </c>
      <c r="H3" s="4" t="str">
        <f t="shared" si="0"/>
        <v>PASS</v>
      </c>
      <c r="I3" s="4" t="str">
        <f t="shared" si="1"/>
        <v>PASS</v>
      </c>
      <c r="J3" s="4" t="str">
        <f>IF(A3="","",IF(AND('INPUT-SIF_Questions'!S3&lt;&gt;"",'INPUT-SIF_Questions'!V3&lt;&gt;"",'INPUT-SIF_Questions'!W3&lt;&gt;""),"PASS","WARNING"))</f>
        <v>PASS</v>
      </c>
      <c r="K3" s="4" t="str">
        <f t="shared" si="2"/>
        <v>PASS</v>
      </c>
      <c r="L3" s="4" t="str">
        <f t="shared" si="3"/>
        <v/>
      </c>
    </row>
    <row r="4" spans="1:12" ht="14.25" customHeight="1" x14ac:dyDescent="0.45">
      <c r="A4" s="4">
        <f>IF('INPUT-SIF_Questions'!A4="","",ROW())</f>
        <v>4</v>
      </c>
      <c r="B4" s="4" t="str">
        <f>IF(A4="","",'INPUT-SIF_Questions'!A4)</f>
        <v>OBS-001</v>
      </c>
      <c r="C4" s="4" t="str">
        <f>IF(A4="","",'INPUT-SIF_Questions'!J4)</f>
        <v>C</v>
      </c>
      <c r="D4" s="4" t="str">
        <f>IF(A4="","",'INPUT-SIF_Questions'!H4)</f>
        <v>WAH</v>
      </c>
      <c r="E4" s="4" t="str">
        <f>IF(A4="","",'INPUT-SIF_Questions'!K4)</f>
        <v>CLSR07-C</v>
      </c>
      <c r="F4" s="4" t="str">
        <f>IF(D4="","",IFERROR(VLOOKUP(D4,Helper_Protocol_Map!$A$2:$B$11,2,FALSE()),"OTHER"))</f>
        <v>CLSR07</v>
      </c>
      <c r="G4" s="4">
        <f>IF(A4="","",N('INPUT-SIF_Questions'!M4)+N('INPUT-SIF_Questions'!N4)+N('INPUT-SIF_Questions'!O4))</f>
        <v>1</v>
      </c>
      <c r="H4" s="4" t="str">
        <f t="shared" si="0"/>
        <v>PASS</v>
      </c>
      <c r="I4" s="4" t="str">
        <f t="shared" si="1"/>
        <v>PASS</v>
      </c>
      <c r="J4" s="4" t="str">
        <f>IF(A4="","",IF(AND('INPUT-SIF_Questions'!S4&lt;&gt;"",'INPUT-SIF_Questions'!V4&lt;&gt;"",'INPUT-SIF_Questions'!W4&lt;&gt;""),"PASS","WARNING"))</f>
        <v>PASS</v>
      </c>
      <c r="K4" s="4" t="str">
        <f t="shared" si="2"/>
        <v>PASS</v>
      </c>
      <c r="L4" s="4" t="str">
        <f t="shared" si="3"/>
        <v/>
      </c>
    </row>
    <row r="5" spans="1:12" ht="14.25" customHeight="1" x14ac:dyDescent="0.45">
      <c r="A5" s="4">
        <f>IF('INPUT-SIF_Questions'!A5="","",ROW())</f>
        <v>5</v>
      </c>
      <c r="B5" s="4" t="str">
        <f>IF(A5="","",'INPUT-SIF_Questions'!A5)</f>
        <v>OBS-001</v>
      </c>
      <c r="C5" s="4" t="str">
        <f>IF(A5="","",'INPUT-SIF_Questions'!J5)</f>
        <v>D</v>
      </c>
      <c r="D5" s="4" t="str">
        <f>IF(A5="","",'INPUT-SIF_Questions'!H5)</f>
        <v>WAH</v>
      </c>
      <c r="E5" s="4" t="str">
        <f>IF(A5="","",'INPUT-SIF_Questions'!K5)</f>
        <v>CLSR07-D</v>
      </c>
      <c r="F5" s="4" t="str">
        <f>IF(D5="","",IFERROR(VLOOKUP(D5,Helper_Protocol_Map!$A$2:$B$11,2,FALSE()),"OTHER"))</f>
        <v>CLSR07</v>
      </c>
      <c r="G5" s="4">
        <f>IF(A5="","",N('INPUT-SIF_Questions'!M5)+N('INPUT-SIF_Questions'!N5)+N('INPUT-SIF_Questions'!O5))</f>
        <v>1</v>
      </c>
      <c r="H5" s="4" t="str">
        <f t="shared" si="0"/>
        <v>PASS</v>
      </c>
      <c r="I5" s="4" t="str">
        <f t="shared" si="1"/>
        <v>PASS</v>
      </c>
      <c r="J5" s="4" t="str">
        <f>IF(A5="","",IF(AND('INPUT-SIF_Questions'!S5&lt;&gt;"",'INPUT-SIF_Questions'!V5&lt;&gt;"",'INPUT-SIF_Questions'!W5&lt;&gt;""),"PASS","WARNING"))</f>
        <v>PASS</v>
      </c>
      <c r="K5" s="4" t="str">
        <f t="shared" si="2"/>
        <v>PASS</v>
      </c>
      <c r="L5" s="4" t="str">
        <f t="shared" si="3"/>
        <v/>
      </c>
    </row>
    <row r="6" spans="1:12" ht="14.25" customHeight="1" x14ac:dyDescent="0.45">
      <c r="A6" s="4">
        <f>IF('INPUT-SIF_Questions'!A6="","",ROW())</f>
        <v>6</v>
      </c>
      <c r="B6" s="4" t="str">
        <f>IF(A6="","",'INPUT-SIF_Questions'!A6)</f>
        <v>OBS-001</v>
      </c>
      <c r="C6" s="4" t="str">
        <f>IF(A6="","",'INPUT-SIF_Questions'!J6)</f>
        <v>E</v>
      </c>
      <c r="D6" s="4" t="str">
        <f>IF(A6="","",'INPUT-SIF_Questions'!H6)</f>
        <v>WAH</v>
      </c>
      <c r="E6" s="4" t="str">
        <f>IF(A6="","",'INPUT-SIF_Questions'!K6)</f>
        <v>CLSR07-E</v>
      </c>
      <c r="F6" s="4" t="str">
        <f>IF(D6="","",IFERROR(VLOOKUP(D6,Helper_Protocol_Map!$A$2:$B$11,2,FALSE()),"OTHER"))</f>
        <v>CLSR07</v>
      </c>
      <c r="G6" s="4">
        <f>IF(A6="","",N('INPUT-SIF_Questions'!M6)+N('INPUT-SIF_Questions'!N6)+N('INPUT-SIF_Questions'!O6))</f>
        <v>1</v>
      </c>
      <c r="H6" s="4" t="str">
        <f t="shared" si="0"/>
        <v>PASS</v>
      </c>
      <c r="I6" s="4" t="str">
        <f t="shared" si="1"/>
        <v>PASS</v>
      </c>
      <c r="J6" s="4" t="str">
        <f>IF(A6="","",IF(AND('INPUT-SIF_Questions'!S6&lt;&gt;"",'INPUT-SIF_Questions'!V6&lt;&gt;"",'INPUT-SIF_Questions'!W6&lt;&gt;""),"PASS","WARNING"))</f>
        <v>PASS</v>
      </c>
      <c r="K6" s="4" t="str">
        <f t="shared" si="2"/>
        <v>PASS</v>
      </c>
      <c r="L6" s="4" t="str">
        <f t="shared" si="3"/>
        <v/>
      </c>
    </row>
    <row r="7" spans="1:12" ht="14.25" customHeight="1" x14ac:dyDescent="0.45">
      <c r="A7" s="4">
        <f>IF('INPUT-SIF_Questions'!A7="","",ROW())</f>
        <v>7</v>
      </c>
      <c r="B7" s="4" t="str">
        <f>IF(A7="","",'INPUT-SIF_Questions'!A7)</f>
        <v>OBS-001</v>
      </c>
      <c r="C7" s="4" t="str">
        <f>IF(A7="","",'INPUT-SIF_Questions'!J7)</f>
        <v>F</v>
      </c>
      <c r="D7" s="4" t="str">
        <f>IF(A7="","",'INPUT-SIF_Questions'!H7)</f>
        <v>WAH</v>
      </c>
      <c r="E7" s="4" t="str">
        <f>IF(A7="","",'INPUT-SIF_Questions'!K7)</f>
        <v>CLSR07-F</v>
      </c>
      <c r="F7" s="4" t="str">
        <f>IF(D7="","",IFERROR(VLOOKUP(D7,Helper_Protocol_Map!$A$2:$B$11,2,FALSE()),"OTHER"))</f>
        <v>CLSR07</v>
      </c>
      <c r="G7" s="4">
        <f>IF(A7="","",N('INPUT-SIF_Questions'!M7)+N('INPUT-SIF_Questions'!N7)+N('INPUT-SIF_Questions'!O7))</f>
        <v>1</v>
      </c>
      <c r="H7" s="4" t="str">
        <f t="shared" si="0"/>
        <v>PASS</v>
      </c>
      <c r="I7" s="4" t="str">
        <f t="shared" si="1"/>
        <v>PASS</v>
      </c>
      <c r="J7" s="4" t="str">
        <f>IF(A7="","",IF(AND('INPUT-SIF_Questions'!S7&lt;&gt;"",'INPUT-SIF_Questions'!V7&lt;&gt;"",'INPUT-SIF_Questions'!W7&lt;&gt;""),"PASS","WARNING"))</f>
        <v>PASS</v>
      </c>
      <c r="K7" s="4" t="str">
        <f t="shared" si="2"/>
        <v>PASS</v>
      </c>
      <c r="L7" s="4" t="str">
        <f t="shared" si="3"/>
        <v/>
      </c>
    </row>
    <row r="8" spans="1:12" ht="14.25" customHeight="1" x14ac:dyDescent="0.45">
      <c r="A8" s="4">
        <f>IF('INPUT-SIF_Questions'!A8="","",ROW())</f>
        <v>8</v>
      </c>
      <c r="B8" s="4" t="str">
        <f>IF(A8="","",'INPUT-SIF_Questions'!A8)</f>
        <v>OBS-001</v>
      </c>
      <c r="C8" s="4" t="str">
        <f>IF(A8="","",'INPUT-SIF_Questions'!J8)</f>
        <v>G</v>
      </c>
      <c r="D8" s="4" t="str">
        <f>IF(A8="","",'INPUT-SIF_Questions'!H8)</f>
        <v>WAH</v>
      </c>
      <c r="E8" s="4" t="str">
        <f>IF(A8="","",'INPUT-SIF_Questions'!K8)</f>
        <v>CLSR07-G</v>
      </c>
      <c r="F8" s="4" t="str">
        <f>IF(D8="","",IFERROR(VLOOKUP(D8,Helper_Protocol_Map!$A$2:$B$11,2,FALSE()),"OTHER"))</f>
        <v>CLSR07</v>
      </c>
      <c r="G8" s="4">
        <f>IF(A8="","",N('INPUT-SIF_Questions'!M8)+N('INPUT-SIF_Questions'!N8)+N('INPUT-SIF_Questions'!O8))</f>
        <v>1</v>
      </c>
      <c r="H8" s="4" t="str">
        <f t="shared" si="0"/>
        <v>PASS</v>
      </c>
      <c r="I8" s="4" t="str">
        <f t="shared" si="1"/>
        <v>PASS</v>
      </c>
      <c r="J8" s="4" t="str">
        <f>IF(A8="","",IF(AND('INPUT-SIF_Questions'!S8&lt;&gt;"",'INPUT-SIF_Questions'!V8&lt;&gt;"",'INPUT-SIF_Questions'!W8&lt;&gt;""),"PASS","WARNING"))</f>
        <v>PASS</v>
      </c>
      <c r="K8" s="4" t="str">
        <f t="shared" si="2"/>
        <v>PASS</v>
      </c>
      <c r="L8" s="4" t="str">
        <f t="shared" si="3"/>
        <v/>
      </c>
    </row>
    <row r="9" spans="1:12" ht="14.25" customHeight="1" x14ac:dyDescent="0.45">
      <c r="A9" s="4">
        <f>IF('INPUT-SIF_Questions'!A9="","",ROW())</f>
        <v>9</v>
      </c>
      <c r="B9" s="4" t="str">
        <f>IF(A9="","",'INPUT-SIF_Questions'!A9)</f>
        <v>OBS-001</v>
      </c>
      <c r="C9" s="4" t="str">
        <f>IF(A9="","",'INPUT-SIF_Questions'!J9)</f>
        <v>H</v>
      </c>
      <c r="D9" s="4" t="str">
        <f>IF(A9="","",'INPUT-SIF_Questions'!H9)</f>
        <v>WAH</v>
      </c>
      <c r="E9" s="4" t="str">
        <f>IF(A9="","",'INPUT-SIF_Questions'!K9)</f>
        <v>CLSR07-H</v>
      </c>
      <c r="F9" s="4" t="str">
        <f>IF(D9="","",IFERROR(VLOOKUP(D9,Helper_Protocol_Map!$A$2:$B$11,2,FALSE()),"OTHER"))</f>
        <v>CLSR07</v>
      </c>
      <c r="G9" s="4">
        <f>IF(A9="","",N('INPUT-SIF_Questions'!M9)+N('INPUT-SIF_Questions'!N9)+N('INPUT-SIF_Questions'!O9))</f>
        <v>1</v>
      </c>
      <c r="H9" s="4" t="str">
        <f t="shared" si="0"/>
        <v>PASS</v>
      </c>
      <c r="I9" s="4" t="str">
        <f t="shared" si="1"/>
        <v>PASS</v>
      </c>
      <c r="J9" s="4" t="str">
        <f>IF(A9="","",IF(AND('INPUT-SIF_Questions'!S9&lt;&gt;"",'INPUT-SIF_Questions'!V9&lt;&gt;"",'INPUT-SIF_Questions'!W9&lt;&gt;""),"PASS","WARNING"))</f>
        <v>PASS</v>
      </c>
      <c r="K9" s="4" t="str">
        <f t="shared" si="2"/>
        <v>PASS</v>
      </c>
      <c r="L9" s="4" t="str">
        <f t="shared" si="3"/>
        <v/>
      </c>
    </row>
    <row r="10" spans="1:12" ht="14.25" customHeight="1" x14ac:dyDescent="0.45">
      <c r="A10" s="4">
        <f>IF('INPUT-SIF_Questions'!A10="","",ROW())</f>
        <v>10</v>
      </c>
      <c r="B10" s="4" t="str">
        <f>IF(A10="","",'INPUT-SIF_Questions'!A10)</f>
        <v>OBS-001</v>
      </c>
      <c r="C10" s="4" t="str">
        <f>IF(A10="","",'INPUT-SIF_Questions'!J10)</f>
        <v>I</v>
      </c>
      <c r="D10" s="4" t="str">
        <f>IF(A10="","",'INPUT-SIF_Questions'!H10)</f>
        <v>WAH</v>
      </c>
      <c r="E10" s="4" t="str">
        <f>IF(A10="","",'INPUT-SIF_Questions'!K10)</f>
        <v>CLSR07-I</v>
      </c>
      <c r="F10" s="4" t="str">
        <f>IF(D10="","",IFERROR(VLOOKUP(D10,Helper_Protocol_Map!$A$2:$B$11,2,FALSE()),"OTHER"))</f>
        <v>CLSR07</v>
      </c>
      <c r="G10" s="4">
        <f>IF(A10="","",N('INPUT-SIF_Questions'!M10)+N('INPUT-SIF_Questions'!N10)+N('INPUT-SIF_Questions'!O10))</f>
        <v>1</v>
      </c>
      <c r="H10" s="4" t="str">
        <f t="shared" si="0"/>
        <v>PASS</v>
      </c>
      <c r="I10" s="4" t="str">
        <f t="shared" si="1"/>
        <v>PASS</v>
      </c>
      <c r="J10" s="4" t="str">
        <f>IF(A10="","",IF(AND('INPUT-SIF_Questions'!S10&lt;&gt;"",'INPUT-SIF_Questions'!V10&lt;&gt;"",'INPUT-SIF_Questions'!W10&lt;&gt;""),"PASS","WARNING"))</f>
        <v>PASS</v>
      </c>
      <c r="K10" s="4" t="str">
        <f t="shared" si="2"/>
        <v>PASS</v>
      </c>
      <c r="L10" s="4" t="str">
        <f t="shared" si="3"/>
        <v/>
      </c>
    </row>
    <row r="11" spans="1:12" ht="14.25" customHeight="1" x14ac:dyDescent="0.45">
      <c r="A11" s="4">
        <f>IF('INPUT-SIF_Questions'!A11="","",ROW())</f>
        <v>11</v>
      </c>
      <c r="B11" s="4" t="str">
        <f>IF(A11="","",'INPUT-SIF_Questions'!A11)</f>
        <v>OBS-002</v>
      </c>
      <c r="C11" s="4" t="str">
        <f>IF(A11="","",'INPUT-SIF_Questions'!J11)</f>
        <v>A</v>
      </c>
      <c r="D11" s="4" t="str">
        <f>IF(A11="","",'INPUT-SIF_Questions'!H11)</f>
        <v>IHE</v>
      </c>
      <c r="E11" s="4" t="str">
        <f>IF(A11="","",'INPUT-SIF_Questions'!K11)</f>
        <v>CLSR05-A</v>
      </c>
      <c r="F11" s="4" t="str">
        <f>IF(D11="","",IFERROR(VLOOKUP(D11,Helper_Protocol_Map!$A$2:$B$11,2,FALSE()),"OTHER"))</f>
        <v>CLSR05</v>
      </c>
      <c r="G11" s="4">
        <f>IF(A11="","",N('INPUT-SIF_Questions'!M11)+N('INPUT-SIF_Questions'!N11)+N('INPUT-SIF_Questions'!O11))</f>
        <v>1</v>
      </c>
      <c r="H11" s="4" t="str">
        <f t="shared" si="0"/>
        <v>PASS</v>
      </c>
      <c r="I11" s="4" t="str">
        <f t="shared" si="1"/>
        <v>PASS</v>
      </c>
      <c r="J11" s="4" t="str">
        <f>IF(A11="","",IF(AND('INPUT-SIF_Questions'!S11&lt;&gt;"",'INPUT-SIF_Questions'!V11&lt;&gt;"",'INPUT-SIF_Questions'!W11&lt;&gt;""),"PASS","WARNING"))</f>
        <v>PASS</v>
      </c>
      <c r="K11" s="4" t="str">
        <f t="shared" si="2"/>
        <v>PASS</v>
      </c>
      <c r="L11" s="4" t="str">
        <f t="shared" si="3"/>
        <v/>
      </c>
    </row>
    <row r="12" spans="1:12" ht="14.25" customHeight="1" x14ac:dyDescent="0.45">
      <c r="A12" s="4">
        <f>IF('INPUT-SIF_Questions'!A12="","",ROW())</f>
        <v>12</v>
      </c>
      <c r="B12" s="4" t="str">
        <f>IF(A12="","",'INPUT-SIF_Questions'!A12)</f>
        <v>OBS-002</v>
      </c>
      <c r="C12" s="4" t="str">
        <f>IF(A12="","",'INPUT-SIF_Questions'!J12)</f>
        <v>B</v>
      </c>
      <c r="D12" s="4" t="str">
        <f>IF(A12="","",'INPUT-SIF_Questions'!H12)</f>
        <v>IHE</v>
      </c>
      <c r="E12" s="4" t="str">
        <f>IF(A12="","",'INPUT-SIF_Questions'!K12)</f>
        <v>CLSR05-B</v>
      </c>
      <c r="F12" s="4" t="str">
        <f>IF(D12="","",IFERROR(VLOOKUP(D12,Helper_Protocol_Map!$A$2:$B$11,2,FALSE()),"OTHER"))</f>
        <v>CLSR05</v>
      </c>
      <c r="G12" s="4">
        <f>IF(A12="","",N('INPUT-SIF_Questions'!M12)+N('INPUT-SIF_Questions'!N12)+N('INPUT-SIF_Questions'!O12))</f>
        <v>1</v>
      </c>
      <c r="H12" s="4" t="str">
        <f t="shared" si="0"/>
        <v>PASS</v>
      </c>
      <c r="I12" s="4" t="str">
        <f t="shared" si="1"/>
        <v>PASS</v>
      </c>
      <c r="J12" s="4" t="str">
        <f>IF(A12="","",IF(AND('INPUT-SIF_Questions'!S12&lt;&gt;"",'INPUT-SIF_Questions'!V12&lt;&gt;"",'INPUT-SIF_Questions'!W12&lt;&gt;""),"PASS","WARNING"))</f>
        <v>PASS</v>
      </c>
      <c r="K12" s="4" t="str">
        <f t="shared" si="2"/>
        <v>PASS</v>
      </c>
      <c r="L12" s="4" t="str">
        <f t="shared" si="3"/>
        <v/>
      </c>
    </row>
    <row r="13" spans="1:12" ht="14.25" customHeight="1" x14ac:dyDescent="0.45">
      <c r="A13" s="4">
        <f>IF('INPUT-SIF_Questions'!A13="","",ROW())</f>
        <v>13</v>
      </c>
      <c r="B13" s="4" t="str">
        <f>IF(A13="","",'INPUT-SIF_Questions'!A13)</f>
        <v>OBS-002</v>
      </c>
      <c r="C13" s="4" t="str">
        <f>IF(A13="","",'INPUT-SIF_Questions'!J13)</f>
        <v>C</v>
      </c>
      <c r="D13" s="4" t="str">
        <f>IF(A13="","",'INPUT-SIF_Questions'!H13)</f>
        <v>IHE</v>
      </c>
      <c r="E13" s="4" t="str">
        <f>IF(A13="","",'INPUT-SIF_Questions'!K13)</f>
        <v>CLSR05-C</v>
      </c>
      <c r="F13" s="4" t="str">
        <f>IF(D13="","",IFERROR(VLOOKUP(D13,Helper_Protocol_Map!$A$2:$B$11,2,FALSE()),"OTHER"))</f>
        <v>CLSR05</v>
      </c>
      <c r="G13" s="4">
        <f>IF(A13="","",N('INPUT-SIF_Questions'!M13)+N('INPUT-SIF_Questions'!N13)+N('INPUT-SIF_Questions'!O13))</f>
        <v>1</v>
      </c>
      <c r="H13" s="4" t="str">
        <f t="shared" si="0"/>
        <v>PASS</v>
      </c>
      <c r="I13" s="4" t="str">
        <f t="shared" si="1"/>
        <v>PASS</v>
      </c>
      <c r="J13" s="4" t="str">
        <f>IF(A13="","",IF(AND('INPUT-SIF_Questions'!S13&lt;&gt;"",'INPUT-SIF_Questions'!V13&lt;&gt;"",'INPUT-SIF_Questions'!W13&lt;&gt;""),"PASS","WARNING"))</f>
        <v>PASS</v>
      </c>
      <c r="K13" s="4" t="str">
        <f t="shared" si="2"/>
        <v>PASS</v>
      </c>
      <c r="L13" s="4" t="str">
        <f t="shared" si="3"/>
        <v/>
      </c>
    </row>
    <row r="14" spans="1:12" ht="14.25" customHeight="1" x14ac:dyDescent="0.45">
      <c r="A14" s="4">
        <f>IF('INPUT-SIF_Questions'!A14="","",ROW())</f>
        <v>14</v>
      </c>
      <c r="B14" s="4" t="str">
        <f>IF(A14="","",'INPUT-SIF_Questions'!A14)</f>
        <v>OBS-002</v>
      </c>
      <c r="C14" s="4" t="str">
        <f>IF(A14="","",'INPUT-SIF_Questions'!J14)</f>
        <v>D</v>
      </c>
      <c r="D14" s="4" t="str">
        <f>IF(A14="","",'INPUT-SIF_Questions'!H14)</f>
        <v>IHE</v>
      </c>
      <c r="E14" s="4" t="str">
        <f>IF(A14="","",'INPUT-SIF_Questions'!K14)</f>
        <v>CLSR05-D</v>
      </c>
      <c r="F14" s="4" t="str">
        <f>IF(D14="","",IFERROR(VLOOKUP(D14,Helper_Protocol_Map!$A$2:$B$11,2,FALSE()),"OTHER"))</f>
        <v>CLSR05</v>
      </c>
      <c r="G14" s="4">
        <f>IF(A14="","",N('INPUT-SIF_Questions'!M14)+N('INPUT-SIF_Questions'!N14)+N('INPUT-SIF_Questions'!O14))</f>
        <v>1</v>
      </c>
      <c r="H14" s="4" t="str">
        <f t="shared" si="0"/>
        <v>PASS</v>
      </c>
      <c r="I14" s="4" t="str">
        <f t="shared" si="1"/>
        <v>PASS</v>
      </c>
      <c r="J14" s="4" t="str">
        <f>IF(A14="","",IF(AND('INPUT-SIF_Questions'!S14&lt;&gt;"",'INPUT-SIF_Questions'!V14&lt;&gt;"",'INPUT-SIF_Questions'!W14&lt;&gt;""),"PASS","WARNING"))</f>
        <v>PASS</v>
      </c>
      <c r="K14" s="4" t="str">
        <f t="shared" si="2"/>
        <v>PASS</v>
      </c>
      <c r="L14" s="4" t="str">
        <f t="shared" si="3"/>
        <v/>
      </c>
    </row>
    <row r="15" spans="1:12" ht="14.25" customHeight="1" x14ac:dyDescent="0.45">
      <c r="A15" s="4">
        <f>IF('INPUT-SIF_Questions'!A15="","",ROW())</f>
        <v>15</v>
      </c>
      <c r="B15" s="4" t="str">
        <f>IF(A15="","",'INPUT-SIF_Questions'!A15)</f>
        <v>OBS-002</v>
      </c>
      <c r="C15" s="4" t="str">
        <f>IF(A15="","",'INPUT-SIF_Questions'!J15)</f>
        <v>E</v>
      </c>
      <c r="D15" s="4" t="str">
        <f>IF(A15="","",'INPUT-SIF_Questions'!H15)</f>
        <v>IHE</v>
      </c>
      <c r="E15" s="4" t="str">
        <f>IF(A15="","",'INPUT-SIF_Questions'!K15)</f>
        <v>CLSR05-E</v>
      </c>
      <c r="F15" s="4" t="str">
        <f>IF(D15="","",IFERROR(VLOOKUP(D15,Helper_Protocol_Map!$A$2:$B$11,2,FALSE()),"OTHER"))</f>
        <v>CLSR05</v>
      </c>
      <c r="G15" s="4">
        <f>IF(A15="","",N('INPUT-SIF_Questions'!M15)+N('INPUT-SIF_Questions'!N15)+N('INPUT-SIF_Questions'!O15))</f>
        <v>1</v>
      </c>
      <c r="H15" s="4" t="str">
        <f t="shared" si="0"/>
        <v>PASS</v>
      </c>
      <c r="I15" s="4" t="str">
        <f t="shared" si="1"/>
        <v>PASS</v>
      </c>
      <c r="J15" s="4" t="str">
        <f>IF(A15="","",IF(AND('INPUT-SIF_Questions'!S15&lt;&gt;"",'INPUT-SIF_Questions'!V15&lt;&gt;"",'INPUT-SIF_Questions'!W15&lt;&gt;""),"PASS","WARNING"))</f>
        <v>PASS</v>
      </c>
      <c r="K15" s="4" t="str">
        <f t="shared" si="2"/>
        <v>PASS</v>
      </c>
      <c r="L15" s="4" t="str">
        <f t="shared" si="3"/>
        <v/>
      </c>
    </row>
    <row r="16" spans="1:12" ht="14.25" customHeight="1" x14ac:dyDescent="0.45">
      <c r="A16" s="4">
        <f>IF('INPUT-SIF_Questions'!A16="","",ROW())</f>
        <v>16</v>
      </c>
      <c r="B16" s="4" t="str">
        <f>IF(A16="","",'INPUT-SIF_Questions'!A16)</f>
        <v>OBS-002</v>
      </c>
      <c r="C16" s="4" t="str">
        <f>IF(A16="","",'INPUT-SIF_Questions'!J16)</f>
        <v>F</v>
      </c>
      <c r="D16" s="4" t="str">
        <f>IF(A16="","",'INPUT-SIF_Questions'!H16)</f>
        <v>IHE</v>
      </c>
      <c r="E16" s="4" t="str">
        <f>IF(A16="","",'INPUT-SIF_Questions'!K16)</f>
        <v>CLSR05-F</v>
      </c>
      <c r="F16" s="4" t="str">
        <f>IF(D16="","",IFERROR(VLOOKUP(D16,Helper_Protocol_Map!$A$2:$B$11,2,FALSE()),"OTHER"))</f>
        <v>CLSR05</v>
      </c>
      <c r="G16" s="4">
        <f>IF(A16="","",N('INPUT-SIF_Questions'!M16)+N('INPUT-SIF_Questions'!N16)+N('INPUT-SIF_Questions'!O16))</f>
        <v>1</v>
      </c>
      <c r="H16" s="4" t="str">
        <f t="shared" si="0"/>
        <v>PASS</v>
      </c>
      <c r="I16" s="4" t="str">
        <f t="shared" si="1"/>
        <v>PASS</v>
      </c>
      <c r="J16" s="4" t="str">
        <f>IF(A16="","",IF(AND('INPUT-SIF_Questions'!S16&lt;&gt;"",'INPUT-SIF_Questions'!V16&lt;&gt;"",'INPUT-SIF_Questions'!W16&lt;&gt;""),"PASS","WARNING"))</f>
        <v>PASS</v>
      </c>
      <c r="K16" s="4" t="str">
        <f t="shared" si="2"/>
        <v>PASS</v>
      </c>
      <c r="L16" s="4" t="str">
        <f t="shared" si="3"/>
        <v/>
      </c>
    </row>
    <row r="17" spans="1:12" ht="14.25" customHeight="1" x14ac:dyDescent="0.45">
      <c r="A17" s="4">
        <f>IF('INPUT-SIF_Questions'!A17="","",ROW())</f>
        <v>17</v>
      </c>
      <c r="B17" s="4" t="str">
        <f>IF(A17="","",'INPUT-SIF_Questions'!A17)</f>
        <v>OBS-002</v>
      </c>
      <c r="C17" s="4" t="str">
        <f>IF(A17="","",'INPUT-SIF_Questions'!J17)</f>
        <v>G</v>
      </c>
      <c r="D17" s="4" t="str">
        <f>IF(A17="","",'INPUT-SIF_Questions'!H17)</f>
        <v>IHE</v>
      </c>
      <c r="E17" s="4" t="str">
        <f>IF(A17="","",'INPUT-SIF_Questions'!K17)</f>
        <v>CLSR05-G</v>
      </c>
      <c r="F17" s="4" t="str">
        <f>IF(D17="","",IFERROR(VLOOKUP(D17,Helper_Protocol_Map!$A$2:$B$11,2,FALSE()),"OTHER"))</f>
        <v>CLSR05</v>
      </c>
      <c r="G17" s="4">
        <f>IF(A17="","",N('INPUT-SIF_Questions'!M17)+N('INPUT-SIF_Questions'!N17)+N('INPUT-SIF_Questions'!O17))</f>
        <v>1</v>
      </c>
      <c r="H17" s="4" t="str">
        <f t="shared" si="0"/>
        <v>PASS</v>
      </c>
      <c r="I17" s="4" t="str">
        <f t="shared" si="1"/>
        <v>PASS</v>
      </c>
      <c r="J17" s="4" t="str">
        <f>IF(A17="","",IF(AND('INPUT-SIF_Questions'!S17&lt;&gt;"",'INPUT-SIF_Questions'!V17&lt;&gt;"",'INPUT-SIF_Questions'!W17&lt;&gt;""),"PASS","WARNING"))</f>
        <v>PASS</v>
      </c>
      <c r="K17" s="4" t="str">
        <f t="shared" si="2"/>
        <v>PASS</v>
      </c>
      <c r="L17" s="4" t="str">
        <f t="shared" si="3"/>
        <v/>
      </c>
    </row>
    <row r="18" spans="1:12" ht="14.25" customHeight="1" x14ac:dyDescent="0.45">
      <c r="A18" s="4">
        <f>IF('INPUT-SIF_Questions'!A18="","",ROW())</f>
        <v>18</v>
      </c>
      <c r="B18" s="4" t="str">
        <f>IF(A18="","",'INPUT-SIF_Questions'!A18)</f>
        <v>OBS-002</v>
      </c>
      <c r="C18" s="4" t="str">
        <f>IF(A18="","",'INPUT-SIF_Questions'!J18)</f>
        <v>H</v>
      </c>
      <c r="D18" s="4" t="str">
        <f>IF(A18="","",'INPUT-SIF_Questions'!H18)</f>
        <v>IHE</v>
      </c>
      <c r="E18" s="4" t="str">
        <f>IF(A18="","",'INPUT-SIF_Questions'!K18)</f>
        <v>CLSR05-H</v>
      </c>
      <c r="F18" s="4" t="str">
        <f>IF(D18="","",IFERROR(VLOOKUP(D18,Helper_Protocol_Map!$A$2:$B$11,2,FALSE()),"OTHER"))</f>
        <v>CLSR05</v>
      </c>
      <c r="G18" s="4">
        <f>IF(A18="","",N('INPUT-SIF_Questions'!M18)+N('INPUT-SIF_Questions'!N18)+N('INPUT-SIF_Questions'!O18))</f>
        <v>1</v>
      </c>
      <c r="H18" s="4" t="str">
        <f t="shared" si="0"/>
        <v>PASS</v>
      </c>
      <c r="I18" s="4" t="str">
        <f t="shared" si="1"/>
        <v>PASS</v>
      </c>
      <c r="J18" s="4" t="str">
        <f>IF(A18="","",IF(AND('INPUT-SIF_Questions'!S18&lt;&gt;"",'INPUT-SIF_Questions'!V18&lt;&gt;"",'INPUT-SIF_Questions'!W18&lt;&gt;""),"PASS","WARNING"))</f>
        <v>PASS</v>
      </c>
      <c r="K18" s="4" t="str">
        <f t="shared" si="2"/>
        <v>PASS</v>
      </c>
      <c r="L18" s="4" t="str">
        <f t="shared" si="3"/>
        <v/>
      </c>
    </row>
    <row r="19" spans="1:12" ht="14.25" customHeight="1" x14ac:dyDescent="0.45">
      <c r="A19" s="4">
        <f>IF('INPUT-SIF_Questions'!A19="","",ROW())</f>
        <v>19</v>
      </c>
      <c r="B19" s="4" t="str">
        <f>IF(A19="","",'INPUT-SIF_Questions'!A19)</f>
        <v>OBS-002</v>
      </c>
      <c r="C19" s="4" t="str">
        <f>IF(A19="","",'INPUT-SIF_Questions'!J19)</f>
        <v>I</v>
      </c>
      <c r="D19" s="4" t="str">
        <f>IF(A19="","",'INPUT-SIF_Questions'!H19)</f>
        <v>IHE</v>
      </c>
      <c r="E19" s="4" t="str">
        <f>IF(A19="","",'INPUT-SIF_Questions'!K19)</f>
        <v>CLSR05-I</v>
      </c>
      <c r="F19" s="4" t="str">
        <f>IF(D19="","",IFERROR(VLOOKUP(D19,Helper_Protocol_Map!$A$2:$B$11,2,FALSE()),"OTHER"))</f>
        <v>CLSR05</v>
      </c>
      <c r="G19" s="4">
        <f>IF(A19="","",N('INPUT-SIF_Questions'!M19)+N('INPUT-SIF_Questions'!N19)+N('INPUT-SIF_Questions'!O19))</f>
        <v>1</v>
      </c>
      <c r="H19" s="4" t="str">
        <f t="shared" si="0"/>
        <v>PASS</v>
      </c>
      <c r="I19" s="4" t="str">
        <f t="shared" si="1"/>
        <v>PASS</v>
      </c>
      <c r="J19" s="4" t="str">
        <f>IF(A19="","",IF(AND('INPUT-SIF_Questions'!S19&lt;&gt;"",'INPUT-SIF_Questions'!V19&lt;&gt;"",'INPUT-SIF_Questions'!W19&lt;&gt;""),"PASS","WARNING"))</f>
        <v>PASS</v>
      </c>
      <c r="K19" s="4" t="str">
        <f t="shared" si="2"/>
        <v>PASS</v>
      </c>
      <c r="L19" s="4" t="str">
        <f t="shared" si="3"/>
        <v/>
      </c>
    </row>
    <row r="20" spans="1:12" ht="14.25" customHeight="1" x14ac:dyDescent="0.45">
      <c r="A20" s="4">
        <f>IF('INPUT-SIF_Questions'!A20="","",ROW())</f>
        <v>20</v>
      </c>
      <c r="B20" s="4" t="str">
        <f>IF(A20="","",'INPUT-SIF_Questions'!A20)</f>
        <v>OBS-003</v>
      </c>
      <c r="C20" s="4" t="str">
        <f>IF(A20="","",'INPUT-SIF_Questions'!J20)</f>
        <v>A</v>
      </c>
      <c r="D20" s="4" t="str">
        <f>IF(A20="","",'INPUT-SIF_Questions'!H20)</f>
        <v>IHE</v>
      </c>
      <c r="E20" s="4" t="str">
        <f>IF(A20="","",'INPUT-SIF_Questions'!K20)</f>
        <v>CLSR05-A</v>
      </c>
      <c r="F20" s="4" t="str">
        <f>IF(D20="","",IFERROR(VLOOKUP(D20,Helper_Protocol_Map!$A$2:$B$11,2,FALSE()),"OTHER"))</f>
        <v>CLSR05</v>
      </c>
      <c r="G20" s="4">
        <f>IF(A20="","",N('INPUT-SIF_Questions'!M20)+N('INPUT-SIF_Questions'!N20)+N('INPUT-SIF_Questions'!O20))</f>
        <v>1</v>
      </c>
      <c r="H20" s="4" t="str">
        <f t="shared" si="0"/>
        <v>PASS</v>
      </c>
      <c r="I20" s="4" t="str">
        <f t="shared" si="1"/>
        <v>PASS</v>
      </c>
      <c r="J20" s="4" t="str">
        <f>IF(A20="","",IF(AND('INPUT-SIF_Questions'!S20&lt;&gt;"",'INPUT-SIF_Questions'!V20&lt;&gt;"",'INPUT-SIF_Questions'!W20&lt;&gt;""),"PASS","WARNING"))</f>
        <v>PASS</v>
      </c>
      <c r="K20" s="4" t="str">
        <f t="shared" si="2"/>
        <v>PASS</v>
      </c>
      <c r="L20" s="4" t="str">
        <f t="shared" si="3"/>
        <v/>
      </c>
    </row>
    <row r="21" spans="1:12" ht="14.25" customHeight="1" x14ac:dyDescent="0.45">
      <c r="A21" s="4">
        <f>IF('INPUT-SIF_Questions'!A21="","",ROW())</f>
        <v>21</v>
      </c>
      <c r="B21" s="4" t="str">
        <f>IF(A21="","",'INPUT-SIF_Questions'!A21)</f>
        <v>OBS-003</v>
      </c>
      <c r="C21" s="4" t="str">
        <f>IF(A21="","",'INPUT-SIF_Questions'!J21)</f>
        <v>B</v>
      </c>
      <c r="D21" s="4" t="str">
        <f>IF(A21="","",'INPUT-SIF_Questions'!H21)</f>
        <v>IHE</v>
      </c>
      <c r="E21" s="4" t="str">
        <f>IF(A21="","",'INPUT-SIF_Questions'!K21)</f>
        <v>CLSR05-B</v>
      </c>
      <c r="F21" s="4" t="str">
        <f>IF(D21="","",IFERROR(VLOOKUP(D21,Helper_Protocol_Map!$A$2:$B$11,2,FALSE()),"OTHER"))</f>
        <v>CLSR05</v>
      </c>
      <c r="G21" s="4">
        <f>IF(A21="","",N('INPUT-SIF_Questions'!M21)+N('INPUT-SIF_Questions'!N21)+N('INPUT-SIF_Questions'!O21))</f>
        <v>1</v>
      </c>
      <c r="H21" s="4" t="str">
        <f t="shared" si="0"/>
        <v>PASS</v>
      </c>
      <c r="I21" s="4" t="str">
        <f t="shared" si="1"/>
        <v>PASS</v>
      </c>
      <c r="J21" s="4" t="str">
        <f>IF(A21="","",IF(AND('INPUT-SIF_Questions'!S21&lt;&gt;"",'INPUT-SIF_Questions'!V21&lt;&gt;"",'INPUT-SIF_Questions'!W21&lt;&gt;""),"PASS","WARNING"))</f>
        <v>PASS</v>
      </c>
      <c r="K21" s="4" t="str">
        <f t="shared" si="2"/>
        <v>PASS</v>
      </c>
      <c r="L21" s="4" t="str">
        <f t="shared" si="3"/>
        <v/>
      </c>
    </row>
    <row r="22" spans="1:12" ht="14.25" customHeight="1" x14ac:dyDescent="0.45">
      <c r="A22" s="4">
        <f>IF('INPUT-SIF_Questions'!A22="","",ROW())</f>
        <v>22</v>
      </c>
      <c r="B22" s="4" t="str">
        <f>IF(A22="","",'INPUT-SIF_Questions'!A22)</f>
        <v>OBS-003</v>
      </c>
      <c r="C22" s="4" t="str">
        <f>IF(A22="","",'INPUT-SIF_Questions'!J22)</f>
        <v>C</v>
      </c>
      <c r="D22" s="4" t="str">
        <f>IF(A22="","",'INPUT-SIF_Questions'!H22)</f>
        <v>IHE</v>
      </c>
      <c r="E22" s="4" t="str">
        <f>IF(A22="","",'INPUT-SIF_Questions'!K22)</f>
        <v>CLSR05-C</v>
      </c>
      <c r="F22" s="4" t="str">
        <f>IF(D22="","",IFERROR(VLOOKUP(D22,Helper_Protocol_Map!$A$2:$B$11,2,FALSE()),"OTHER"))</f>
        <v>CLSR05</v>
      </c>
      <c r="G22" s="4">
        <f>IF(A22="","",N('INPUT-SIF_Questions'!M22)+N('INPUT-SIF_Questions'!N22)+N('INPUT-SIF_Questions'!O22))</f>
        <v>1</v>
      </c>
      <c r="H22" s="4" t="str">
        <f t="shared" si="0"/>
        <v>PASS</v>
      </c>
      <c r="I22" s="4" t="str">
        <f t="shared" si="1"/>
        <v>PASS</v>
      </c>
      <c r="J22" s="4" t="str">
        <f>IF(A22="","",IF(AND('INPUT-SIF_Questions'!S22&lt;&gt;"",'INPUT-SIF_Questions'!V22&lt;&gt;"",'INPUT-SIF_Questions'!W22&lt;&gt;""),"PASS","WARNING"))</f>
        <v>PASS</v>
      </c>
      <c r="K22" s="4" t="str">
        <f t="shared" si="2"/>
        <v>PASS</v>
      </c>
      <c r="L22" s="4" t="str">
        <f t="shared" si="3"/>
        <v/>
      </c>
    </row>
    <row r="23" spans="1:12" ht="14.25" customHeight="1" x14ac:dyDescent="0.45">
      <c r="A23" s="4">
        <f>IF('INPUT-SIF_Questions'!A23="","",ROW())</f>
        <v>23</v>
      </c>
      <c r="B23" s="4" t="str">
        <f>IF(A23="","",'INPUT-SIF_Questions'!A23)</f>
        <v>OBS-003</v>
      </c>
      <c r="C23" s="4" t="str">
        <f>IF(A23="","",'INPUT-SIF_Questions'!J23)</f>
        <v>D</v>
      </c>
      <c r="D23" s="4" t="str">
        <f>IF(A23="","",'INPUT-SIF_Questions'!H23)</f>
        <v>IHE</v>
      </c>
      <c r="E23" s="4" t="str">
        <f>IF(A23="","",'INPUT-SIF_Questions'!K23)</f>
        <v>CLSR05-D</v>
      </c>
      <c r="F23" s="4" t="str">
        <f>IF(D23="","",IFERROR(VLOOKUP(D23,Helper_Protocol_Map!$A$2:$B$11,2,FALSE()),"OTHER"))</f>
        <v>CLSR05</v>
      </c>
      <c r="G23" s="4">
        <f>IF(A23="","",N('INPUT-SIF_Questions'!M23)+N('INPUT-SIF_Questions'!N23)+N('INPUT-SIF_Questions'!O23))</f>
        <v>1</v>
      </c>
      <c r="H23" s="4" t="str">
        <f t="shared" si="0"/>
        <v>PASS</v>
      </c>
      <c r="I23" s="4" t="str">
        <f t="shared" si="1"/>
        <v>PASS</v>
      </c>
      <c r="J23" s="4" t="str">
        <f>IF(A23="","",IF(AND('INPUT-SIF_Questions'!S23&lt;&gt;"",'INPUT-SIF_Questions'!V23&lt;&gt;"",'INPUT-SIF_Questions'!W23&lt;&gt;""),"PASS","WARNING"))</f>
        <v>PASS</v>
      </c>
      <c r="K23" s="4" t="str">
        <f t="shared" si="2"/>
        <v>PASS</v>
      </c>
      <c r="L23" s="4" t="str">
        <f t="shared" si="3"/>
        <v/>
      </c>
    </row>
    <row r="24" spans="1:12" ht="14.25" customHeight="1" x14ac:dyDescent="0.45">
      <c r="A24" s="4">
        <f>IF('INPUT-SIF_Questions'!A24="","",ROW())</f>
        <v>24</v>
      </c>
      <c r="B24" s="4" t="str">
        <f>IF(A24="","",'INPUT-SIF_Questions'!A24)</f>
        <v>OBS-003</v>
      </c>
      <c r="C24" s="4" t="str">
        <f>IF(A24="","",'INPUT-SIF_Questions'!J24)</f>
        <v>E</v>
      </c>
      <c r="D24" s="4" t="str">
        <f>IF(A24="","",'INPUT-SIF_Questions'!H24)</f>
        <v>IHE</v>
      </c>
      <c r="E24" s="4" t="str">
        <f>IF(A24="","",'INPUT-SIF_Questions'!K24)</f>
        <v>CLSR05-E</v>
      </c>
      <c r="F24" s="4" t="str">
        <f>IF(D24="","",IFERROR(VLOOKUP(D24,Helper_Protocol_Map!$A$2:$B$11,2,FALSE()),"OTHER"))</f>
        <v>CLSR05</v>
      </c>
      <c r="G24" s="4">
        <f>IF(A24="","",N('INPUT-SIF_Questions'!M24)+N('INPUT-SIF_Questions'!N24)+N('INPUT-SIF_Questions'!O24))</f>
        <v>1</v>
      </c>
      <c r="H24" s="4" t="str">
        <f t="shared" si="0"/>
        <v>PASS</v>
      </c>
      <c r="I24" s="4" t="str">
        <f t="shared" si="1"/>
        <v>PASS</v>
      </c>
      <c r="J24" s="4" t="str">
        <f>IF(A24="","",IF(AND('INPUT-SIF_Questions'!S24&lt;&gt;"",'INPUT-SIF_Questions'!V24&lt;&gt;"",'INPUT-SIF_Questions'!W24&lt;&gt;""),"PASS","WARNING"))</f>
        <v>PASS</v>
      </c>
      <c r="K24" s="4" t="str">
        <f t="shared" si="2"/>
        <v>PASS</v>
      </c>
      <c r="L24" s="4" t="str">
        <f t="shared" si="3"/>
        <v/>
      </c>
    </row>
    <row r="25" spans="1:12" ht="14.25" customHeight="1" x14ac:dyDescent="0.45">
      <c r="A25" s="4">
        <f>IF('INPUT-SIF_Questions'!A25="","",ROW())</f>
        <v>25</v>
      </c>
      <c r="B25" s="4" t="str">
        <f>IF(A25="","",'INPUT-SIF_Questions'!A25)</f>
        <v>OBS-003</v>
      </c>
      <c r="C25" s="4" t="str">
        <f>IF(A25="","",'INPUT-SIF_Questions'!J25)</f>
        <v>F</v>
      </c>
      <c r="D25" s="4" t="str">
        <f>IF(A25="","",'INPUT-SIF_Questions'!H25)</f>
        <v>IHE</v>
      </c>
      <c r="E25" s="4" t="str">
        <f>IF(A25="","",'INPUT-SIF_Questions'!K25)</f>
        <v>CLSR05-F</v>
      </c>
      <c r="F25" s="4" t="str">
        <f>IF(D25="","",IFERROR(VLOOKUP(D25,Helper_Protocol_Map!$A$2:$B$11,2,FALSE()),"OTHER"))</f>
        <v>CLSR05</v>
      </c>
      <c r="G25" s="4">
        <f>IF(A25="","",N('INPUT-SIF_Questions'!M25)+N('INPUT-SIF_Questions'!N25)+N('INPUT-SIF_Questions'!O25))</f>
        <v>1</v>
      </c>
      <c r="H25" s="4" t="str">
        <f t="shared" si="0"/>
        <v>PASS</v>
      </c>
      <c r="I25" s="4" t="str">
        <f t="shared" si="1"/>
        <v>PASS</v>
      </c>
      <c r="J25" s="4" t="str">
        <f>IF(A25="","",IF(AND('INPUT-SIF_Questions'!S25&lt;&gt;"",'INPUT-SIF_Questions'!V25&lt;&gt;"",'INPUT-SIF_Questions'!W25&lt;&gt;""),"PASS","WARNING"))</f>
        <v>PASS</v>
      </c>
      <c r="K25" s="4" t="str">
        <f t="shared" si="2"/>
        <v>PASS</v>
      </c>
      <c r="L25" s="4" t="str">
        <f t="shared" si="3"/>
        <v/>
      </c>
    </row>
    <row r="26" spans="1:12" ht="14.25" customHeight="1" x14ac:dyDescent="0.45">
      <c r="A26" s="4">
        <f>IF('INPUT-SIF_Questions'!A26="","",ROW())</f>
        <v>26</v>
      </c>
      <c r="B26" s="4" t="str">
        <f>IF(A26="","",'INPUT-SIF_Questions'!A26)</f>
        <v>OBS-003</v>
      </c>
      <c r="C26" s="4" t="str">
        <f>IF(A26="","",'INPUT-SIF_Questions'!J26)</f>
        <v>G</v>
      </c>
      <c r="D26" s="4" t="str">
        <f>IF(A26="","",'INPUT-SIF_Questions'!H26)</f>
        <v>IHE</v>
      </c>
      <c r="E26" s="4" t="str">
        <f>IF(A26="","",'INPUT-SIF_Questions'!K26)</f>
        <v>CLSR05-G</v>
      </c>
      <c r="F26" s="4" t="str">
        <f>IF(D26="","",IFERROR(VLOOKUP(D26,Helper_Protocol_Map!$A$2:$B$11,2,FALSE()),"OTHER"))</f>
        <v>CLSR05</v>
      </c>
      <c r="G26" s="4">
        <f>IF(A26="","",N('INPUT-SIF_Questions'!M26)+N('INPUT-SIF_Questions'!N26)+N('INPUT-SIF_Questions'!O26))</f>
        <v>1</v>
      </c>
      <c r="H26" s="4" t="str">
        <f t="shared" si="0"/>
        <v>PASS</v>
      </c>
      <c r="I26" s="4" t="str">
        <f t="shared" si="1"/>
        <v>PASS</v>
      </c>
      <c r="J26" s="4" t="str">
        <f>IF(A26="","",IF(AND('INPUT-SIF_Questions'!S26&lt;&gt;"",'INPUT-SIF_Questions'!V26&lt;&gt;"",'INPUT-SIF_Questions'!W26&lt;&gt;""),"PASS","WARNING"))</f>
        <v>PASS</v>
      </c>
      <c r="K26" s="4" t="str">
        <f t="shared" si="2"/>
        <v>PASS</v>
      </c>
      <c r="L26" s="4" t="str">
        <f t="shared" si="3"/>
        <v/>
      </c>
    </row>
    <row r="27" spans="1:12" ht="14.25" customHeight="1" x14ac:dyDescent="0.45">
      <c r="A27" s="4">
        <f>IF('INPUT-SIF_Questions'!A27="","",ROW())</f>
        <v>27</v>
      </c>
      <c r="B27" s="4" t="str">
        <f>IF(A27="","",'INPUT-SIF_Questions'!A27)</f>
        <v>OBS-003</v>
      </c>
      <c r="C27" s="4" t="str">
        <f>IF(A27="","",'INPUT-SIF_Questions'!J27)</f>
        <v>H</v>
      </c>
      <c r="D27" s="4" t="str">
        <f>IF(A27="","",'INPUT-SIF_Questions'!H27)</f>
        <v>IHE</v>
      </c>
      <c r="E27" s="4" t="str">
        <f>IF(A27="","",'INPUT-SIF_Questions'!K27)</f>
        <v>CLSR05-H</v>
      </c>
      <c r="F27" s="4" t="str">
        <f>IF(D27="","",IFERROR(VLOOKUP(D27,Helper_Protocol_Map!$A$2:$B$11,2,FALSE()),"OTHER"))</f>
        <v>CLSR05</v>
      </c>
      <c r="G27" s="4">
        <f>IF(A27="","",N('INPUT-SIF_Questions'!M27)+N('INPUT-SIF_Questions'!N27)+N('INPUT-SIF_Questions'!O27))</f>
        <v>1</v>
      </c>
      <c r="H27" s="4" t="str">
        <f t="shared" si="0"/>
        <v>PASS</v>
      </c>
      <c r="I27" s="4" t="str">
        <f t="shared" si="1"/>
        <v>PASS</v>
      </c>
      <c r="J27" s="4" t="str">
        <f>IF(A27="","",IF(AND('INPUT-SIF_Questions'!S27&lt;&gt;"",'INPUT-SIF_Questions'!V27&lt;&gt;"",'INPUT-SIF_Questions'!W27&lt;&gt;""),"PASS","WARNING"))</f>
        <v>PASS</v>
      </c>
      <c r="K27" s="4" t="str">
        <f t="shared" si="2"/>
        <v>PASS</v>
      </c>
      <c r="L27" s="4" t="str">
        <f t="shared" si="3"/>
        <v/>
      </c>
    </row>
    <row r="28" spans="1:12" ht="14.25" customHeight="1" x14ac:dyDescent="0.45">
      <c r="A28" s="4">
        <f>IF('INPUT-SIF_Questions'!A28="","",ROW())</f>
        <v>28</v>
      </c>
      <c r="B28" s="4" t="str">
        <f>IF(A28="","",'INPUT-SIF_Questions'!A28)</f>
        <v>OBS-003</v>
      </c>
      <c r="C28" s="4" t="str">
        <f>IF(A28="","",'INPUT-SIF_Questions'!J28)</f>
        <v>I</v>
      </c>
      <c r="D28" s="4" t="str">
        <f>IF(A28="","",'INPUT-SIF_Questions'!H28)</f>
        <v>IHE</v>
      </c>
      <c r="E28" s="4" t="str">
        <f>IF(A28="","",'INPUT-SIF_Questions'!K28)</f>
        <v>CLSR05-I</v>
      </c>
      <c r="F28" s="4" t="str">
        <f>IF(D28="","",IFERROR(VLOOKUP(D28,Helper_Protocol_Map!$A$2:$B$11,2,FALSE()),"OTHER"))</f>
        <v>CLSR05</v>
      </c>
      <c r="G28" s="4">
        <f>IF(A28="","",N('INPUT-SIF_Questions'!M28)+N('INPUT-SIF_Questions'!N28)+N('INPUT-SIF_Questions'!O28))</f>
        <v>1</v>
      </c>
      <c r="H28" s="4" t="str">
        <f t="shared" si="0"/>
        <v>PASS</v>
      </c>
      <c r="I28" s="4" t="str">
        <f t="shared" si="1"/>
        <v>PASS</v>
      </c>
      <c r="J28" s="4" t="str">
        <f>IF(A28="","",IF(AND('INPUT-SIF_Questions'!S28&lt;&gt;"",'INPUT-SIF_Questions'!V28&lt;&gt;"",'INPUT-SIF_Questions'!W28&lt;&gt;""),"PASS","WARNING"))</f>
        <v>PASS</v>
      </c>
      <c r="K28" s="4" t="str">
        <f t="shared" si="2"/>
        <v>PASS</v>
      </c>
      <c r="L28" s="4" t="str">
        <f t="shared" si="3"/>
        <v/>
      </c>
    </row>
    <row r="29" spans="1:12" ht="14.25" customHeight="1" x14ac:dyDescent="0.45">
      <c r="A29" s="4">
        <f>IF('INPUT-SIF_Questions'!A29="","",ROW())</f>
        <v>29</v>
      </c>
      <c r="B29" s="4" t="str">
        <f>IF(A29="","",'INPUT-SIF_Questions'!A29)</f>
        <v>OBS-004</v>
      </c>
      <c r="C29" s="4" t="str">
        <f>IF(A29="","",'INPUT-SIF_Questions'!J29)</f>
        <v>A</v>
      </c>
      <c r="D29" s="4" t="str">
        <f>IF(A29="","",'INPUT-SIF_Questions'!H29)</f>
        <v>GD</v>
      </c>
      <c r="E29" s="4" t="str">
        <f>IF(A29="","",'INPUT-SIF_Questions'!K29)</f>
        <v>CLSR08-A</v>
      </c>
      <c r="F29" s="4" t="str">
        <f>IF(D29="","",IFERROR(VLOOKUP(D29,Helper_Protocol_Map!$A$2:$B$11,2,FALSE()),"OTHER"))</f>
        <v>CLSR08</v>
      </c>
      <c r="G29" s="4">
        <f>IF(A29="","",N('INPUT-SIF_Questions'!M29)+N('INPUT-SIF_Questions'!N29)+N('INPUT-SIF_Questions'!O29))</f>
        <v>1</v>
      </c>
      <c r="H29" s="4" t="str">
        <f t="shared" si="0"/>
        <v>PASS</v>
      </c>
      <c r="I29" s="4" t="str">
        <f t="shared" si="1"/>
        <v>PASS</v>
      </c>
      <c r="J29" s="4" t="str">
        <f>IF(A29="","",IF(AND('INPUT-SIF_Questions'!S29&lt;&gt;"",'INPUT-SIF_Questions'!V29&lt;&gt;"",'INPUT-SIF_Questions'!W29&lt;&gt;""),"PASS","WARNING"))</f>
        <v>PASS</v>
      </c>
      <c r="K29" s="4" t="str">
        <f t="shared" si="2"/>
        <v>PASS</v>
      </c>
      <c r="L29" s="4" t="str">
        <f t="shared" si="3"/>
        <v/>
      </c>
    </row>
    <row r="30" spans="1:12" ht="14.25" customHeight="1" x14ac:dyDescent="0.45">
      <c r="A30" s="4">
        <f>IF('INPUT-SIF_Questions'!A30="","",ROW())</f>
        <v>30</v>
      </c>
      <c r="B30" s="4" t="str">
        <f>IF(A30="","",'INPUT-SIF_Questions'!A30)</f>
        <v>OBS-004</v>
      </c>
      <c r="C30" s="4" t="str">
        <f>IF(A30="","",'INPUT-SIF_Questions'!J30)</f>
        <v>B</v>
      </c>
      <c r="D30" s="4" t="str">
        <f>IF(A30="","",'INPUT-SIF_Questions'!H30)</f>
        <v>GD</v>
      </c>
      <c r="E30" s="4" t="str">
        <f>IF(A30="","",'INPUT-SIF_Questions'!K30)</f>
        <v>CLSR08-B</v>
      </c>
      <c r="F30" s="4" t="str">
        <f>IF(D30="","",IFERROR(VLOOKUP(D30,Helper_Protocol_Map!$A$2:$B$11,2,FALSE()),"OTHER"))</f>
        <v>CLSR08</v>
      </c>
      <c r="G30" s="4">
        <f>IF(A30="","",N('INPUT-SIF_Questions'!M30)+N('INPUT-SIF_Questions'!N30)+N('INPUT-SIF_Questions'!O30))</f>
        <v>1</v>
      </c>
      <c r="H30" s="4" t="str">
        <f t="shared" si="0"/>
        <v>PASS</v>
      </c>
      <c r="I30" s="4" t="str">
        <f t="shared" si="1"/>
        <v>PASS</v>
      </c>
      <c r="J30" s="4" t="str">
        <f>IF(A30="","",IF(AND('INPUT-SIF_Questions'!S30&lt;&gt;"",'INPUT-SIF_Questions'!V30&lt;&gt;"",'INPUT-SIF_Questions'!W30&lt;&gt;""),"PASS","WARNING"))</f>
        <v>PASS</v>
      </c>
      <c r="K30" s="4" t="str">
        <f t="shared" si="2"/>
        <v>PASS</v>
      </c>
      <c r="L30" s="4" t="str">
        <f t="shared" si="3"/>
        <v/>
      </c>
    </row>
    <row r="31" spans="1:12" ht="14.25" customHeight="1" x14ac:dyDescent="0.45">
      <c r="A31" s="4">
        <f>IF('INPUT-SIF_Questions'!A31="","",ROW())</f>
        <v>31</v>
      </c>
      <c r="B31" s="4" t="str">
        <f>IF(A31="","",'INPUT-SIF_Questions'!A31)</f>
        <v>OBS-004</v>
      </c>
      <c r="C31" s="4" t="str">
        <f>IF(A31="","",'INPUT-SIF_Questions'!J31)</f>
        <v>C</v>
      </c>
      <c r="D31" s="4" t="str">
        <f>IF(A31="","",'INPUT-SIF_Questions'!H31)</f>
        <v>GD</v>
      </c>
      <c r="E31" s="4" t="str">
        <f>IF(A31="","",'INPUT-SIF_Questions'!K31)</f>
        <v>CLSR08-C</v>
      </c>
      <c r="F31" s="4" t="str">
        <f>IF(D31="","",IFERROR(VLOOKUP(D31,Helper_Protocol_Map!$A$2:$B$11,2,FALSE()),"OTHER"))</f>
        <v>CLSR08</v>
      </c>
      <c r="G31" s="4">
        <f>IF(A31="","",N('INPUT-SIF_Questions'!M31)+N('INPUT-SIF_Questions'!N31)+N('INPUT-SIF_Questions'!O31))</f>
        <v>1</v>
      </c>
      <c r="H31" s="4" t="str">
        <f t="shared" si="0"/>
        <v>PASS</v>
      </c>
      <c r="I31" s="4" t="str">
        <f t="shared" si="1"/>
        <v>PASS</v>
      </c>
      <c r="J31" s="4" t="str">
        <f>IF(A31="","",IF(AND('INPUT-SIF_Questions'!S31&lt;&gt;"",'INPUT-SIF_Questions'!V31&lt;&gt;"",'INPUT-SIF_Questions'!W31&lt;&gt;""),"PASS","WARNING"))</f>
        <v>PASS</v>
      </c>
      <c r="K31" s="4" t="str">
        <f t="shared" si="2"/>
        <v>PASS</v>
      </c>
      <c r="L31" s="4" t="str">
        <f t="shared" si="3"/>
        <v/>
      </c>
    </row>
    <row r="32" spans="1:12" ht="14.25" customHeight="1" x14ac:dyDescent="0.45">
      <c r="A32" s="4">
        <f>IF('INPUT-SIF_Questions'!A32="","",ROW())</f>
        <v>32</v>
      </c>
      <c r="B32" s="4" t="str">
        <f>IF(A32="","",'INPUT-SIF_Questions'!A32)</f>
        <v>OBS-004</v>
      </c>
      <c r="C32" s="4" t="str">
        <f>IF(A32="","",'INPUT-SIF_Questions'!J32)</f>
        <v>D</v>
      </c>
      <c r="D32" s="4" t="str">
        <f>IF(A32="","",'INPUT-SIF_Questions'!H32)</f>
        <v>GD</v>
      </c>
      <c r="E32" s="4" t="str">
        <f>IF(A32="","",'INPUT-SIF_Questions'!K32)</f>
        <v>CLSR08-D</v>
      </c>
      <c r="F32" s="4" t="str">
        <f>IF(D32="","",IFERROR(VLOOKUP(D32,Helper_Protocol_Map!$A$2:$B$11,2,FALSE()),"OTHER"))</f>
        <v>CLSR08</v>
      </c>
      <c r="G32" s="4">
        <f>IF(A32="","",N('INPUT-SIF_Questions'!M32)+N('INPUT-SIF_Questions'!N32)+N('INPUT-SIF_Questions'!O32))</f>
        <v>1</v>
      </c>
      <c r="H32" s="4" t="str">
        <f t="shared" si="0"/>
        <v>PASS</v>
      </c>
      <c r="I32" s="4" t="str">
        <f t="shared" si="1"/>
        <v>PASS</v>
      </c>
      <c r="J32" s="4" t="str">
        <f>IF(A32="","",IF(AND('INPUT-SIF_Questions'!S32&lt;&gt;"",'INPUT-SIF_Questions'!V32&lt;&gt;"",'INPUT-SIF_Questions'!W32&lt;&gt;""),"PASS","WARNING"))</f>
        <v>PASS</v>
      </c>
      <c r="K32" s="4" t="str">
        <f t="shared" si="2"/>
        <v>PASS</v>
      </c>
      <c r="L32" s="4" t="str">
        <f t="shared" si="3"/>
        <v/>
      </c>
    </row>
    <row r="33" spans="1:12" ht="14.25" customHeight="1" x14ac:dyDescent="0.45">
      <c r="A33" s="4">
        <f>IF('INPUT-SIF_Questions'!A33="","",ROW())</f>
        <v>33</v>
      </c>
      <c r="B33" s="4" t="str">
        <f>IF(A33="","",'INPUT-SIF_Questions'!A33)</f>
        <v>OBS-004</v>
      </c>
      <c r="C33" s="4" t="str">
        <f>IF(A33="","",'INPUT-SIF_Questions'!J33)</f>
        <v>E</v>
      </c>
      <c r="D33" s="4" t="str">
        <f>IF(A33="","",'INPUT-SIF_Questions'!H33)</f>
        <v>GD</v>
      </c>
      <c r="E33" s="4" t="str">
        <f>IF(A33="","",'INPUT-SIF_Questions'!K33)</f>
        <v>CLSR08-E</v>
      </c>
      <c r="F33" s="4" t="str">
        <f>IF(D33="","",IFERROR(VLOOKUP(D33,Helper_Protocol_Map!$A$2:$B$11,2,FALSE()),"OTHER"))</f>
        <v>CLSR08</v>
      </c>
      <c r="G33" s="4">
        <f>IF(A33="","",N('INPUT-SIF_Questions'!M33)+N('INPUT-SIF_Questions'!N33)+N('INPUT-SIF_Questions'!O33))</f>
        <v>1</v>
      </c>
      <c r="H33" s="4" t="str">
        <f t="shared" si="0"/>
        <v>PASS</v>
      </c>
      <c r="I33" s="4" t="str">
        <f t="shared" si="1"/>
        <v>PASS</v>
      </c>
      <c r="J33" s="4" t="str">
        <f>IF(A33="","",IF(AND('INPUT-SIF_Questions'!S33&lt;&gt;"",'INPUT-SIF_Questions'!V33&lt;&gt;"",'INPUT-SIF_Questions'!W33&lt;&gt;""),"PASS","WARNING"))</f>
        <v>PASS</v>
      </c>
      <c r="K33" s="4" t="str">
        <f t="shared" si="2"/>
        <v>PASS</v>
      </c>
      <c r="L33" s="4" t="str">
        <f t="shared" si="3"/>
        <v/>
      </c>
    </row>
    <row r="34" spans="1:12" ht="14.25" customHeight="1" x14ac:dyDescent="0.45">
      <c r="A34" s="4">
        <f>IF('INPUT-SIF_Questions'!A34="","",ROW())</f>
        <v>34</v>
      </c>
      <c r="B34" s="4" t="str">
        <f>IF(A34="","",'INPUT-SIF_Questions'!A34)</f>
        <v>OBS-005</v>
      </c>
      <c r="C34" s="4" t="str">
        <f>IF(A34="","",'INPUT-SIF_Questions'!J34)</f>
        <v>A</v>
      </c>
      <c r="D34" s="4" t="str">
        <f>IF(A34="","",'INPUT-SIF_Questions'!H34)</f>
        <v>WAH</v>
      </c>
      <c r="E34" s="4" t="str">
        <f>IF(A34="","",'INPUT-SIF_Questions'!K34)</f>
        <v>CLSR07-A</v>
      </c>
      <c r="F34" s="4" t="str">
        <f>IF(D34="","",IFERROR(VLOOKUP(D34,Helper_Protocol_Map!$A$2:$B$11,2,FALSE()),"OTHER"))</f>
        <v>CLSR07</v>
      </c>
      <c r="G34" s="4">
        <f>IF(A34="","",N('INPUT-SIF_Questions'!M34)+N('INPUT-SIF_Questions'!N34)+N('INPUT-SIF_Questions'!O34))</f>
        <v>1</v>
      </c>
      <c r="H34" s="4" t="str">
        <f t="shared" si="0"/>
        <v>PASS</v>
      </c>
      <c r="I34" s="4" t="str">
        <f t="shared" si="1"/>
        <v>PASS</v>
      </c>
      <c r="J34" s="4" t="str">
        <f>IF(A34="","",IF(AND('INPUT-SIF_Questions'!S34&lt;&gt;"",'INPUT-SIF_Questions'!V34&lt;&gt;"",'INPUT-SIF_Questions'!W34&lt;&gt;""),"PASS","WARNING"))</f>
        <v>PASS</v>
      </c>
      <c r="K34" s="4" t="str">
        <f t="shared" si="2"/>
        <v>PASS</v>
      </c>
      <c r="L34" s="4" t="str">
        <f t="shared" si="3"/>
        <v/>
      </c>
    </row>
    <row r="35" spans="1:12" ht="14.25" customHeight="1" x14ac:dyDescent="0.45">
      <c r="A35" s="4">
        <f>IF('INPUT-SIF_Questions'!A35="","",ROW())</f>
        <v>35</v>
      </c>
      <c r="B35" s="4" t="str">
        <f>IF(A35="","",'INPUT-SIF_Questions'!A35)</f>
        <v>OBS-005</v>
      </c>
      <c r="C35" s="4" t="str">
        <f>IF(A35="","",'INPUT-SIF_Questions'!J35)</f>
        <v>B</v>
      </c>
      <c r="D35" s="4" t="str">
        <f>IF(A35="","",'INPUT-SIF_Questions'!H35)</f>
        <v>WAH</v>
      </c>
      <c r="E35" s="4" t="str">
        <f>IF(A35="","",'INPUT-SIF_Questions'!K35)</f>
        <v>CLSR07-B</v>
      </c>
      <c r="F35" s="4" t="str">
        <f>IF(D35="","",IFERROR(VLOOKUP(D35,Helper_Protocol_Map!$A$2:$B$11,2,FALSE()),"OTHER"))</f>
        <v>CLSR07</v>
      </c>
      <c r="G35" s="4">
        <f>IF(A35="","",N('INPUT-SIF_Questions'!M35)+N('INPUT-SIF_Questions'!N35)+N('INPUT-SIF_Questions'!O35))</f>
        <v>1</v>
      </c>
      <c r="H35" s="4" t="str">
        <f t="shared" si="0"/>
        <v>PASS</v>
      </c>
      <c r="I35" s="4" t="str">
        <f t="shared" si="1"/>
        <v>PASS</v>
      </c>
      <c r="J35" s="4" t="str">
        <f>IF(A35="","",IF(AND('INPUT-SIF_Questions'!S35&lt;&gt;"",'INPUT-SIF_Questions'!V35&lt;&gt;"",'INPUT-SIF_Questions'!W35&lt;&gt;""),"PASS","WARNING"))</f>
        <v>PASS</v>
      </c>
      <c r="K35" s="4" t="str">
        <f t="shared" si="2"/>
        <v>PASS</v>
      </c>
      <c r="L35" s="4" t="str">
        <f t="shared" si="3"/>
        <v/>
      </c>
    </row>
    <row r="36" spans="1:12" ht="14.25" customHeight="1" x14ac:dyDescent="0.45">
      <c r="A36" s="4">
        <f>IF('INPUT-SIF_Questions'!A36="","",ROW())</f>
        <v>36</v>
      </c>
      <c r="B36" s="4" t="str">
        <f>IF(A36="","",'INPUT-SIF_Questions'!A36)</f>
        <v>OBS-005</v>
      </c>
      <c r="C36" s="4" t="str">
        <f>IF(A36="","",'INPUT-SIF_Questions'!J36)</f>
        <v>C</v>
      </c>
      <c r="D36" s="4" t="str">
        <f>IF(A36="","",'INPUT-SIF_Questions'!H36)</f>
        <v>WAH</v>
      </c>
      <c r="E36" s="4" t="str">
        <f>IF(A36="","",'INPUT-SIF_Questions'!K36)</f>
        <v>CLSR07-C</v>
      </c>
      <c r="F36" s="4" t="str">
        <f>IF(D36="","",IFERROR(VLOOKUP(D36,Helper_Protocol_Map!$A$2:$B$11,2,FALSE()),"OTHER"))</f>
        <v>CLSR07</v>
      </c>
      <c r="G36" s="4">
        <f>IF(A36="","",N('INPUT-SIF_Questions'!M36)+N('INPUT-SIF_Questions'!N36)+N('INPUT-SIF_Questions'!O36))</f>
        <v>1</v>
      </c>
      <c r="H36" s="4" t="str">
        <f t="shared" si="0"/>
        <v>PASS</v>
      </c>
      <c r="I36" s="4" t="str">
        <f t="shared" si="1"/>
        <v>PASS</v>
      </c>
      <c r="J36" s="4" t="str">
        <f>IF(A36="","",IF(AND('INPUT-SIF_Questions'!S36&lt;&gt;"",'INPUT-SIF_Questions'!V36&lt;&gt;"",'INPUT-SIF_Questions'!W36&lt;&gt;""),"PASS","WARNING"))</f>
        <v>PASS</v>
      </c>
      <c r="K36" s="4" t="str">
        <f t="shared" si="2"/>
        <v>PASS</v>
      </c>
      <c r="L36" s="4" t="str">
        <f t="shared" si="3"/>
        <v/>
      </c>
    </row>
    <row r="37" spans="1:12" ht="14.25" customHeight="1" x14ac:dyDescent="0.45">
      <c r="A37" s="4">
        <f>IF('INPUT-SIF_Questions'!A37="","",ROW())</f>
        <v>37</v>
      </c>
      <c r="B37" s="4" t="str">
        <f>IF(A37="","",'INPUT-SIF_Questions'!A37)</f>
        <v>OBS-005</v>
      </c>
      <c r="C37" s="4" t="str">
        <f>IF(A37="","",'INPUT-SIF_Questions'!J37)</f>
        <v>D</v>
      </c>
      <c r="D37" s="4" t="str">
        <f>IF(A37="","",'INPUT-SIF_Questions'!H37)</f>
        <v>WAH</v>
      </c>
      <c r="E37" s="4" t="str">
        <f>IF(A37="","",'INPUT-SIF_Questions'!K37)</f>
        <v>CLSR07-D</v>
      </c>
      <c r="F37" s="4" t="str">
        <f>IF(D37="","",IFERROR(VLOOKUP(D37,Helper_Protocol_Map!$A$2:$B$11,2,FALSE()),"OTHER"))</f>
        <v>CLSR07</v>
      </c>
      <c r="G37" s="4">
        <f>IF(A37="","",N('INPUT-SIF_Questions'!M37)+N('INPUT-SIF_Questions'!N37)+N('INPUT-SIF_Questions'!O37))</f>
        <v>1</v>
      </c>
      <c r="H37" s="4" t="str">
        <f t="shared" si="0"/>
        <v>PASS</v>
      </c>
      <c r="I37" s="4" t="str">
        <f t="shared" si="1"/>
        <v>PASS</v>
      </c>
      <c r="J37" s="4" t="str">
        <f>IF(A37="","",IF(AND('INPUT-SIF_Questions'!S37&lt;&gt;"",'INPUT-SIF_Questions'!V37&lt;&gt;"",'INPUT-SIF_Questions'!W37&lt;&gt;""),"PASS","WARNING"))</f>
        <v>PASS</v>
      </c>
      <c r="K37" s="4" t="str">
        <f t="shared" si="2"/>
        <v>PASS</v>
      </c>
      <c r="L37" s="4" t="str">
        <f t="shared" si="3"/>
        <v/>
      </c>
    </row>
    <row r="38" spans="1:12" ht="14.25" customHeight="1" x14ac:dyDescent="0.45">
      <c r="A38" s="4">
        <f>IF('INPUT-SIF_Questions'!A38="","",ROW())</f>
        <v>38</v>
      </c>
      <c r="B38" s="4" t="str">
        <f>IF(A38="","",'INPUT-SIF_Questions'!A38)</f>
        <v>OBS-005</v>
      </c>
      <c r="C38" s="4" t="str">
        <f>IF(A38="","",'INPUT-SIF_Questions'!J38)</f>
        <v>E</v>
      </c>
      <c r="D38" s="4" t="str">
        <f>IF(A38="","",'INPUT-SIF_Questions'!H38)</f>
        <v>WAH</v>
      </c>
      <c r="E38" s="4" t="str">
        <f>IF(A38="","",'INPUT-SIF_Questions'!K38)</f>
        <v>CLSR07-E</v>
      </c>
      <c r="F38" s="4" t="str">
        <f>IF(D38="","",IFERROR(VLOOKUP(D38,Helper_Protocol_Map!$A$2:$B$11,2,FALSE()),"OTHER"))</f>
        <v>CLSR07</v>
      </c>
      <c r="G38" s="4">
        <f>IF(A38="","",N('INPUT-SIF_Questions'!M38)+N('INPUT-SIF_Questions'!N38)+N('INPUT-SIF_Questions'!O38))</f>
        <v>1</v>
      </c>
      <c r="H38" s="4" t="str">
        <f t="shared" si="0"/>
        <v>PASS</v>
      </c>
      <c r="I38" s="4" t="str">
        <f t="shared" si="1"/>
        <v>PASS</v>
      </c>
      <c r="J38" s="4" t="str">
        <f>IF(A38="","",IF(AND('INPUT-SIF_Questions'!S38&lt;&gt;"",'INPUT-SIF_Questions'!V38&lt;&gt;"",'INPUT-SIF_Questions'!W38&lt;&gt;""),"PASS","WARNING"))</f>
        <v>PASS</v>
      </c>
      <c r="K38" s="4" t="str">
        <f t="shared" si="2"/>
        <v>PASS</v>
      </c>
      <c r="L38" s="4" t="str">
        <f t="shared" si="3"/>
        <v/>
      </c>
    </row>
    <row r="39" spans="1:12" ht="14.25" customHeight="1" x14ac:dyDescent="0.45">
      <c r="A39" s="4">
        <f>IF('INPUT-SIF_Questions'!A39="","",ROW())</f>
        <v>39</v>
      </c>
      <c r="B39" s="4" t="str">
        <f>IF(A39="","",'INPUT-SIF_Questions'!A39)</f>
        <v>OBS-005</v>
      </c>
      <c r="C39" s="4" t="str">
        <f>IF(A39="","",'INPUT-SIF_Questions'!J39)</f>
        <v>F</v>
      </c>
      <c r="D39" s="4" t="str">
        <f>IF(A39="","",'INPUT-SIF_Questions'!H39)</f>
        <v>WAH</v>
      </c>
      <c r="E39" s="4" t="str">
        <f>IF(A39="","",'INPUT-SIF_Questions'!K39)</f>
        <v>CLSR07-F</v>
      </c>
      <c r="F39" s="4" t="str">
        <f>IF(D39="","",IFERROR(VLOOKUP(D39,Helper_Protocol_Map!$A$2:$B$11,2,FALSE()),"OTHER"))</f>
        <v>CLSR07</v>
      </c>
      <c r="G39" s="4">
        <f>IF(A39="","",N('INPUT-SIF_Questions'!M39)+N('INPUT-SIF_Questions'!N39)+N('INPUT-SIF_Questions'!O39))</f>
        <v>1</v>
      </c>
      <c r="H39" s="4" t="str">
        <f t="shared" si="0"/>
        <v>PASS</v>
      </c>
      <c r="I39" s="4" t="str">
        <f t="shared" si="1"/>
        <v>PASS</v>
      </c>
      <c r="J39" s="4" t="str">
        <f>IF(A39="","",IF(AND('INPUT-SIF_Questions'!S39&lt;&gt;"",'INPUT-SIF_Questions'!V39&lt;&gt;"",'INPUT-SIF_Questions'!W39&lt;&gt;""),"PASS","WARNING"))</f>
        <v>PASS</v>
      </c>
      <c r="K39" s="4" t="str">
        <f t="shared" si="2"/>
        <v>PASS</v>
      </c>
      <c r="L39" s="4" t="str">
        <f t="shared" si="3"/>
        <v/>
      </c>
    </row>
    <row r="40" spans="1:12" ht="14.25" customHeight="1" x14ac:dyDescent="0.45">
      <c r="A40" s="4">
        <f>IF('INPUT-SIF_Questions'!A40="","",ROW())</f>
        <v>40</v>
      </c>
      <c r="B40" s="4" t="str">
        <f>IF(A40="","",'INPUT-SIF_Questions'!A40)</f>
        <v>OBS-005</v>
      </c>
      <c r="C40" s="4" t="str">
        <f>IF(A40="","",'INPUT-SIF_Questions'!J40)</f>
        <v>G</v>
      </c>
      <c r="D40" s="4" t="str">
        <f>IF(A40="","",'INPUT-SIF_Questions'!H40)</f>
        <v>WAH</v>
      </c>
      <c r="E40" s="4" t="str">
        <f>IF(A40="","",'INPUT-SIF_Questions'!K40)</f>
        <v>CLSR07-G</v>
      </c>
      <c r="F40" s="4" t="str">
        <f>IF(D40="","",IFERROR(VLOOKUP(D40,Helper_Protocol_Map!$A$2:$B$11,2,FALSE()),"OTHER"))</f>
        <v>CLSR07</v>
      </c>
      <c r="G40" s="4">
        <f>IF(A40="","",N('INPUT-SIF_Questions'!M40)+N('INPUT-SIF_Questions'!N40)+N('INPUT-SIF_Questions'!O40))</f>
        <v>1</v>
      </c>
      <c r="H40" s="4" t="str">
        <f t="shared" si="0"/>
        <v>PASS</v>
      </c>
      <c r="I40" s="4" t="str">
        <f t="shared" si="1"/>
        <v>PASS</v>
      </c>
      <c r="J40" s="4" t="str">
        <f>IF(A40="","",IF(AND('INPUT-SIF_Questions'!S40&lt;&gt;"",'INPUT-SIF_Questions'!V40&lt;&gt;"",'INPUT-SIF_Questions'!W40&lt;&gt;""),"PASS","WARNING"))</f>
        <v>PASS</v>
      </c>
      <c r="K40" s="4" t="str">
        <f t="shared" si="2"/>
        <v>PASS</v>
      </c>
      <c r="L40" s="4" t="str">
        <f t="shared" si="3"/>
        <v/>
      </c>
    </row>
    <row r="41" spans="1:12" ht="14.25" customHeight="1" x14ac:dyDescent="0.45">
      <c r="A41" s="4">
        <f>IF('INPUT-SIF_Questions'!A41="","",ROW())</f>
        <v>41</v>
      </c>
      <c r="B41" s="4" t="str">
        <f>IF(A41="","",'INPUT-SIF_Questions'!A41)</f>
        <v>OBS-005</v>
      </c>
      <c r="C41" s="4" t="str">
        <f>IF(A41="","",'INPUT-SIF_Questions'!J41)</f>
        <v>H</v>
      </c>
      <c r="D41" s="4" t="str">
        <f>IF(A41="","",'INPUT-SIF_Questions'!H41)</f>
        <v>WAH</v>
      </c>
      <c r="E41" s="4" t="str">
        <f>IF(A41="","",'INPUT-SIF_Questions'!K41)</f>
        <v>CLSR07-H</v>
      </c>
      <c r="F41" s="4" t="str">
        <f>IF(D41="","",IFERROR(VLOOKUP(D41,Helper_Protocol_Map!$A$2:$B$11,2,FALSE()),"OTHER"))</f>
        <v>CLSR07</v>
      </c>
      <c r="G41" s="4">
        <f>IF(A41="","",N('INPUT-SIF_Questions'!M41)+N('INPUT-SIF_Questions'!N41)+N('INPUT-SIF_Questions'!O41))</f>
        <v>1</v>
      </c>
      <c r="H41" s="4" t="str">
        <f t="shared" si="0"/>
        <v>PASS</v>
      </c>
      <c r="I41" s="4" t="str">
        <f t="shared" si="1"/>
        <v>PASS</v>
      </c>
      <c r="J41" s="4" t="str">
        <f>IF(A41="","",IF(AND('INPUT-SIF_Questions'!S41&lt;&gt;"",'INPUT-SIF_Questions'!V41&lt;&gt;"",'INPUT-SIF_Questions'!W41&lt;&gt;""),"PASS","WARNING"))</f>
        <v>PASS</v>
      </c>
      <c r="K41" s="4" t="str">
        <f t="shared" si="2"/>
        <v>PASS</v>
      </c>
      <c r="L41" s="4" t="str">
        <f t="shared" si="3"/>
        <v/>
      </c>
    </row>
    <row r="42" spans="1:12" ht="14.25" customHeight="1" x14ac:dyDescent="0.45">
      <c r="A42" s="4">
        <f>IF('INPUT-SIF_Questions'!A42="","",ROW())</f>
        <v>42</v>
      </c>
      <c r="B42" s="4" t="str">
        <f>IF(A42="","",'INPUT-SIF_Questions'!A42)</f>
        <v>OBS-005</v>
      </c>
      <c r="C42" s="4" t="str">
        <f>IF(A42="","",'INPUT-SIF_Questions'!J42)</f>
        <v>I</v>
      </c>
      <c r="D42" s="4" t="str">
        <f>IF(A42="","",'INPUT-SIF_Questions'!H42)</f>
        <v>WAH</v>
      </c>
      <c r="E42" s="4" t="str">
        <f>IF(A42="","",'INPUT-SIF_Questions'!K42)</f>
        <v>CLSR07-I</v>
      </c>
      <c r="F42" s="4" t="str">
        <f>IF(D42="","",IFERROR(VLOOKUP(D42,Helper_Protocol_Map!$A$2:$B$11,2,FALSE()),"OTHER"))</f>
        <v>CLSR07</v>
      </c>
      <c r="G42" s="4">
        <f>IF(A42="","",N('INPUT-SIF_Questions'!M42)+N('INPUT-SIF_Questions'!N42)+N('INPUT-SIF_Questions'!O42))</f>
        <v>1</v>
      </c>
      <c r="H42" s="4" t="str">
        <f t="shared" si="0"/>
        <v>PASS</v>
      </c>
      <c r="I42" s="4" t="str">
        <f t="shared" si="1"/>
        <v>PASS</v>
      </c>
      <c r="J42" s="4" t="str">
        <f>IF(A42="","",IF(AND('INPUT-SIF_Questions'!S42&lt;&gt;"",'INPUT-SIF_Questions'!V42&lt;&gt;"",'INPUT-SIF_Questions'!W42&lt;&gt;""),"PASS","WARNING"))</f>
        <v>PASS</v>
      </c>
      <c r="K42" s="4" t="str">
        <f t="shared" si="2"/>
        <v>PASS</v>
      </c>
      <c r="L42" s="4" t="str">
        <f t="shared" si="3"/>
        <v/>
      </c>
    </row>
    <row r="43" spans="1:12" ht="14.25" customHeight="1" x14ac:dyDescent="0.45">
      <c r="A43" s="4">
        <f>IF('INPUT-SIF_Questions'!A43="","",ROW())</f>
        <v>43</v>
      </c>
      <c r="B43" s="4" t="str">
        <f>IF(A43="","",'INPUT-SIF_Questions'!A43)</f>
        <v>OBS-006</v>
      </c>
      <c r="C43" s="4" t="str">
        <f>IF(A43="","",'INPUT-SIF_Questions'!J43)</f>
        <v>A</v>
      </c>
      <c r="D43" s="4" t="str">
        <f>IF(A43="","",'INPUT-SIF_Questions'!H43)</f>
        <v>WAH</v>
      </c>
      <c r="E43" s="4" t="str">
        <f>IF(A43="","",'INPUT-SIF_Questions'!K43)</f>
        <v>CLSR07-A</v>
      </c>
      <c r="F43" s="4" t="str">
        <f>IF(D43="","",IFERROR(VLOOKUP(D43,Helper_Protocol_Map!$A$2:$B$11,2,FALSE()),"OTHER"))</f>
        <v>CLSR07</v>
      </c>
      <c r="G43" s="4">
        <f>IF(A43="","",N('INPUT-SIF_Questions'!M43)+N('INPUT-SIF_Questions'!N43)+N('INPUT-SIF_Questions'!O43))</f>
        <v>1</v>
      </c>
      <c r="H43" s="4" t="str">
        <f t="shared" si="0"/>
        <v>PASS</v>
      </c>
      <c r="I43" s="4" t="str">
        <f t="shared" si="1"/>
        <v>PASS</v>
      </c>
      <c r="J43" s="4" t="str">
        <f>IF(A43="","",IF(AND('INPUT-SIF_Questions'!S43&lt;&gt;"",'INPUT-SIF_Questions'!V43&lt;&gt;"",'INPUT-SIF_Questions'!W43&lt;&gt;""),"PASS","WARNING"))</f>
        <v>PASS</v>
      </c>
      <c r="K43" s="4" t="str">
        <f t="shared" si="2"/>
        <v>PASS</v>
      </c>
      <c r="L43" s="4" t="str">
        <f t="shared" si="3"/>
        <v/>
      </c>
    </row>
    <row r="44" spans="1:12" ht="14.25" customHeight="1" x14ac:dyDescent="0.45">
      <c r="A44" s="4">
        <f>IF('INPUT-SIF_Questions'!A44="","",ROW())</f>
        <v>44</v>
      </c>
      <c r="B44" s="4" t="str">
        <f>IF(A44="","",'INPUT-SIF_Questions'!A44)</f>
        <v>OBS-006</v>
      </c>
      <c r="C44" s="4" t="str">
        <f>IF(A44="","",'INPUT-SIF_Questions'!J44)</f>
        <v>B</v>
      </c>
      <c r="D44" s="4" t="str">
        <f>IF(A44="","",'INPUT-SIF_Questions'!H44)</f>
        <v>WAH</v>
      </c>
      <c r="E44" s="4" t="str">
        <f>IF(A44="","",'INPUT-SIF_Questions'!K44)</f>
        <v>CLSR07-B</v>
      </c>
      <c r="F44" s="4" t="str">
        <f>IF(D44="","",IFERROR(VLOOKUP(D44,Helper_Protocol_Map!$A$2:$B$11,2,FALSE()),"OTHER"))</f>
        <v>CLSR07</v>
      </c>
      <c r="G44" s="4">
        <f>IF(A44="","",N('INPUT-SIF_Questions'!M44)+N('INPUT-SIF_Questions'!N44)+N('INPUT-SIF_Questions'!O44))</f>
        <v>1</v>
      </c>
      <c r="H44" s="4" t="str">
        <f t="shared" si="0"/>
        <v>PASS</v>
      </c>
      <c r="I44" s="4" t="str">
        <f t="shared" si="1"/>
        <v>PASS</v>
      </c>
      <c r="J44" s="4" t="str">
        <f>IF(A44="","",IF(AND('INPUT-SIF_Questions'!S44&lt;&gt;"",'INPUT-SIF_Questions'!V44&lt;&gt;"",'INPUT-SIF_Questions'!W44&lt;&gt;""),"PASS","WARNING"))</f>
        <v>PASS</v>
      </c>
      <c r="K44" s="4" t="str">
        <f t="shared" si="2"/>
        <v>PASS</v>
      </c>
      <c r="L44" s="4" t="str">
        <f t="shared" si="3"/>
        <v/>
      </c>
    </row>
    <row r="45" spans="1:12" ht="14.25" customHeight="1" x14ac:dyDescent="0.45">
      <c r="A45" s="4">
        <f>IF('INPUT-SIF_Questions'!A45="","",ROW())</f>
        <v>45</v>
      </c>
      <c r="B45" s="4" t="str">
        <f>IF(A45="","",'INPUT-SIF_Questions'!A45)</f>
        <v>OBS-006</v>
      </c>
      <c r="C45" s="4" t="str">
        <f>IF(A45="","",'INPUT-SIF_Questions'!J45)</f>
        <v>C</v>
      </c>
      <c r="D45" s="4" t="str">
        <f>IF(A45="","",'INPUT-SIF_Questions'!H45)</f>
        <v>WAH</v>
      </c>
      <c r="E45" s="4" t="str">
        <f>IF(A45="","",'INPUT-SIF_Questions'!K45)</f>
        <v>CLSR07-C</v>
      </c>
      <c r="F45" s="4" t="str">
        <f>IF(D45="","",IFERROR(VLOOKUP(D45,Helper_Protocol_Map!$A$2:$B$11,2,FALSE()),"OTHER"))</f>
        <v>CLSR07</v>
      </c>
      <c r="G45" s="4">
        <f>IF(A45="","",N('INPUT-SIF_Questions'!M45)+N('INPUT-SIF_Questions'!N45)+N('INPUT-SIF_Questions'!O45))</f>
        <v>1</v>
      </c>
      <c r="H45" s="4" t="str">
        <f t="shared" si="0"/>
        <v>PASS</v>
      </c>
      <c r="I45" s="4" t="str">
        <f t="shared" si="1"/>
        <v>PASS</v>
      </c>
      <c r="J45" s="4" t="str">
        <f>IF(A45="","",IF(AND('INPUT-SIF_Questions'!S45&lt;&gt;"",'INPUT-SIF_Questions'!V45&lt;&gt;"",'INPUT-SIF_Questions'!W45&lt;&gt;""),"PASS","WARNING"))</f>
        <v>PASS</v>
      </c>
      <c r="K45" s="4" t="str">
        <f t="shared" si="2"/>
        <v>PASS</v>
      </c>
      <c r="L45" s="4" t="str">
        <f t="shared" si="3"/>
        <v/>
      </c>
    </row>
    <row r="46" spans="1:12" ht="14.25" customHeight="1" x14ac:dyDescent="0.45">
      <c r="A46" s="4">
        <f>IF('INPUT-SIF_Questions'!A46="","",ROW())</f>
        <v>46</v>
      </c>
      <c r="B46" s="4" t="str">
        <f>IF(A46="","",'INPUT-SIF_Questions'!A46)</f>
        <v>OBS-006</v>
      </c>
      <c r="C46" s="4" t="str">
        <f>IF(A46="","",'INPUT-SIF_Questions'!J46)</f>
        <v>D</v>
      </c>
      <c r="D46" s="4" t="str">
        <f>IF(A46="","",'INPUT-SIF_Questions'!H46)</f>
        <v>WAH</v>
      </c>
      <c r="E46" s="4" t="str">
        <f>IF(A46="","",'INPUT-SIF_Questions'!K46)</f>
        <v>CLSR07-D</v>
      </c>
      <c r="F46" s="4" t="str">
        <f>IF(D46="","",IFERROR(VLOOKUP(D46,Helper_Protocol_Map!$A$2:$B$11,2,FALSE()),"OTHER"))</f>
        <v>CLSR07</v>
      </c>
      <c r="G46" s="4">
        <f>IF(A46="","",N('INPUT-SIF_Questions'!M46)+N('INPUT-SIF_Questions'!N46)+N('INPUT-SIF_Questions'!O46))</f>
        <v>1</v>
      </c>
      <c r="H46" s="4" t="str">
        <f t="shared" si="0"/>
        <v>PASS</v>
      </c>
      <c r="I46" s="4" t="str">
        <f t="shared" si="1"/>
        <v>PASS</v>
      </c>
      <c r="J46" s="4" t="str">
        <f>IF(A46="","",IF(AND('INPUT-SIF_Questions'!S46&lt;&gt;"",'INPUT-SIF_Questions'!V46&lt;&gt;"",'INPUT-SIF_Questions'!W46&lt;&gt;""),"PASS","WARNING"))</f>
        <v>PASS</v>
      </c>
      <c r="K46" s="4" t="str">
        <f t="shared" si="2"/>
        <v>PASS</v>
      </c>
      <c r="L46" s="4" t="str">
        <f t="shared" si="3"/>
        <v/>
      </c>
    </row>
    <row r="47" spans="1:12" ht="14.25" customHeight="1" x14ac:dyDescent="0.45">
      <c r="A47" s="4">
        <f>IF('INPUT-SIF_Questions'!A47="","",ROW())</f>
        <v>47</v>
      </c>
      <c r="B47" s="4" t="str">
        <f>IF(A47="","",'INPUT-SIF_Questions'!A47)</f>
        <v>OBS-006</v>
      </c>
      <c r="C47" s="4" t="str">
        <f>IF(A47="","",'INPUT-SIF_Questions'!J47)</f>
        <v>E</v>
      </c>
      <c r="D47" s="4" t="str">
        <f>IF(A47="","",'INPUT-SIF_Questions'!H47)</f>
        <v>WAH</v>
      </c>
      <c r="E47" s="4" t="str">
        <f>IF(A47="","",'INPUT-SIF_Questions'!K47)</f>
        <v>CLSR07-E</v>
      </c>
      <c r="F47" s="4" t="str">
        <f>IF(D47="","",IFERROR(VLOOKUP(D47,Helper_Protocol_Map!$A$2:$B$11,2,FALSE()),"OTHER"))</f>
        <v>CLSR07</v>
      </c>
      <c r="G47" s="4">
        <f>IF(A47="","",N('INPUT-SIF_Questions'!M47)+N('INPUT-SIF_Questions'!N47)+N('INPUT-SIF_Questions'!O47))</f>
        <v>1</v>
      </c>
      <c r="H47" s="4" t="str">
        <f t="shared" si="0"/>
        <v>PASS</v>
      </c>
      <c r="I47" s="4" t="str">
        <f t="shared" si="1"/>
        <v>PASS</v>
      </c>
      <c r="J47" s="4" t="str">
        <f>IF(A47="","",IF(AND('INPUT-SIF_Questions'!S47&lt;&gt;"",'INPUT-SIF_Questions'!V47&lt;&gt;"",'INPUT-SIF_Questions'!W47&lt;&gt;""),"PASS","WARNING"))</f>
        <v>PASS</v>
      </c>
      <c r="K47" s="4" t="str">
        <f t="shared" si="2"/>
        <v>PASS</v>
      </c>
      <c r="L47" s="4" t="str">
        <f t="shared" si="3"/>
        <v/>
      </c>
    </row>
    <row r="48" spans="1:12" ht="14.25" customHeight="1" x14ac:dyDescent="0.45">
      <c r="A48" s="4">
        <f>IF('INPUT-SIF_Questions'!A48="","",ROW())</f>
        <v>48</v>
      </c>
      <c r="B48" s="4" t="str">
        <f>IF(A48="","",'INPUT-SIF_Questions'!A48)</f>
        <v>OBS-006</v>
      </c>
      <c r="C48" s="4" t="str">
        <f>IF(A48="","",'INPUT-SIF_Questions'!J48)</f>
        <v>F</v>
      </c>
      <c r="D48" s="4" t="str">
        <f>IF(A48="","",'INPUT-SIF_Questions'!H48)</f>
        <v>WAH</v>
      </c>
      <c r="E48" s="4" t="str">
        <f>IF(A48="","",'INPUT-SIF_Questions'!K48)</f>
        <v>CLSR07-F</v>
      </c>
      <c r="F48" s="4" t="str">
        <f>IF(D48="","",IFERROR(VLOOKUP(D48,Helper_Protocol_Map!$A$2:$B$11,2,FALSE()),"OTHER"))</f>
        <v>CLSR07</v>
      </c>
      <c r="G48" s="4">
        <f>IF(A48="","",N('INPUT-SIF_Questions'!M48)+N('INPUT-SIF_Questions'!N48)+N('INPUT-SIF_Questions'!O48))</f>
        <v>1</v>
      </c>
      <c r="H48" s="4" t="str">
        <f t="shared" si="0"/>
        <v>PASS</v>
      </c>
      <c r="I48" s="4" t="str">
        <f t="shared" si="1"/>
        <v>PASS</v>
      </c>
      <c r="J48" s="4" t="str">
        <f>IF(A48="","",IF(AND('INPUT-SIF_Questions'!S48&lt;&gt;"",'INPUT-SIF_Questions'!V48&lt;&gt;"",'INPUT-SIF_Questions'!W48&lt;&gt;""),"PASS","WARNING"))</f>
        <v>PASS</v>
      </c>
      <c r="K48" s="4" t="str">
        <f t="shared" si="2"/>
        <v>PASS</v>
      </c>
      <c r="L48" s="4" t="str">
        <f t="shared" si="3"/>
        <v/>
      </c>
    </row>
    <row r="49" spans="1:12" ht="14.25" customHeight="1" x14ac:dyDescent="0.45">
      <c r="A49" s="4">
        <f>IF('INPUT-SIF_Questions'!A49="","",ROW())</f>
        <v>49</v>
      </c>
      <c r="B49" s="4" t="str">
        <f>IF(A49="","",'INPUT-SIF_Questions'!A49)</f>
        <v>OBS-006</v>
      </c>
      <c r="C49" s="4" t="str">
        <f>IF(A49="","",'INPUT-SIF_Questions'!J49)</f>
        <v>G</v>
      </c>
      <c r="D49" s="4" t="str">
        <f>IF(A49="","",'INPUT-SIF_Questions'!H49)</f>
        <v>WAH</v>
      </c>
      <c r="E49" s="4" t="str">
        <f>IF(A49="","",'INPUT-SIF_Questions'!K49)</f>
        <v>CLSR07-G</v>
      </c>
      <c r="F49" s="4" t="str">
        <f>IF(D49="","",IFERROR(VLOOKUP(D49,Helper_Protocol_Map!$A$2:$B$11,2,FALSE()),"OTHER"))</f>
        <v>CLSR07</v>
      </c>
      <c r="G49" s="4">
        <f>IF(A49="","",N('INPUT-SIF_Questions'!M49)+N('INPUT-SIF_Questions'!N49)+N('INPUT-SIF_Questions'!O49))</f>
        <v>1</v>
      </c>
      <c r="H49" s="4" t="str">
        <f t="shared" si="0"/>
        <v>PASS</v>
      </c>
      <c r="I49" s="4" t="str">
        <f t="shared" si="1"/>
        <v>PASS</v>
      </c>
      <c r="J49" s="4" t="str">
        <f>IF(A49="","",IF(AND('INPUT-SIF_Questions'!S49&lt;&gt;"",'INPUT-SIF_Questions'!V49&lt;&gt;"",'INPUT-SIF_Questions'!W49&lt;&gt;""),"PASS","WARNING"))</f>
        <v>PASS</v>
      </c>
      <c r="K49" s="4" t="str">
        <f t="shared" si="2"/>
        <v>PASS</v>
      </c>
      <c r="L49" s="4" t="str">
        <f t="shared" si="3"/>
        <v/>
      </c>
    </row>
    <row r="50" spans="1:12" ht="14.25" customHeight="1" x14ac:dyDescent="0.45">
      <c r="A50" s="4">
        <f>IF('INPUT-SIF_Questions'!A50="","",ROW())</f>
        <v>50</v>
      </c>
      <c r="B50" s="4" t="str">
        <f>IF(A50="","",'INPUT-SIF_Questions'!A50)</f>
        <v>OBS-006</v>
      </c>
      <c r="C50" s="4" t="str">
        <f>IF(A50="","",'INPUT-SIF_Questions'!J50)</f>
        <v>H</v>
      </c>
      <c r="D50" s="4" t="str">
        <f>IF(A50="","",'INPUT-SIF_Questions'!H50)</f>
        <v>WAH</v>
      </c>
      <c r="E50" s="4" t="str">
        <f>IF(A50="","",'INPUT-SIF_Questions'!K50)</f>
        <v>CLSR07-H</v>
      </c>
      <c r="F50" s="4" t="str">
        <f>IF(D50="","",IFERROR(VLOOKUP(D50,Helper_Protocol_Map!$A$2:$B$11,2,FALSE()),"OTHER"))</f>
        <v>CLSR07</v>
      </c>
      <c r="G50" s="4">
        <f>IF(A50="","",N('INPUT-SIF_Questions'!M50)+N('INPUT-SIF_Questions'!N50)+N('INPUT-SIF_Questions'!O50))</f>
        <v>1</v>
      </c>
      <c r="H50" s="4" t="str">
        <f t="shared" si="0"/>
        <v>PASS</v>
      </c>
      <c r="I50" s="4" t="str">
        <f t="shared" si="1"/>
        <v>PASS</v>
      </c>
      <c r="J50" s="4" t="str">
        <f>IF(A50="","",IF(AND('INPUT-SIF_Questions'!S50&lt;&gt;"",'INPUT-SIF_Questions'!V50&lt;&gt;"",'INPUT-SIF_Questions'!W50&lt;&gt;""),"PASS","WARNING"))</f>
        <v>PASS</v>
      </c>
      <c r="K50" s="4" t="str">
        <f t="shared" si="2"/>
        <v>PASS</v>
      </c>
      <c r="L50" s="4" t="str">
        <f t="shared" si="3"/>
        <v/>
      </c>
    </row>
    <row r="51" spans="1:12" ht="14.25" customHeight="1" x14ac:dyDescent="0.45">
      <c r="A51" s="4">
        <f>IF('INPUT-SIF_Questions'!A51="","",ROW())</f>
        <v>51</v>
      </c>
      <c r="B51" s="4" t="str">
        <f>IF(A51="","",'INPUT-SIF_Questions'!A51)</f>
        <v>OBS-006</v>
      </c>
      <c r="C51" s="4" t="str">
        <f>IF(A51="","",'INPUT-SIF_Questions'!J51)</f>
        <v>I</v>
      </c>
      <c r="D51" s="4" t="str">
        <f>IF(A51="","",'INPUT-SIF_Questions'!H51)</f>
        <v>WAH</v>
      </c>
      <c r="E51" s="4" t="str">
        <f>IF(A51="","",'INPUT-SIF_Questions'!K51)</f>
        <v>CLSR07-I</v>
      </c>
      <c r="F51" s="4" t="str">
        <f>IF(D51="","",IFERROR(VLOOKUP(D51,Helper_Protocol_Map!$A$2:$B$11,2,FALSE()),"OTHER"))</f>
        <v>CLSR07</v>
      </c>
      <c r="G51" s="4">
        <f>IF(A51="","",N('INPUT-SIF_Questions'!M51)+N('INPUT-SIF_Questions'!N51)+N('INPUT-SIF_Questions'!O51))</f>
        <v>1</v>
      </c>
      <c r="H51" s="4" t="str">
        <f t="shared" si="0"/>
        <v>PASS</v>
      </c>
      <c r="I51" s="4" t="str">
        <f t="shared" si="1"/>
        <v>PASS</v>
      </c>
      <c r="J51" s="4" t="str">
        <f>IF(A51="","",IF(AND('INPUT-SIF_Questions'!S51&lt;&gt;"",'INPUT-SIF_Questions'!V51&lt;&gt;"",'INPUT-SIF_Questions'!W51&lt;&gt;""),"PASS","WARNING"))</f>
        <v>PASS</v>
      </c>
      <c r="K51" s="4" t="str">
        <f t="shared" si="2"/>
        <v>PASS</v>
      </c>
      <c r="L51" s="4" t="str">
        <f t="shared" si="3"/>
        <v/>
      </c>
    </row>
    <row r="52" spans="1:12" ht="14.25" customHeight="1" x14ac:dyDescent="0.45">
      <c r="A52" s="4">
        <f>IF('INPUT-SIF_Questions'!A52="","",ROW())</f>
        <v>52</v>
      </c>
      <c r="B52" s="4" t="str">
        <f>IF(A52="","",'INPUT-SIF_Questions'!A52)</f>
        <v>OBS-007</v>
      </c>
      <c r="C52" s="4" t="str">
        <f>IF(A52="","",'INPUT-SIF_Questions'!J52)</f>
        <v>A</v>
      </c>
      <c r="D52" s="4" t="str">
        <f>IF(A52="","",'INPUT-SIF_Questions'!H52)</f>
        <v>CSE</v>
      </c>
      <c r="E52" s="4" t="str">
        <f>IF(A52="","",'INPUT-SIF_Questions'!K52)</f>
        <v>CLSR04-A</v>
      </c>
      <c r="F52" s="4" t="str">
        <f>IF(D52="","",IFERROR(VLOOKUP(D52,Helper_Protocol_Map!$A$2:$B$11,2,FALSE()),"OTHER"))</f>
        <v>CLSR04</v>
      </c>
      <c r="G52" s="4">
        <f>IF(A52="","",N('INPUT-SIF_Questions'!M52)+N('INPUT-SIF_Questions'!N52)+N('INPUT-SIF_Questions'!O52))</f>
        <v>1</v>
      </c>
      <c r="H52" s="4" t="str">
        <f t="shared" si="0"/>
        <v>PASS</v>
      </c>
      <c r="I52" s="4" t="str">
        <f t="shared" si="1"/>
        <v>PASS</v>
      </c>
      <c r="J52" s="4" t="str">
        <f>IF(A52="","",IF(AND('INPUT-SIF_Questions'!S52&lt;&gt;"",'INPUT-SIF_Questions'!V52&lt;&gt;"",'INPUT-SIF_Questions'!W52&lt;&gt;""),"PASS","WARNING"))</f>
        <v>PASS</v>
      </c>
      <c r="K52" s="4" t="str">
        <f t="shared" si="2"/>
        <v>PASS</v>
      </c>
      <c r="L52" s="4" t="str">
        <f t="shared" si="3"/>
        <v/>
      </c>
    </row>
    <row r="53" spans="1:12" ht="14.25" customHeight="1" x14ac:dyDescent="0.45">
      <c r="A53" s="4">
        <f>IF('INPUT-SIF_Questions'!A53="","",ROW())</f>
        <v>53</v>
      </c>
      <c r="B53" s="4" t="str">
        <f>IF(A53="","",'INPUT-SIF_Questions'!A53)</f>
        <v>OBS-007</v>
      </c>
      <c r="C53" s="4" t="str">
        <f>IF(A53="","",'INPUT-SIF_Questions'!J53)</f>
        <v>B</v>
      </c>
      <c r="D53" s="4" t="str">
        <f>IF(A53="","",'INPUT-SIF_Questions'!H53)</f>
        <v>CSE</v>
      </c>
      <c r="E53" s="4" t="str">
        <f>IF(A53="","",'INPUT-SIF_Questions'!K53)</f>
        <v>CLSR04-B</v>
      </c>
      <c r="F53" s="4" t="str">
        <f>IF(D53="","",IFERROR(VLOOKUP(D53,Helper_Protocol_Map!$A$2:$B$11,2,FALSE()),"OTHER"))</f>
        <v>CLSR04</v>
      </c>
      <c r="G53" s="4">
        <f>IF(A53="","",N('INPUT-SIF_Questions'!M53)+N('INPUT-SIF_Questions'!N53)+N('INPUT-SIF_Questions'!O53))</f>
        <v>1</v>
      </c>
      <c r="H53" s="4" t="str">
        <f t="shared" si="0"/>
        <v>PASS</v>
      </c>
      <c r="I53" s="4" t="str">
        <f t="shared" si="1"/>
        <v>PASS</v>
      </c>
      <c r="J53" s="4" t="str">
        <f>IF(A53="","",IF(AND('INPUT-SIF_Questions'!S53&lt;&gt;"",'INPUT-SIF_Questions'!V53&lt;&gt;"",'INPUT-SIF_Questions'!W53&lt;&gt;""),"PASS","WARNING"))</f>
        <v>PASS</v>
      </c>
      <c r="K53" s="4" t="str">
        <f t="shared" si="2"/>
        <v>PASS</v>
      </c>
      <c r="L53" s="4" t="str">
        <f t="shared" si="3"/>
        <v/>
      </c>
    </row>
    <row r="54" spans="1:12" ht="14.25" customHeight="1" x14ac:dyDescent="0.45">
      <c r="A54" s="4">
        <f>IF('INPUT-SIF_Questions'!A54="","",ROW())</f>
        <v>54</v>
      </c>
      <c r="B54" s="4" t="str">
        <f>IF(A54="","",'INPUT-SIF_Questions'!A54)</f>
        <v>OBS-007</v>
      </c>
      <c r="C54" s="4" t="str">
        <f>IF(A54="","",'INPUT-SIF_Questions'!J54)</f>
        <v>C</v>
      </c>
      <c r="D54" s="4" t="str">
        <f>IF(A54="","",'INPUT-SIF_Questions'!H54)</f>
        <v>CSE</v>
      </c>
      <c r="E54" s="4" t="str">
        <f>IF(A54="","",'INPUT-SIF_Questions'!K54)</f>
        <v>CLSR04-C</v>
      </c>
      <c r="F54" s="4" t="str">
        <f>IF(D54="","",IFERROR(VLOOKUP(D54,Helper_Protocol_Map!$A$2:$B$11,2,FALSE()),"OTHER"))</f>
        <v>CLSR04</v>
      </c>
      <c r="G54" s="4">
        <f>IF(A54="","",N('INPUT-SIF_Questions'!M54)+N('INPUT-SIF_Questions'!N54)+N('INPUT-SIF_Questions'!O54))</f>
        <v>1</v>
      </c>
      <c r="H54" s="4" t="str">
        <f t="shared" si="0"/>
        <v>PASS</v>
      </c>
      <c r="I54" s="4" t="str">
        <f t="shared" si="1"/>
        <v>PASS</v>
      </c>
      <c r="J54" s="4" t="str">
        <f>IF(A54="","",IF(AND('INPUT-SIF_Questions'!S54&lt;&gt;"",'INPUT-SIF_Questions'!V54&lt;&gt;"",'INPUT-SIF_Questions'!W54&lt;&gt;""),"PASS","WARNING"))</f>
        <v>PASS</v>
      </c>
      <c r="K54" s="4" t="str">
        <f t="shared" si="2"/>
        <v>PASS</v>
      </c>
      <c r="L54" s="4" t="str">
        <f t="shared" si="3"/>
        <v/>
      </c>
    </row>
    <row r="55" spans="1:12" ht="14.25" customHeight="1" x14ac:dyDescent="0.45">
      <c r="A55" s="4">
        <f>IF('INPUT-SIF_Questions'!A55="","",ROW())</f>
        <v>55</v>
      </c>
      <c r="B55" s="4" t="str">
        <f>IF(A55="","",'INPUT-SIF_Questions'!A55)</f>
        <v>OBS-007</v>
      </c>
      <c r="C55" s="4" t="str">
        <f>IF(A55="","",'INPUT-SIF_Questions'!J55)</f>
        <v>D</v>
      </c>
      <c r="D55" s="4" t="str">
        <f>IF(A55="","",'INPUT-SIF_Questions'!H55)</f>
        <v>CSE</v>
      </c>
      <c r="E55" s="4" t="str">
        <f>IF(A55="","",'INPUT-SIF_Questions'!K55)</f>
        <v>CLSR04-D</v>
      </c>
      <c r="F55" s="4" t="str">
        <f>IF(D55="","",IFERROR(VLOOKUP(D55,Helper_Protocol_Map!$A$2:$B$11,2,FALSE()),"OTHER"))</f>
        <v>CLSR04</v>
      </c>
      <c r="G55" s="4">
        <f>IF(A55="","",N('INPUT-SIF_Questions'!M55)+N('INPUT-SIF_Questions'!N55)+N('INPUT-SIF_Questions'!O55))</f>
        <v>1</v>
      </c>
      <c r="H55" s="4" t="str">
        <f t="shared" si="0"/>
        <v>PASS</v>
      </c>
      <c r="I55" s="4" t="str">
        <f t="shared" si="1"/>
        <v>PASS</v>
      </c>
      <c r="J55" s="4" t="str">
        <f>IF(A55="","",IF(AND('INPUT-SIF_Questions'!S55&lt;&gt;"",'INPUT-SIF_Questions'!V55&lt;&gt;"",'INPUT-SIF_Questions'!W55&lt;&gt;""),"PASS","WARNING"))</f>
        <v>PASS</v>
      </c>
      <c r="K55" s="4" t="str">
        <f t="shared" si="2"/>
        <v>PASS</v>
      </c>
      <c r="L55" s="4" t="str">
        <f t="shared" si="3"/>
        <v/>
      </c>
    </row>
    <row r="56" spans="1:12" ht="14.25" customHeight="1" x14ac:dyDescent="0.45">
      <c r="A56" s="4">
        <f>IF('INPUT-SIF_Questions'!A56="","",ROW())</f>
        <v>56</v>
      </c>
      <c r="B56" s="4" t="str">
        <f>IF(A56="","",'INPUT-SIF_Questions'!A56)</f>
        <v>OBS-007</v>
      </c>
      <c r="C56" s="4" t="str">
        <f>IF(A56="","",'INPUT-SIF_Questions'!J56)</f>
        <v>E</v>
      </c>
      <c r="D56" s="4" t="str">
        <f>IF(A56="","",'INPUT-SIF_Questions'!H56)</f>
        <v>CSE</v>
      </c>
      <c r="E56" s="4" t="str">
        <f>IF(A56="","",'INPUT-SIF_Questions'!K56)</f>
        <v>CLSR04-E</v>
      </c>
      <c r="F56" s="4" t="str">
        <f>IF(D56="","",IFERROR(VLOOKUP(D56,Helper_Protocol_Map!$A$2:$B$11,2,FALSE()),"OTHER"))</f>
        <v>CLSR04</v>
      </c>
      <c r="G56" s="4">
        <f>IF(A56="","",N('INPUT-SIF_Questions'!M56)+N('INPUT-SIF_Questions'!N56)+N('INPUT-SIF_Questions'!O56))</f>
        <v>1</v>
      </c>
      <c r="H56" s="4" t="str">
        <f t="shared" si="0"/>
        <v>PASS</v>
      </c>
      <c r="I56" s="4" t="str">
        <f t="shared" si="1"/>
        <v>PASS</v>
      </c>
      <c r="J56" s="4" t="str">
        <f>IF(A56="","",IF(AND('INPUT-SIF_Questions'!S56&lt;&gt;"",'INPUT-SIF_Questions'!V56&lt;&gt;"",'INPUT-SIF_Questions'!W56&lt;&gt;""),"PASS","WARNING"))</f>
        <v>PASS</v>
      </c>
      <c r="K56" s="4" t="str">
        <f t="shared" si="2"/>
        <v>PASS</v>
      </c>
      <c r="L56" s="4" t="str">
        <f t="shared" si="3"/>
        <v/>
      </c>
    </row>
    <row r="57" spans="1:12" ht="14.25" customHeight="1" x14ac:dyDescent="0.45">
      <c r="A57" s="4">
        <f>IF('INPUT-SIF_Questions'!A57="","",ROW())</f>
        <v>57</v>
      </c>
      <c r="B57" s="4" t="str">
        <f>IF(A57="","",'INPUT-SIF_Questions'!A57)</f>
        <v>OBS-007</v>
      </c>
      <c r="C57" s="4" t="str">
        <f>IF(A57="","",'INPUT-SIF_Questions'!J57)</f>
        <v>G</v>
      </c>
      <c r="D57" s="4" t="str">
        <f>IF(A57="","",'INPUT-SIF_Questions'!H57)</f>
        <v>CSE</v>
      </c>
      <c r="E57" s="4" t="str">
        <f>IF(A57="","",'INPUT-SIF_Questions'!K57)</f>
        <v>CLSR04-G</v>
      </c>
      <c r="F57" s="4" t="str">
        <f>IF(D57="","",IFERROR(VLOOKUP(D57,Helper_Protocol_Map!$A$2:$B$11,2,FALSE()),"OTHER"))</f>
        <v>CLSR04</v>
      </c>
      <c r="G57" s="4">
        <f>IF(A57="","",N('INPUT-SIF_Questions'!M57)+N('INPUT-SIF_Questions'!N57)+N('INPUT-SIF_Questions'!O57))</f>
        <v>1</v>
      </c>
      <c r="H57" s="4" t="str">
        <f t="shared" si="0"/>
        <v>PASS</v>
      </c>
      <c r="I57" s="4" t="str">
        <f t="shared" si="1"/>
        <v>PASS</v>
      </c>
      <c r="J57" s="4" t="str">
        <f>IF(A57="","",IF(AND('INPUT-SIF_Questions'!S57&lt;&gt;"",'INPUT-SIF_Questions'!V57&lt;&gt;"",'INPUT-SIF_Questions'!W57&lt;&gt;""),"PASS","WARNING"))</f>
        <v>PASS</v>
      </c>
      <c r="K57" s="4" t="str">
        <f t="shared" si="2"/>
        <v>PASS</v>
      </c>
      <c r="L57" s="4" t="str">
        <f t="shared" si="3"/>
        <v/>
      </c>
    </row>
    <row r="58" spans="1:12" ht="14.25" customHeight="1" x14ac:dyDescent="0.45">
      <c r="A58" s="4">
        <f>IF('INPUT-SIF_Questions'!A58="","",ROW())</f>
        <v>58</v>
      </c>
      <c r="B58" s="4" t="str">
        <f>IF(A58="","",'INPUT-SIF_Questions'!A58)</f>
        <v>OBS-007</v>
      </c>
      <c r="C58" s="4" t="str">
        <f>IF(A58="","",'INPUT-SIF_Questions'!J58)</f>
        <v>F</v>
      </c>
      <c r="D58" s="4" t="str">
        <f>IF(A58="","",'INPUT-SIF_Questions'!H58)</f>
        <v>CSE</v>
      </c>
      <c r="E58" s="4" t="str">
        <f>IF(A58="","",'INPUT-SIF_Questions'!K58)</f>
        <v>CLSR04-F</v>
      </c>
      <c r="F58" s="4" t="str">
        <f>IF(D58="","",IFERROR(VLOOKUP(D58,Helper_Protocol_Map!$A$2:$B$11,2,FALSE()),"OTHER"))</f>
        <v>CLSR04</v>
      </c>
      <c r="G58" s="4">
        <f>IF(A58="","",N('INPUT-SIF_Questions'!M58)+N('INPUT-SIF_Questions'!N58)+N('INPUT-SIF_Questions'!O58))</f>
        <v>1</v>
      </c>
      <c r="H58" s="4" t="str">
        <f t="shared" si="0"/>
        <v>PASS</v>
      </c>
      <c r="I58" s="4" t="str">
        <f t="shared" si="1"/>
        <v>PASS</v>
      </c>
      <c r="J58" s="4" t="str">
        <f>IF(A58="","",IF(AND('INPUT-SIF_Questions'!S58&lt;&gt;"",'INPUT-SIF_Questions'!V58&lt;&gt;"",'INPUT-SIF_Questions'!W58&lt;&gt;""),"PASS","WARNING"))</f>
        <v>PASS</v>
      </c>
      <c r="K58" s="4" t="str">
        <f t="shared" si="2"/>
        <v>PASS</v>
      </c>
      <c r="L58" s="4" t="str">
        <f t="shared" si="3"/>
        <v/>
      </c>
    </row>
    <row r="59" spans="1:12" ht="14.25" customHeight="1" x14ac:dyDescent="0.45">
      <c r="A59" s="4">
        <f>IF('INPUT-SIF_Questions'!A59="","",ROW())</f>
        <v>59</v>
      </c>
      <c r="B59" s="4" t="str">
        <f>IF(A59="","",'INPUT-SIF_Questions'!A59)</f>
        <v>OBS-008</v>
      </c>
      <c r="C59" s="4" t="str">
        <f>IF(A59="","",'INPUT-SIF_Questions'!J59)</f>
        <v>A</v>
      </c>
      <c r="D59" s="4" t="str">
        <f>IF(A59="","",'INPUT-SIF_Questions'!H59)</f>
        <v>CSE</v>
      </c>
      <c r="E59" s="4" t="str">
        <f>IF(A59="","",'INPUT-SIF_Questions'!K59)</f>
        <v>CLSR04-A</v>
      </c>
      <c r="F59" s="4" t="str">
        <f>IF(D59="","",IFERROR(VLOOKUP(D59,Helper_Protocol_Map!$A$2:$B$11,2,FALSE()),"OTHER"))</f>
        <v>CLSR04</v>
      </c>
      <c r="G59" s="4">
        <f>IF(A59="","",N('INPUT-SIF_Questions'!M59)+N('INPUT-SIF_Questions'!N59)+N('INPUT-SIF_Questions'!O59))</f>
        <v>1</v>
      </c>
      <c r="H59" s="4" t="str">
        <f t="shared" si="0"/>
        <v>PASS</v>
      </c>
      <c r="I59" s="4" t="str">
        <f t="shared" si="1"/>
        <v>PASS</v>
      </c>
      <c r="J59" s="4" t="str">
        <f>IF(A59="","",IF(AND('INPUT-SIF_Questions'!S59&lt;&gt;"",'INPUT-SIF_Questions'!V59&lt;&gt;"",'INPUT-SIF_Questions'!W59&lt;&gt;""),"PASS","WARNING"))</f>
        <v>PASS</v>
      </c>
      <c r="K59" s="4" t="str">
        <f t="shared" si="2"/>
        <v>PASS</v>
      </c>
      <c r="L59" s="4" t="str">
        <f t="shared" si="3"/>
        <v/>
      </c>
    </row>
    <row r="60" spans="1:12" ht="14.25" customHeight="1" x14ac:dyDescent="0.45">
      <c r="A60" s="4">
        <f>IF('INPUT-SIF_Questions'!A60="","",ROW())</f>
        <v>60</v>
      </c>
      <c r="B60" s="4" t="str">
        <f>IF(A60="","",'INPUT-SIF_Questions'!A60)</f>
        <v>OBS-008</v>
      </c>
      <c r="C60" s="4" t="str">
        <f>IF(A60="","",'INPUT-SIF_Questions'!J60)</f>
        <v>B</v>
      </c>
      <c r="D60" s="4" t="str">
        <f>IF(A60="","",'INPUT-SIF_Questions'!H60)</f>
        <v>CSE</v>
      </c>
      <c r="E60" s="4" t="str">
        <f>IF(A60="","",'INPUT-SIF_Questions'!K60)</f>
        <v>CLSR04-B</v>
      </c>
      <c r="F60" s="4" t="str">
        <f>IF(D60="","",IFERROR(VLOOKUP(D60,Helper_Protocol_Map!$A$2:$B$11,2,FALSE()),"OTHER"))</f>
        <v>CLSR04</v>
      </c>
      <c r="G60" s="4">
        <f>IF(A60="","",N('INPUT-SIF_Questions'!M60)+N('INPUT-SIF_Questions'!N60)+N('INPUT-SIF_Questions'!O60))</f>
        <v>1</v>
      </c>
      <c r="H60" s="4" t="str">
        <f t="shared" si="0"/>
        <v>PASS</v>
      </c>
      <c r="I60" s="4" t="str">
        <f t="shared" si="1"/>
        <v>PASS</v>
      </c>
      <c r="J60" s="4" t="str">
        <f>IF(A60="","",IF(AND('INPUT-SIF_Questions'!S60&lt;&gt;"",'INPUT-SIF_Questions'!V60&lt;&gt;"",'INPUT-SIF_Questions'!W60&lt;&gt;""),"PASS","WARNING"))</f>
        <v>PASS</v>
      </c>
      <c r="K60" s="4" t="str">
        <f t="shared" si="2"/>
        <v>PASS</v>
      </c>
      <c r="L60" s="4" t="str">
        <f t="shared" si="3"/>
        <v/>
      </c>
    </row>
    <row r="61" spans="1:12" ht="14.25" customHeight="1" x14ac:dyDescent="0.45">
      <c r="A61" s="4">
        <f>IF('INPUT-SIF_Questions'!A61="","",ROW())</f>
        <v>61</v>
      </c>
      <c r="B61" s="4" t="str">
        <f>IF(A61="","",'INPUT-SIF_Questions'!A61)</f>
        <v>OBS-008</v>
      </c>
      <c r="C61" s="4" t="str">
        <f>IF(A61="","",'INPUT-SIF_Questions'!J61)</f>
        <v>C</v>
      </c>
      <c r="D61" s="4" t="str">
        <f>IF(A61="","",'INPUT-SIF_Questions'!H61)</f>
        <v>CSE</v>
      </c>
      <c r="E61" s="4" t="str">
        <f>IF(A61="","",'INPUT-SIF_Questions'!K61)</f>
        <v>CLSR04-C</v>
      </c>
      <c r="F61" s="4" t="str">
        <f>IF(D61="","",IFERROR(VLOOKUP(D61,Helper_Protocol_Map!$A$2:$B$11,2,FALSE()),"OTHER"))</f>
        <v>CLSR04</v>
      </c>
      <c r="G61" s="4">
        <f>IF(A61="","",N('INPUT-SIF_Questions'!M61)+N('INPUT-SIF_Questions'!N61)+N('INPUT-SIF_Questions'!O61))</f>
        <v>1</v>
      </c>
      <c r="H61" s="4" t="str">
        <f t="shared" si="0"/>
        <v>PASS</v>
      </c>
      <c r="I61" s="4" t="str">
        <f t="shared" si="1"/>
        <v>PASS</v>
      </c>
      <c r="J61" s="4" t="str">
        <f>IF(A61="","",IF(AND('INPUT-SIF_Questions'!S61&lt;&gt;"",'INPUT-SIF_Questions'!V61&lt;&gt;"",'INPUT-SIF_Questions'!W61&lt;&gt;""),"PASS","WARNING"))</f>
        <v>PASS</v>
      </c>
      <c r="K61" s="4" t="str">
        <f t="shared" si="2"/>
        <v>PASS</v>
      </c>
      <c r="L61" s="4" t="str">
        <f t="shared" si="3"/>
        <v/>
      </c>
    </row>
    <row r="62" spans="1:12" ht="14.25" customHeight="1" x14ac:dyDescent="0.45">
      <c r="A62" s="4">
        <f>IF('INPUT-SIF_Questions'!A62="","",ROW())</f>
        <v>62</v>
      </c>
      <c r="B62" s="4" t="str">
        <f>IF(A62="","",'INPUT-SIF_Questions'!A62)</f>
        <v>OBS-008</v>
      </c>
      <c r="C62" s="4" t="str">
        <f>IF(A62="","",'INPUT-SIF_Questions'!J62)</f>
        <v>D</v>
      </c>
      <c r="D62" s="4" t="str">
        <f>IF(A62="","",'INPUT-SIF_Questions'!H62)</f>
        <v>CSE</v>
      </c>
      <c r="E62" s="4" t="str">
        <f>IF(A62="","",'INPUT-SIF_Questions'!K62)</f>
        <v>CLSR04-D</v>
      </c>
      <c r="F62" s="4" t="str">
        <f>IF(D62="","",IFERROR(VLOOKUP(D62,Helper_Protocol_Map!$A$2:$B$11,2,FALSE()),"OTHER"))</f>
        <v>CLSR04</v>
      </c>
      <c r="G62" s="4">
        <f>IF(A62="","",N('INPUT-SIF_Questions'!M62)+N('INPUT-SIF_Questions'!N62)+N('INPUT-SIF_Questions'!O62))</f>
        <v>1</v>
      </c>
      <c r="H62" s="4" t="str">
        <f t="shared" si="0"/>
        <v>PASS</v>
      </c>
      <c r="I62" s="4" t="str">
        <f t="shared" si="1"/>
        <v>PASS</v>
      </c>
      <c r="J62" s="4" t="str">
        <f>IF(A62="","",IF(AND('INPUT-SIF_Questions'!S62&lt;&gt;"",'INPUT-SIF_Questions'!V62&lt;&gt;"",'INPUT-SIF_Questions'!W62&lt;&gt;""),"PASS","WARNING"))</f>
        <v>PASS</v>
      </c>
      <c r="K62" s="4" t="str">
        <f t="shared" si="2"/>
        <v>PASS</v>
      </c>
      <c r="L62" s="4" t="str">
        <f t="shared" si="3"/>
        <v/>
      </c>
    </row>
    <row r="63" spans="1:12" ht="14.25" customHeight="1" x14ac:dyDescent="0.45">
      <c r="A63" s="4">
        <f>IF('INPUT-SIF_Questions'!A63="","",ROW())</f>
        <v>63</v>
      </c>
      <c r="B63" s="4" t="str">
        <f>IF(A63="","",'INPUT-SIF_Questions'!A63)</f>
        <v>OBS-008</v>
      </c>
      <c r="C63" s="4" t="str">
        <f>IF(A63="","",'INPUT-SIF_Questions'!J63)</f>
        <v>E</v>
      </c>
      <c r="D63" s="4" t="str">
        <f>IF(A63="","",'INPUT-SIF_Questions'!H63)</f>
        <v>CSE</v>
      </c>
      <c r="E63" s="4" t="str">
        <f>IF(A63="","",'INPUT-SIF_Questions'!K63)</f>
        <v>CLSR04-E</v>
      </c>
      <c r="F63" s="4" t="str">
        <f>IF(D63="","",IFERROR(VLOOKUP(D63,Helper_Protocol_Map!$A$2:$B$11,2,FALSE()),"OTHER"))</f>
        <v>CLSR04</v>
      </c>
      <c r="G63" s="4">
        <f>IF(A63="","",N('INPUT-SIF_Questions'!M63)+N('INPUT-SIF_Questions'!N63)+N('INPUT-SIF_Questions'!O63))</f>
        <v>1</v>
      </c>
      <c r="H63" s="4" t="str">
        <f t="shared" si="0"/>
        <v>PASS</v>
      </c>
      <c r="I63" s="4" t="str">
        <f t="shared" si="1"/>
        <v>PASS</v>
      </c>
      <c r="J63" s="4" t="str">
        <f>IF(A63="","",IF(AND('INPUT-SIF_Questions'!S63&lt;&gt;"",'INPUT-SIF_Questions'!V63&lt;&gt;"",'INPUT-SIF_Questions'!W63&lt;&gt;""),"PASS","WARNING"))</f>
        <v>PASS</v>
      </c>
      <c r="K63" s="4" t="str">
        <f t="shared" si="2"/>
        <v>PASS</v>
      </c>
      <c r="L63" s="4" t="str">
        <f t="shared" si="3"/>
        <v/>
      </c>
    </row>
    <row r="64" spans="1:12" ht="14.25" customHeight="1" x14ac:dyDescent="0.45">
      <c r="A64" s="4">
        <f>IF('INPUT-SIF_Questions'!A64="","",ROW())</f>
        <v>64</v>
      </c>
      <c r="B64" s="4" t="str">
        <f>IF(A64="","",'INPUT-SIF_Questions'!A64)</f>
        <v>OBS-008</v>
      </c>
      <c r="C64" s="4" t="str">
        <f>IF(A64="","",'INPUT-SIF_Questions'!J64)</f>
        <v>F</v>
      </c>
      <c r="D64" s="4" t="str">
        <f>IF(A64="","",'INPUT-SIF_Questions'!H64)</f>
        <v>CSE</v>
      </c>
      <c r="E64" s="4" t="str">
        <f>IF(A64="","",'INPUT-SIF_Questions'!K64)</f>
        <v>CLSR04-F</v>
      </c>
      <c r="F64" s="4" t="str">
        <f>IF(D64="","",IFERROR(VLOOKUP(D64,Helper_Protocol_Map!$A$2:$B$11,2,FALSE()),"OTHER"))</f>
        <v>CLSR04</v>
      </c>
      <c r="G64" s="4">
        <f>IF(A64="","",N('INPUT-SIF_Questions'!M64)+N('INPUT-SIF_Questions'!N64)+N('INPUT-SIF_Questions'!O64))</f>
        <v>1</v>
      </c>
      <c r="H64" s="4" t="str">
        <f t="shared" si="0"/>
        <v>PASS</v>
      </c>
      <c r="I64" s="4" t="str">
        <f t="shared" si="1"/>
        <v>PASS</v>
      </c>
      <c r="J64" s="4" t="str">
        <f>IF(A64="","",IF(AND('INPUT-SIF_Questions'!S64&lt;&gt;"",'INPUT-SIF_Questions'!V64&lt;&gt;"",'INPUT-SIF_Questions'!W64&lt;&gt;""),"PASS","WARNING"))</f>
        <v>PASS</v>
      </c>
      <c r="K64" s="4" t="str">
        <f t="shared" si="2"/>
        <v>PASS</v>
      </c>
      <c r="L64" s="4" t="str">
        <f t="shared" si="3"/>
        <v/>
      </c>
    </row>
    <row r="65" spans="1:12" ht="14.25" customHeight="1" x14ac:dyDescent="0.45">
      <c r="A65" s="4">
        <f>IF('INPUT-SIF_Questions'!A65="","",ROW())</f>
        <v>65</v>
      </c>
      <c r="B65" s="4" t="str">
        <f>IF(A65="","",'INPUT-SIF_Questions'!A65)</f>
        <v>OBS-008</v>
      </c>
      <c r="C65" s="4" t="str">
        <f>IF(A65="","",'INPUT-SIF_Questions'!J65)</f>
        <v>G</v>
      </c>
      <c r="D65" s="4" t="str">
        <f>IF(A65="","",'INPUT-SIF_Questions'!H65)</f>
        <v>CSE</v>
      </c>
      <c r="E65" s="4" t="str">
        <f>IF(A65="","",'INPUT-SIF_Questions'!K65)</f>
        <v>CLSR04-G</v>
      </c>
      <c r="F65" s="4" t="str">
        <f>IF(D65="","",IFERROR(VLOOKUP(D65,Helper_Protocol_Map!$A$2:$B$11,2,FALSE()),"OTHER"))</f>
        <v>CLSR04</v>
      </c>
      <c r="G65" s="4">
        <f>IF(A65="","",N('INPUT-SIF_Questions'!M65)+N('INPUT-SIF_Questions'!N65)+N('INPUT-SIF_Questions'!O65))</f>
        <v>1</v>
      </c>
      <c r="H65" s="4" t="str">
        <f t="shared" si="0"/>
        <v>PASS</v>
      </c>
      <c r="I65" s="4" t="str">
        <f t="shared" si="1"/>
        <v>PASS</v>
      </c>
      <c r="J65" s="4" t="str">
        <f>IF(A65="","",IF(AND('INPUT-SIF_Questions'!S65&lt;&gt;"",'INPUT-SIF_Questions'!V65&lt;&gt;"",'INPUT-SIF_Questions'!W65&lt;&gt;""),"PASS","WARNING"))</f>
        <v>PASS</v>
      </c>
      <c r="K65" s="4" t="str">
        <f t="shared" si="2"/>
        <v>PASS</v>
      </c>
      <c r="L65" s="4" t="str">
        <f t="shared" si="3"/>
        <v/>
      </c>
    </row>
    <row r="66" spans="1:12" ht="14.25" customHeight="1" x14ac:dyDescent="0.45">
      <c r="A66" s="4">
        <f>IF('INPUT-SIF_Questions'!A66="","",ROW())</f>
        <v>66</v>
      </c>
      <c r="B66" s="4" t="str">
        <f>IF(A66="","",'INPUT-SIF_Questions'!A66)</f>
        <v>OBS-009</v>
      </c>
      <c r="C66" s="4" t="str">
        <f>IF(A66="","",'INPUT-SIF_Questions'!J66)</f>
        <v>A</v>
      </c>
      <c r="D66" s="4" t="str">
        <f>IF(A66="","",'INPUT-SIF_Questions'!H66)</f>
        <v>CSE</v>
      </c>
      <c r="E66" s="4" t="str">
        <f>IF(A66="","",'INPUT-SIF_Questions'!K66)</f>
        <v>CLSR04-A</v>
      </c>
      <c r="F66" s="4" t="str">
        <f>IF(D66="","",IFERROR(VLOOKUP(D66,Helper_Protocol_Map!$A$2:$B$11,2,FALSE()),"OTHER"))</f>
        <v>CLSR04</v>
      </c>
      <c r="G66" s="4">
        <f>IF(A66="","",N('INPUT-SIF_Questions'!M66)+N('INPUT-SIF_Questions'!N66)+N('INPUT-SIF_Questions'!O66))</f>
        <v>1</v>
      </c>
      <c r="H66" s="4" t="str">
        <f t="shared" ref="H66:H129" si="4">IF(A66="","",IF(LEFT(E66,6)=F66,"PASS","FAIL"))</f>
        <v>PASS</v>
      </c>
      <c r="I66" s="4" t="str">
        <f t="shared" ref="I66:I129" si="5">IF(A66="","",IF(G66=1,"PASS","FAIL"))</f>
        <v>PASS</v>
      </c>
      <c r="J66" s="4" t="str">
        <f>IF(A66="","",IF(AND('INPUT-SIF_Questions'!S66&lt;&gt;"",'INPUT-SIF_Questions'!V66&lt;&gt;"",'INPUT-SIF_Questions'!W66&lt;&gt;""),"PASS","WARNING"))</f>
        <v>PASS</v>
      </c>
      <c r="K66" s="4" t="str">
        <f t="shared" ref="K66:K129" si="6">IF(A66="","",IF(OR(H66="FAIL",I66="FAIL"),"FAIL",IF(J66="WARNING","WARNING","PASS")))</f>
        <v>PASS</v>
      </c>
      <c r="L66" s="4" t="str">
        <f t="shared" ref="L66:L129" si="7">IF(A66="","",IF(H66="FAIL","Protocol/CCVC mismatch; ","")&amp;IF(I66="FAIL","YES/NO/NA selection invalid; ","")&amp;IF(J66="WARNING","Date/Zona/Site incomplete",""))</f>
        <v/>
      </c>
    </row>
    <row r="67" spans="1:12" ht="14.25" customHeight="1" x14ac:dyDescent="0.45">
      <c r="A67" s="4">
        <f>IF('INPUT-SIF_Questions'!A67="","",ROW())</f>
        <v>67</v>
      </c>
      <c r="B67" s="4" t="str">
        <f>IF(A67="","",'INPUT-SIF_Questions'!A67)</f>
        <v>OBS-009</v>
      </c>
      <c r="C67" s="4" t="str">
        <f>IF(A67="","",'INPUT-SIF_Questions'!J67)</f>
        <v>B</v>
      </c>
      <c r="D67" s="4" t="str">
        <f>IF(A67="","",'INPUT-SIF_Questions'!H67)</f>
        <v>CSE</v>
      </c>
      <c r="E67" s="4" t="str">
        <f>IF(A67="","",'INPUT-SIF_Questions'!K67)</f>
        <v>CLSR04-B</v>
      </c>
      <c r="F67" s="4" t="str">
        <f>IF(D67="","",IFERROR(VLOOKUP(D67,Helper_Protocol_Map!$A$2:$B$11,2,FALSE()),"OTHER"))</f>
        <v>CLSR04</v>
      </c>
      <c r="G67" s="4">
        <f>IF(A67="","",N('INPUT-SIF_Questions'!M67)+N('INPUT-SIF_Questions'!N67)+N('INPUT-SIF_Questions'!O67))</f>
        <v>1</v>
      </c>
      <c r="H67" s="4" t="str">
        <f t="shared" si="4"/>
        <v>PASS</v>
      </c>
      <c r="I67" s="4" t="str">
        <f t="shared" si="5"/>
        <v>PASS</v>
      </c>
      <c r="J67" s="4" t="str">
        <f>IF(A67="","",IF(AND('INPUT-SIF_Questions'!S67&lt;&gt;"",'INPUT-SIF_Questions'!V67&lt;&gt;"",'INPUT-SIF_Questions'!W67&lt;&gt;""),"PASS","WARNING"))</f>
        <v>PASS</v>
      </c>
      <c r="K67" s="4" t="str">
        <f t="shared" si="6"/>
        <v>PASS</v>
      </c>
      <c r="L67" s="4" t="str">
        <f t="shared" si="7"/>
        <v/>
      </c>
    </row>
    <row r="68" spans="1:12" ht="14.25" customHeight="1" x14ac:dyDescent="0.45">
      <c r="A68" s="4">
        <f>IF('INPUT-SIF_Questions'!A68="","",ROW())</f>
        <v>68</v>
      </c>
      <c r="B68" s="4" t="str">
        <f>IF(A68="","",'INPUT-SIF_Questions'!A68)</f>
        <v>OBS-009</v>
      </c>
      <c r="C68" s="4" t="str">
        <f>IF(A68="","",'INPUT-SIF_Questions'!J68)</f>
        <v>C</v>
      </c>
      <c r="D68" s="4" t="str">
        <f>IF(A68="","",'INPUT-SIF_Questions'!H68)</f>
        <v>CSE</v>
      </c>
      <c r="E68" s="4" t="str">
        <f>IF(A68="","",'INPUT-SIF_Questions'!K68)</f>
        <v>CLSR04-C</v>
      </c>
      <c r="F68" s="4" t="str">
        <f>IF(D68="","",IFERROR(VLOOKUP(D68,Helper_Protocol_Map!$A$2:$B$11,2,FALSE()),"OTHER"))</f>
        <v>CLSR04</v>
      </c>
      <c r="G68" s="4">
        <f>IF(A68="","",N('INPUT-SIF_Questions'!M68)+N('INPUT-SIF_Questions'!N68)+N('INPUT-SIF_Questions'!O68))</f>
        <v>1</v>
      </c>
      <c r="H68" s="4" t="str">
        <f t="shared" si="4"/>
        <v>PASS</v>
      </c>
      <c r="I68" s="4" t="str">
        <f t="shared" si="5"/>
        <v>PASS</v>
      </c>
      <c r="J68" s="4" t="str">
        <f>IF(A68="","",IF(AND('INPUT-SIF_Questions'!S68&lt;&gt;"",'INPUT-SIF_Questions'!V68&lt;&gt;"",'INPUT-SIF_Questions'!W68&lt;&gt;""),"PASS","WARNING"))</f>
        <v>PASS</v>
      </c>
      <c r="K68" s="4" t="str">
        <f t="shared" si="6"/>
        <v>PASS</v>
      </c>
      <c r="L68" s="4" t="str">
        <f t="shared" si="7"/>
        <v/>
      </c>
    </row>
    <row r="69" spans="1:12" ht="14.25" customHeight="1" x14ac:dyDescent="0.45">
      <c r="A69" s="4">
        <f>IF('INPUT-SIF_Questions'!A69="","",ROW())</f>
        <v>69</v>
      </c>
      <c r="B69" s="4" t="str">
        <f>IF(A69="","",'INPUT-SIF_Questions'!A69)</f>
        <v>OBS-009</v>
      </c>
      <c r="C69" s="4" t="str">
        <f>IF(A69="","",'INPUT-SIF_Questions'!J69)</f>
        <v>D</v>
      </c>
      <c r="D69" s="4" t="str">
        <f>IF(A69="","",'INPUT-SIF_Questions'!H69)</f>
        <v>CSE</v>
      </c>
      <c r="E69" s="4" t="str">
        <f>IF(A69="","",'INPUT-SIF_Questions'!K69)</f>
        <v>CLSR04-D</v>
      </c>
      <c r="F69" s="4" t="str">
        <f>IF(D69="","",IFERROR(VLOOKUP(D69,Helper_Protocol_Map!$A$2:$B$11,2,FALSE()),"OTHER"))</f>
        <v>CLSR04</v>
      </c>
      <c r="G69" s="4">
        <f>IF(A69="","",N('INPUT-SIF_Questions'!M69)+N('INPUT-SIF_Questions'!N69)+N('INPUT-SIF_Questions'!O69))</f>
        <v>1</v>
      </c>
      <c r="H69" s="4" t="str">
        <f t="shared" si="4"/>
        <v>PASS</v>
      </c>
      <c r="I69" s="4" t="str">
        <f t="shared" si="5"/>
        <v>PASS</v>
      </c>
      <c r="J69" s="4" t="str">
        <f>IF(A69="","",IF(AND('INPUT-SIF_Questions'!S69&lt;&gt;"",'INPUT-SIF_Questions'!V69&lt;&gt;"",'INPUT-SIF_Questions'!W69&lt;&gt;""),"PASS","WARNING"))</f>
        <v>PASS</v>
      </c>
      <c r="K69" s="4" t="str">
        <f t="shared" si="6"/>
        <v>PASS</v>
      </c>
      <c r="L69" s="4" t="str">
        <f t="shared" si="7"/>
        <v/>
      </c>
    </row>
    <row r="70" spans="1:12" ht="14.25" customHeight="1" x14ac:dyDescent="0.45">
      <c r="A70" s="4">
        <f>IF('INPUT-SIF_Questions'!A70="","",ROW())</f>
        <v>70</v>
      </c>
      <c r="B70" s="4" t="str">
        <f>IF(A70="","",'INPUT-SIF_Questions'!A70)</f>
        <v>OBS-009</v>
      </c>
      <c r="C70" s="4" t="str">
        <f>IF(A70="","",'INPUT-SIF_Questions'!J70)</f>
        <v>E</v>
      </c>
      <c r="D70" s="4" t="str">
        <f>IF(A70="","",'INPUT-SIF_Questions'!H70)</f>
        <v>CSE</v>
      </c>
      <c r="E70" s="4" t="str">
        <f>IF(A70="","",'INPUT-SIF_Questions'!K70)</f>
        <v>CLSR04-E</v>
      </c>
      <c r="F70" s="4" t="str">
        <f>IF(D70="","",IFERROR(VLOOKUP(D70,Helper_Protocol_Map!$A$2:$B$11,2,FALSE()),"OTHER"))</f>
        <v>CLSR04</v>
      </c>
      <c r="G70" s="4">
        <f>IF(A70="","",N('INPUT-SIF_Questions'!M70)+N('INPUT-SIF_Questions'!N70)+N('INPUT-SIF_Questions'!O70))</f>
        <v>1</v>
      </c>
      <c r="H70" s="4" t="str">
        <f t="shared" si="4"/>
        <v>PASS</v>
      </c>
      <c r="I70" s="4" t="str">
        <f t="shared" si="5"/>
        <v>PASS</v>
      </c>
      <c r="J70" s="4" t="str">
        <f>IF(A70="","",IF(AND('INPUT-SIF_Questions'!S70&lt;&gt;"",'INPUT-SIF_Questions'!V70&lt;&gt;"",'INPUT-SIF_Questions'!W70&lt;&gt;""),"PASS","WARNING"))</f>
        <v>PASS</v>
      </c>
      <c r="K70" s="4" t="str">
        <f t="shared" si="6"/>
        <v>PASS</v>
      </c>
      <c r="L70" s="4" t="str">
        <f t="shared" si="7"/>
        <v/>
      </c>
    </row>
    <row r="71" spans="1:12" ht="14.25" customHeight="1" x14ac:dyDescent="0.45">
      <c r="A71" s="4">
        <f>IF('INPUT-SIF_Questions'!A71="","",ROW())</f>
        <v>71</v>
      </c>
      <c r="B71" s="4" t="str">
        <f>IF(A71="","",'INPUT-SIF_Questions'!A71)</f>
        <v>OBS-009</v>
      </c>
      <c r="C71" s="4" t="str">
        <f>IF(A71="","",'INPUT-SIF_Questions'!J71)</f>
        <v>F</v>
      </c>
      <c r="D71" s="4" t="str">
        <f>IF(A71="","",'INPUT-SIF_Questions'!H71)</f>
        <v>CSE</v>
      </c>
      <c r="E71" s="4" t="str">
        <f>IF(A71="","",'INPUT-SIF_Questions'!K71)</f>
        <v>CLSR04-F</v>
      </c>
      <c r="F71" s="4" t="str">
        <f>IF(D71="","",IFERROR(VLOOKUP(D71,Helper_Protocol_Map!$A$2:$B$11,2,FALSE()),"OTHER"))</f>
        <v>CLSR04</v>
      </c>
      <c r="G71" s="4">
        <f>IF(A71="","",N('INPUT-SIF_Questions'!M71)+N('INPUT-SIF_Questions'!N71)+N('INPUT-SIF_Questions'!O71))</f>
        <v>1</v>
      </c>
      <c r="H71" s="4" t="str">
        <f t="shared" si="4"/>
        <v>PASS</v>
      </c>
      <c r="I71" s="4" t="str">
        <f t="shared" si="5"/>
        <v>PASS</v>
      </c>
      <c r="J71" s="4" t="str">
        <f>IF(A71="","",IF(AND('INPUT-SIF_Questions'!S71&lt;&gt;"",'INPUT-SIF_Questions'!V71&lt;&gt;"",'INPUT-SIF_Questions'!W71&lt;&gt;""),"PASS","WARNING"))</f>
        <v>PASS</v>
      </c>
      <c r="K71" s="4" t="str">
        <f t="shared" si="6"/>
        <v>PASS</v>
      </c>
      <c r="L71" s="4" t="str">
        <f t="shared" si="7"/>
        <v/>
      </c>
    </row>
    <row r="72" spans="1:12" ht="14.25" customHeight="1" x14ac:dyDescent="0.45">
      <c r="A72" s="4">
        <f>IF('INPUT-SIF_Questions'!A72="","",ROW())</f>
        <v>72</v>
      </c>
      <c r="B72" s="4" t="str">
        <f>IF(A72="","",'INPUT-SIF_Questions'!A72)</f>
        <v>OBS-009</v>
      </c>
      <c r="C72" s="4" t="str">
        <f>IF(A72="","",'INPUT-SIF_Questions'!J72)</f>
        <v>G</v>
      </c>
      <c r="D72" s="4" t="str">
        <f>IF(A72="","",'INPUT-SIF_Questions'!H72)</f>
        <v>CSE</v>
      </c>
      <c r="E72" s="4" t="str">
        <f>IF(A72="","",'INPUT-SIF_Questions'!K72)</f>
        <v>CLSR04-G</v>
      </c>
      <c r="F72" s="4" t="str">
        <f>IF(D72="","",IFERROR(VLOOKUP(D72,Helper_Protocol_Map!$A$2:$B$11,2,FALSE()),"OTHER"))</f>
        <v>CLSR04</v>
      </c>
      <c r="G72" s="4">
        <f>IF(A72="","",N('INPUT-SIF_Questions'!M72)+N('INPUT-SIF_Questions'!N72)+N('INPUT-SIF_Questions'!O72))</f>
        <v>1</v>
      </c>
      <c r="H72" s="4" t="str">
        <f t="shared" si="4"/>
        <v>PASS</v>
      </c>
      <c r="I72" s="4" t="str">
        <f t="shared" si="5"/>
        <v>PASS</v>
      </c>
      <c r="J72" s="4" t="str">
        <f>IF(A72="","",IF(AND('INPUT-SIF_Questions'!S72&lt;&gt;"",'INPUT-SIF_Questions'!V72&lt;&gt;"",'INPUT-SIF_Questions'!W72&lt;&gt;""),"PASS","WARNING"))</f>
        <v>PASS</v>
      </c>
      <c r="K72" s="4" t="str">
        <f t="shared" si="6"/>
        <v>PASS</v>
      </c>
      <c r="L72" s="4" t="str">
        <f t="shared" si="7"/>
        <v/>
      </c>
    </row>
    <row r="73" spans="1:12" ht="14.25" customHeight="1" x14ac:dyDescent="0.45">
      <c r="A73" s="4">
        <f>IF('INPUT-SIF_Questions'!A73="","",ROW())</f>
        <v>73</v>
      </c>
      <c r="B73" s="4" t="str">
        <f>IF(A73="","",'INPUT-SIF_Questions'!A73)</f>
        <v>OBS-010</v>
      </c>
      <c r="C73" s="4" t="str">
        <f>IF(A73="","",'INPUT-SIF_Questions'!J73)</f>
        <v>A</v>
      </c>
      <c r="D73" s="4" t="str">
        <f>IF(A73="","",'INPUT-SIF_Questions'!H73)</f>
        <v>WAH</v>
      </c>
      <c r="E73" s="4" t="str">
        <f>IF(A73="","",'INPUT-SIF_Questions'!K73)</f>
        <v>CLSR07-A</v>
      </c>
      <c r="F73" s="4" t="str">
        <f>IF(D73="","",IFERROR(VLOOKUP(D73,Helper_Protocol_Map!$A$2:$B$11,2,FALSE()),"OTHER"))</f>
        <v>CLSR07</v>
      </c>
      <c r="G73" s="4">
        <f>IF(A73="","",N('INPUT-SIF_Questions'!M73)+N('INPUT-SIF_Questions'!N73)+N('INPUT-SIF_Questions'!O73))</f>
        <v>1</v>
      </c>
      <c r="H73" s="4" t="str">
        <f t="shared" si="4"/>
        <v>PASS</v>
      </c>
      <c r="I73" s="4" t="str">
        <f t="shared" si="5"/>
        <v>PASS</v>
      </c>
      <c r="J73" s="4" t="str">
        <f>IF(A73="","",IF(AND('INPUT-SIF_Questions'!S73&lt;&gt;"",'INPUT-SIF_Questions'!V73&lt;&gt;"",'INPUT-SIF_Questions'!W73&lt;&gt;""),"PASS","WARNING"))</f>
        <v>PASS</v>
      </c>
      <c r="K73" s="4" t="str">
        <f t="shared" si="6"/>
        <v>PASS</v>
      </c>
      <c r="L73" s="4" t="str">
        <f t="shared" si="7"/>
        <v/>
      </c>
    </row>
    <row r="74" spans="1:12" ht="14.25" customHeight="1" x14ac:dyDescent="0.45">
      <c r="A74" s="4">
        <f>IF('INPUT-SIF_Questions'!A74="","",ROW())</f>
        <v>74</v>
      </c>
      <c r="B74" s="4" t="str">
        <f>IF(A74="","",'INPUT-SIF_Questions'!A74)</f>
        <v>OBS-010</v>
      </c>
      <c r="C74" s="4" t="str">
        <f>IF(A74="","",'INPUT-SIF_Questions'!J74)</f>
        <v>B</v>
      </c>
      <c r="D74" s="4" t="str">
        <f>IF(A74="","",'INPUT-SIF_Questions'!H74)</f>
        <v>WAH</v>
      </c>
      <c r="E74" s="4" t="str">
        <f>IF(A74="","",'INPUT-SIF_Questions'!K74)</f>
        <v>CLSR07-B</v>
      </c>
      <c r="F74" s="4" t="str">
        <f>IF(D74="","",IFERROR(VLOOKUP(D74,Helper_Protocol_Map!$A$2:$B$11,2,FALSE()),"OTHER"))</f>
        <v>CLSR07</v>
      </c>
      <c r="G74" s="4">
        <f>IF(A74="","",N('INPUT-SIF_Questions'!M74)+N('INPUT-SIF_Questions'!N74)+N('INPUT-SIF_Questions'!O74))</f>
        <v>1</v>
      </c>
      <c r="H74" s="4" t="str">
        <f t="shared" si="4"/>
        <v>PASS</v>
      </c>
      <c r="I74" s="4" t="str">
        <f t="shared" si="5"/>
        <v>PASS</v>
      </c>
      <c r="J74" s="4" t="str">
        <f>IF(A74="","",IF(AND('INPUT-SIF_Questions'!S74&lt;&gt;"",'INPUT-SIF_Questions'!V74&lt;&gt;"",'INPUT-SIF_Questions'!W74&lt;&gt;""),"PASS","WARNING"))</f>
        <v>PASS</v>
      </c>
      <c r="K74" s="4" t="str">
        <f t="shared" si="6"/>
        <v>PASS</v>
      </c>
      <c r="L74" s="4" t="str">
        <f t="shared" si="7"/>
        <v/>
      </c>
    </row>
    <row r="75" spans="1:12" ht="14.25" customHeight="1" x14ac:dyDescent="0.45">
      <c r="A75" s="4">
        <f>IF('INPUT-SIF_Questions'!A75="","",ROW())</f>
        <v>75</v>
      </c>
      <c r="B75" s="4" t="str">
        <f>IF(A75="","",'INPUT-SIF_Questions'!A75)</f>
        <v>OBS-010</v>
      </c>
      <c r="C75" s="4" t="str">
        <f>IF(A75="","",'INPUT-SIF_Questions'!J75)</f>
        <v>C</v>
      </c>
      <c r="D75" s="4" t="str">
        <f>IF(A75="","",'INPUT-SIF_Questions'!H75)</f>
        <v>WAH</v>
      </c>
      <c r="E75" s="4" t="str">
        <f>IF(A75="","",'INPUT-SIF_Questions'!K75)</f>
        <v>CLSR07-C</v>
      </c>
      <c r="F75" s="4" t="str">
        <f>IF(D75="","",IFERROR(VLOOKUP(D75,Helper_Protocol_Map!$A$2:$B$11,2,FALSE()),"OTHER"))</f>
        <v>CLSR07</v>
      </c>
      <c r="G75" s="4">
        <f>IF(A75="","",N('INPUT-SIF_Questions'!M75)+N('INPUT-SIF_Questions'!N75)+N('INPUT-SIF_Questions'!O75))</f>
        <v>1</v>
      </c>
      <c r="H75" s="4" t="str">
        <f t="shared" si="4"/>
        <v>PASS</v>
      </c>
      <c r="I75" s="4" t="str">
        <f t="shared" si="5"/>
        <v>PASS</v>
      </c>
      <c r="J75" s="4" t="str">
        <f>IF(A75="","",IF(AND('INPUT-SIF_Questions'!S75&lt;&gt;"",'INPUT-SIF_Questions'!V75&lt;&gt;"",'INPUT-SIF_Questions'!W75&lt;&gt;""),"PASS","WARNING"))</f>
        <v>PASS</v>
      </c>
      <c r="K75" s="4" t="str">
        <f t="shared" si="6"/>
        <v>PASS</v>
      </c>
      <c r="L75" s="4" t="str">
        <f t="shared" si="7"/>
        <v/>
      </c>
    </row>
    <row r="76" spans="1:12" ht="14.25" customHeight="1" x14ac:dyDescent="0.45">
      <c r="A76" s="4">
        <f>IF('INPUT-SIF_Questions'!A76="","",ROW())</f>
        <v>76</v>
      </c>
      <c r="B76" s="4" t="str">
        <f>IF(A76="","",'INPUT-SIF_Questions'!A76)</f>
        <v>OBS-010</v>
      </c>
      <c r="C76" s="4" t="str">
        <f>IF(A76="","",'INPUT-SIF_Questions'!J76)</f>
        <v>D</v>
      </c>
      <c r="D76" s="4" t="str">
        <f>IF(A76="","",'INPUT-SIF_Questions'!H76)</f>
        <v>WAH</v>
      </c>
      <c r="E76" s="4" t="str">
        <f>IF(A76="","",'INPUT-SIF_Questions'!K76)</f>
        <v>CLSR07-D</v>
      </c>
      <c r="F76" s="4" t="str">
        <f>IF(D76="","",IFERROR(VLOOKUP(D76,Helper_Protocol_Map!$A$2:$B$11,2,FALSE()),"OTHER"))</f>
        <v>CLSR07</v>
      </c>
      <c r="G76" s="4">
        <f>IF(A76="","",N('INPUT-SIF_Questions'!M76)+N('INPUT-SIF_Questions'!N76)+N('INPUT-SIF_Questions'!O76))</f>
        <v>1</v>
      </c>
      <c r="H76" s="4" t="str">
        <f t="shared" si="4"/>
        <v>PASS</v>
      </c>
      <c r="I76" s="4" t="str">
        <f t="shared" si="5"/>
        <v>PASS</v>
      </c>
      <c r="J76" s="4" t="str">
        <f>IF(A76="","",IF(AND('INPUT-SIF_Questions'!S76&lt;&gt;"",'INPUT-SIF_Questions'!V76&lt;&gt;"",'INPUT-SIF_Questions'!W76&lt;&gt;""),"PASS","WARNING"))</f>
        <v>PASS</v>
      </c>
      <c r="K76" s="4" t="str">
        <f t="shared" si="6"/>
        <v>PASS</v>
      </c>
      <c r="L76" s="4" t="str">
        <f t="shared" si="7"/>
        <v/>
      </c>
    </row>
    <row r="77" spans="1:12" ht="14.25" customHeight="1" x14ac:dyDescent="0.45">
      <c r="A77" s="4">
        <f>IF('INPUT-SIF_Questions'!A77="","",ROW())</f>
        <v>77</v>
      </c>
      <c r="B77" s="4" t="str">
        <f>IF(A77="","",'INPUT-SIF_Questions'!A77)</f>
        <v>OBS-010</v>
      </c>
      <c r="C77" s="4" t="str">
        <f>IF(A77="","",'INPUT-SIF_Questions'!J77)</f>
        <v>E</v>
      </c>
      <c r="D77" s="4" t="str">
        <f>IF(A77="","",'INPUT-SIF_Questions'!H77)</f>
        <v>WAH</v>
      </c>
      <c r="E77" s="4" t="str">
        <f>IF(A77="","",'INPUT-SIF_Questions'!K77)</f>
        <v>CLSR07-E</v>
      </c>
      <c r="F77" s="4" t="str">
        <f>IF(D77="","",IFERROR(VLOOKUP(D77,Helper_Protocol_Map!$A$2:$B$11,2,FALSE()),"OTHER"))</f>
        <v>CLSR07</v>
      </c>
      <c r="G77" s="4">
        <f>IF(A77="","",N('INPUT-SIF_Questions'!M77)+N('INPUT-SIF_Questions'!N77)+N('INPUT-SIF_Questions'!O77))</f>
        <v>1</v>
      </c>
      <c r="H77" s="4" t="str">
        <f t="shared" si="4"/>
        <v>PASS</v>
      </c>
      <c r="I77" s="4" t="str">
        <f t="shared" si="5"/>
        <v>PASS</v>
      </c>
      <c r="J77" s="4" t="str">
        <f>IF(A77="","",IF(AND('INPUT-SIF_Questions'!S77&lt;&gt;"",'INPUT-SIF_Questions'!V77&lt;&gt;"",'INPUT-SIF_Questions'!W77&lt;&gt;""),"PASS","WARNING"))</f>
        <v>PASS</v>
      </c>
      <c r="K77" s="4" t="str">
        <f t="shared" si="6"/>
        <v>PASS</v>
      </c>
      <c r="L77" s="4" t="str">
        <f t="shared" si="7"/>
        <v/>
      </c>
    </row>
    <row r="78" spans="1:12" ht="14.25" customHeight="1" x14ac:dyDescent="0.45">
      <c r="A78" s="4">
        <f>IF('INPUT-SIF_Questions'!A78="","",ROW())</f>
        <v>78</v>
      </c>
      <c r="B78" s="4" t="str">
        <f>IF(A78="","",'INPUT-SIF_Questions'!A78)</f>
        <v>OBS-010</v>
      </c>
      <c r="C78" s="4" t="str">
        <f>IF(A78="","",'INPUT-SIF_Questions'!J78)</f>
        <v>F</v>
      </c>
      <c r="D78" s="4" t="str">
        <f>IF(A78="","",'INPUT-SIF_Questions'!H78)</f>
        <v>WAH</v>
      </c>
      <c r="E78" s="4" t="str">
        <f>IF(A78="","",'INPUT-SIF_Questions'!K78)</f>
        <v>CLSR07-F</v>
      </c>
      <c r="F78" s="4" t="str">
        <f>IF(D78="","",IFERROR(VLOOKUP(D78,Helper_Protocol_Map!$A$2:$B$11,2,FALSE()),"OTHER"))</f>
        <v>CLSR07</v>
      </c>
      <c r="G78" s="4">
        <f>IF(A78="","",N('INPUT-SIF_Questions'!M78)+N('INPUT-SIF_Questions'!N78)+N('INPUT-SIF_Questions'!O78))</f>
        <v>1</v>
      </c>
      <c r="H78" s="4" t="str">
        <f t="shared" si="4"/>
        <v>PASS</v>
      </c>
      <c r="I78" s="4" t="str">
        <f t="shared" si="5"/>
        <v>PASS</v>
      </c>
      <c r="J78" s="4" t="str">
        <f>IF(A78="","",IF(AND('INPUT-SIF_Questions'!S78&lt;&gt;"",'INPUT-SIF_Questions'!V78&lt;&gt;"",'INPUT-SIF_Questions'!W78&lt;&gt;""),"PASS","WARNING"))</f>
        <v>PASS</v>
      </c>
      <c r="K78" s="4" t="str">
        <f t="shared" si="6"/>
        <v>PASS</v>
      </c>
      <c r="L78" s="4" t="str">
        <f t="shared" si="7"/>
        <v/>
      </c>
    </row>
    <row r="79" spans="1:12" ht="14.25" customHeight="1" x14ac:dyDescent="0.45">
      <c r="A79" s="4">
        <f>IF('INPUT-SIF_Questions'!A79="","",ROW())</f>
        <v>79</v>
      </c>
      <c r="B79" s="4" t="str">
        <f>IF(A79="","",'INPUT-SIF_Questions'!A79)</f>
        <v>OBS-010</v>
      </c>
      <c r="C79" s="4" t="str">
        <f>IF(A79="","",'INPUT-SIF_Questions'!J79)</f>
        <v>G</v>
      </c>
      <c r="D79" s="4" t="str">
        <f>IF(A79="","",'INPUT-SIF_Questions'!H79)</f>
        <v>WAH</v>
      </c>
      <c r="E79" s="4" t="str">
        <f>IF(A79="","",'INPUT-SIF_Questions'!K79)</f>
        <v>CLSR07-G</v>
      </c>
      <c r="F79" s="4" t="str">
        <f>IF(D79="","",IFERROR(VLOOKUP(D79,Helper_Protocol_Map!$A$2:$B$11,2,FALSE()),"OTHER"))</f>
        <v>CLSR07</v>
      </c>
      <c r="G79" s="4">
        <f>IF(A79="","",N('INPUT-SIF_Questions'!M79)+N('INPUT-SIF_Questions'!N79)+N('INPUT-SIF_Questions'!O79))</f>
        <v>1</v>
      </c>
      <c r="H79" s="4" t="str">
        <f t="shared" si="4"/>
        <v>PASS</v>
      </c>
      <c r="I79" s="4" t="str">
        <f t="shared" si="5"/>
        <v>PASS</v>
      </c>
      <c r="J79" s="4" t="str">
        <f>IF(A79="","",IF(AND('INPUT-SIF_Questions'!S79&lt;&gt;"",'INPUT-SIF_Questions'!V79&lt;&gt;"",'INPUT-SIF_Questions'!W79&lt;&gt;""),"PASS","WARNING"))</f>
        <v>PASS</v>
      </c>
      <c r="K79" s="4" t="str">
        <f t="shared" si="6"/>
        <v>PASS</v>
      </c>
      <c r="L79" s="4" t="str">
        <f t="shared" si="7"/>
        <v/>
      </c>
    </row>
    <row r="80" spans="1:12" ht="14.25" customHeight="1" x14ac:dyDescent="0.45">
      <c r="A80" s="4">
        <f>IF('INPUT-SIF_Questions'!A80="","",ROW())</f>
        <v>80</v>
      </c>
      <c r="B80" s="4" t="str">
        <f>IF(A80="","",'INPUT-SIF_Questions'!A80)</f>
        <v>OBS-010</v>
      </c>
      <c r="C80" s="4" t="str">
        <f>IF(A80="","",'INPUT-SIF_Questions'!J80)</f>
        <v>H</v>
      </c>
      <c r="D80" s="4" t="str">
        <f>IF(A80="","",'INPUT-SIF_Questions'!H80)</f>
        <v>WAH</v>
      </c>
      <c r="E80" s="4" t="str">
        <f>IF(A80="","",'INPUT-SIF_Questions'!K80)</f>
        <v>CLSR07-H</v>
      </c>
      <c r="F80" s="4" t="str">
        <f>IF(D80="","",IFERROR(VLOOKUP(D80,Helper_Protocol_Map!$A$2:$B$11,2,FALSE()),"OTHER"))</f>
        <v>CLSR07</v>
      </c>
      <c r="G80" s="4">
        <f>IF(A80="","",N('INPUT-SIF_Questions'!M80)+N('INPUT-SIF_Questions'!N80)+N('INPUT-SIF_Questions'!O80))</f>
        <v>1</v>
      </c>
      <c r="H80" s="4" t="str">
        <f t="shared" si="4"/>
        <v>PASS</v>
      </c>
      <c r="I80" s="4" t="str">
        <f t="shared" si="5"/>
        <v>PASS</v>
      </c>
      <c r="J80" s="4" t="str">
        <f>IF(A80="","",IF(AND('INPUT-SIF_Questions'!S80&lt;&gt;"",'INPUT-SIF_Questions'!V80&lt;&gt;"",'INPUT-SIF_Questions'!W80&lt;&gt;""),"PASS","WARNING"))</f>
        <v>PASS</v>
      </c>
      <c r="K80" s="4" t="str">
        <f t="shared" si="6"/>
        <v>PASS</v>
      </c>
      <c r="L80" s="4" t="str">
        <f t="shared" si="7"/>
        <v/>
      </c>
    </row>
    <row r="81" spans="1:12" ht="14.25" customHeight="1" x14ac:dyDescent="0.45">
      <c r="A81" s="4">
        <f>IF('INPUT-SIF_Questions'!A81="","",ROW())</f>
        <v>81</v>
      </c>
      <c r="B81" s="4" t="str">
        <f>IF(A81="","",'INPUT-SIF_Questions'!A81)</f>
        <v>OBS-010</v>
      </c>
      <c r="C81" s="4" t="str">
        <f>IF(A81="","",'INPUT-SIF_Questions'!J81)</f>
        <v>I</v>
      </c>
      <c r="D81" s="4" t="str">
        <f>IF(A81="","",'INPUT-SIF_Questions'!H81)</f>
        <v>WAH</v>
      </c>
      <c r="E81" s="4" t="str">
        <f>IF(A81="","",'INPUT-SIF_Questions'!K81)</f>
        <v>CLSR07-I</v>
      </c>
      <c r="F81" s="4" t="str">
        <f>IF(D81="","",IFERROR(VLOOKUP(D81,Helper_Protocol_Map!$A$2:$B$11,2,FALSE()),"OTHER"))</f>
        <v>CLSR07</v>
      </c>
      <c r="G81" s="4">
        <f>IF(A81="","",N('INPUT-SIF_Questions'!M81)+N('INPUT-SIF_Questions'!N81)+N('INPUT-SIF_Questions'!O81))</f>
        <v>1</v>
      </c>
      <c r="H81" s="4" t="str">
        <f t="shared" si="4"/>
        <v>PASS</v>
      </c>
      <c r="I81" s="4" t="str">
        <f t="shared" si="5"/>
        <v>PASS</v>
      </c>
      <c r="J81" s="4" t="str">
        <f>IF(A81="","",IF(AND('INPUT-SIF_Questions'!S81&lt;&gt;"",'INPUT-SIF_Questions'!V81&lt;&gt;"",'INPUT-SIF_Questions'!W81&lt;&gt;""),"PASS","WARNING"))</f>
        <v>PASS</v>
      </c>
      <c r="K81" s="4" t="str">
        <f t="shared" si="6"/>
        <v>PASS</v>
      </c>
      <c r="L81" s="4" t="str">
        <f t="shared" si="7"/>
        <v/>
      </c>
    </row>
    <row r="82" spans="1:12" ht="14.25" customHeight="1" x14ac:dyDescent="0.45">
      <c r="A82" s="4" t="str">
        <f>IF('INPUT-SIF_Questions'!A82="","",ROW())</f>
        <v/>
      </c>
      <c r="B82" s="4" t="str">
        <f>IF(A82="","",'INPUT-SIF_Questions'!A82)</f>
        <v/>
      </c>
      <c r="C82" s="4" t="str">
        <f>IF(A82="","",'INPUT-SIF_Questions'!J82)</f>
        <v/>
      </c>
      <c r="D82" s="4" t="str">
        <f>IF(A82="","",'INPUT-SIF_Questions'!H82)</f>
        <v/>
      </c>
      <c r="E82" s="4" t="str">
        <f>IF(A82="","",'INPUT-SIF_Questions'!K82)</f>
        <v/>
      </c>
      <c r="F82" s="4" t="str">
        <f>IF(D82="","",IFERROR(VLOOKUP(D82,Helper_Protocol_Map!$A$2:$B$11,2,FALSE()),"OTHER"))</f>
        <v/>
      </c>
      <c r="G82" s="4" t="str">
        <f>IF(A82="","",N('INPUT-SIF_Questions'!M82)+N('INPUT-SIF_Questions'!N82)+N('INPUT-SIF_Questions'!O82))</f>
        <v/>
      </c>
      <c r="H82" s="4" t="str">
        <f t="shared" si="4"/>
        <v/>
      </c>
      <c r="I82" s="4" t="str">
        <f t="shared" si="5"/>
        <v/>
      </c>
      <c r="J82" s="4" t="str">
        <f>IF(A82="","",IF(AND('INPUT-SIF_Questions'!S82&lt;&gt;"",'INPUT-SIF_Questions'!V82&lt;&gt;"",'INPUT-SIF_Questions'!W82&lt;&gt;""),"PASS","WARNING"))</f>
        <v/>
      </c>
      <c r="K82" s="4" t="str">
        <f t="shared" si="6"/>
        <v/>
      </c>
      <c r="L82" s="4" t="str">
        <f t="shared" si="7"/>
        <v/>
      </c>
    </row>
    <row r="83" spans="1:12" ht="14.25" customHeight="1" x14ac:dyDescent="0.45">
      <c r="A83" s="4">
        <f>IF('INPUT-SIF_Questions'!A83="","",ROW())</f>
        <v>83</v>
      </c>
      <c r="B83" s="4" t="str">
        <f>IF(A83="","",'INPUT-SIF_Questions'!A83)</f>
        <v>OBS-011</v>
      </c>
      <c r="C83" s="4" t="str">
        <f>IF(A83="","",'INPUT-SIF_Questions'!J83)</f>
        <v>A</v>
      </c>
      <c r="D83" s="4" t="str">
        <f>IF(A83="","",'INPUT-SIF_Questions'!H83)</f>
        <v>HW</v>
      </c>
      <c r="E83" s="4" t="str">
        <f>IF(A83="","",'INPUT-SIF_Questions'!K83)</f>
        <v>CLSR03-A</v>
      </c>
      <c r="F83" s="4" t="str">
        <f>IF(D83="","",IFERROR(VLOOKUP(D83,Helper_Protocol_Map!$A$2:$B$11,2,FALSE()),"OTHER"))</f>
        <v>CLSR03</v>
      </c>
      <c r="G83" s="4">
        <f>IF(A83="","",N('INPUT-SIF_Questions'!M83)+N('INPUT-SIF_Questions'!N83)+N('INPUT-SIF_Questions'!O83))</f>
        <v>1</v>
      </c>
      <c r="H83" s="4" t="str">
        <f t="shared" si="4"/>
        <v>PASS</v>
      </c>
      <c r="I83" s="4" t="str">
        <f t="shared" si="5"/>
        <v>PASS</v>
      </c>
      <c r="J83" s="4" t="str">
        <f>IF(A83="","",IF(AND('INPUT-SIF_Questions'!S83&lt;&gt;"",'INPUT-SIF_Questions'!V83&lt;&gt;"",'INPUT-SIF_Questions'!W83&lt;&gt;""),"PASS","WARNING"))</f>
        <v>PASS</v>
      </c>
      <c r="K83" s="4" t="str">
        <f t="shared" si="6"/>
        <v>PASS</v>
      </c>
      <c r="L83" s="4" t="str">
        <f t="shared" si="7"/>
        <v/>
      </c>
    </row>
    <row r="84" spans="1:12" ht="14.25" customHeight="1" x14ac:dyDescent="0.45">
      <c r="A84" s="4">
        <f>IF('INPUT-SIF_Questions'!A84="","",ROW())</f>
        <v>84</v>
      </c>
      <c r="B84" s="4" t="str">
        <f>IF(A84="","",'INPUT-SIF_Questions'!A84)</f>
        <v>OBS-011</v>
      </c>
      <c r="C84" s="4" t="str">
        <f>IF(A84="","",'INPUT-SIF_Questions'!J84)</f>
        <v>B</v>
      </c>
      <c r="D84" s="4" t="str">
        <f>IF(A84="","",'INPUT-SIF_Questions'!H84)</f>
        <v>HW</v>
      </c>
      <c r="E84" s="4" t="str">
        <f>IF(A84="","",'INPUT-SIF_Questions'!K84)</f>
        <v>CLSR03-B</v>
      </c>
      <c r="F84" s="4" t="str">
        <f>IF(D84="","",IFERROR(VLOOKUP(D84,Helper_Protocol_Map!$A$2:$B$11,2,FALSE()),"OTHER"))</f>
        <v>CLSR03</v>
      </c>
      <c r="G84" s="4">
        <f>IF(A84="","",N('INPUT-SIF_Questions'!M84)+N('INPUT-SIF_Questions'!N84)+N('INPUT-SIF_Questions'!O84))</f>
        <v>1</v>
      </c>
      <c r="H84" s="4" t="str">
        <f t="shared" si="4"/>
        <v>PASS</v>
      </c>
      <c r="I84" s="4" t="str">
        <f t="shared" si="5"/>
        <v>PASS</v>
      </c>
      <c r="J84" s="4" t="str">
        <f>IF(A84="","",IF(AND('INPUT-SIF_Questions'!S84&lt;&gt;"",'INPUT-SIF_Questions'!V84&lt;&gt;"",'INPUT-SIF_Questions'!W84&lt;&gt;""),"PASS","WARNING"))</f>
        <v>PASS</v>
      </c>
      <c r="K84" s="4" t="str">
        <f t="shared" si="6"/>
        <v>PASS</v>
      </c>
      <c r="L84" s="4" t="str">
        <f t="shared" si="7"/>
        <v/>
      </c>
    </row>
    <row r="85" spans="1:12" ht="14.25" customHeight="1" x14ac:dyDescent="0.45">
      <c r="A85" s="4">
        <f>IF('INPUT-SIF_Questions'!A85="","",ROW())</f>
        <v>85</v>
      </c>
      <c r="B85" s="4" t="str">
        <f>IF(A85="","",'INPUT-SIF_Questions'!A85)</f>
        <v>OBS-011</v>
      </c>
      <c r="C85" s="4" t="str">
        <f>IF(A85="","",'INPUT-SIF_Questions'!J85)</f>
        <v>C</v>
      </c>
      <c r="D85" s="4" t="str">
        <f>IF(A85="","",'INPUT-SIF_Questions'!H85)</f>
        <v>HW</v>
      </c>
      <c r="E85" s="4" t="str">
        <f>IF(A85="","",'INPUT-SIF_Questions'!K85)</f>
        <v>CLSR03-C</v>
      </c>
      <c r="F85" s="4" t="str">
        <f>IF(D85="","",IFERROR(VLOOKUP(D85,Helper_Protocol_Map!$A$2:$B$11,2,FALSE()),"OTHER"))</f>
        <v>CLSR03</v>
      </c>
      <c r="G85" s="4">
        <f>IF(A85="","",N('INPUT-SIF_Questions'!M85)+N('INPUT-SIF_Questions'!N85)+N('INPUT-SIF_Questions'!O85))</f>
        <v>1</v>
      </c>
      <c r="H85" s="4" t="str">
        <f t="shared" si="4"/>
        <v>PASS</v>
      </c>
      <c r="I85" s="4" t="str">
        <f t="shared" si="5"/>
        <v>PASS</v>
      </c>
      <c r="J85" s="4" t="str">
        <f>IF(A85="","",IF(AND('INPUT-SIF_Questions'!S85&lt;&gt;"",'INPUT-SIF_Questions'!V85&lt;&gt;"",'INPUT-SIF_Questions'!W85&lt;&gt;""),"PASS","WARNING"))</f>
        <v>PASS</v>
      </c>
      <c r="K85" s="4" t="str">
        <f t="shared" si="6"/>
        <v>PASS</v>
      </c>
      <c r="L85" s="4" t="str">
        <f t="shared" si="7"/>
        <v/>
      </c>
    </row>
    <row r="86" spans="1:12" ht="14.25" customHeight="1" x14ac:dyDescent="0.45">
      <c r="A86" s="4">
        <f>IF('INPUT-SIF_Questions'!A86="","",ROW())</f>
        <v>86</v>
      </c>
      <c r="B86" s="4" t="str">
        <f>IF(A86="","",'INPUT-SIF_Questions'!A86)</f>
        <v>OBS-011</v>
      </c>
      <c r="C86" s="4" t="str">
        <f>IF(A86="","",'INPUT-SIF_Questions'!J86)</f>
        <v>D</v>
      </c>
      <c r="D86" s="4" t="str">
        <f>IF(A86="","",'INPUT-SIF_Questions'!H86)</f>
        <v>HW</v>
      </c>
      <c r="E86" s="4" t="str">
        <f>IF(A86="","",'INPUT-SIF_Questions'!K86)</f>
        <v>CLSR03-D</v>
      </c>
      <c r="F86" s="4" t="str">
        <f>IF(D86="","",IFERROR(VLOOKUP(D86,Helper_Protocol_Map!$A$2:$B$11,2,FALSE()),"OTHER"))</f>
        <v>CLSR03</v>
      </c>
      <c r="G86" s="4">
        <f>IF(A86="","",N('INPUT-SIF_Questions'!M86)+N('INPUT-SIF_Questions'!N86)+N('INPUT-SIF_Questions'!O86))</f>
        <v>1</v>
      </c>
      <c r="H86" s="4" t="str">
        <f t="shared" si="4"/>
        <v>PASS</v>
      </c>
      <c r="I86" s="4" t="str">
        <f t="shared" si="5"/>
        <v>PASS</v>
      </c>
      <c r="J86" s="4" t="str">
        <f>IF(A86="","",IF(AND('INPUT-SIF_Questions'!S86&lt;&gt;"",'INPUT-SIF_Questions'!V86&lt;&gt;"",'INPUT-SIF_Questions'!W86&lt;&gt;""),"PASS","WARNING"))</f>
        <v>PASS</v>
      </c>
      <c r="K86" s="4" t="str">
        <f t="shared" si="6"/>
        <v>PASS</v>
      </c>
      <c r="L86" s="4" t="str">
        <f t="shared" si="7"/>
        <v/>
      </c>
    </row>
    <row r="87" spans="1:12" ht="14.25" customHeight="1" x14ac:dyDescent="0.45">
      <c r="A87" s="4">
        <f>IF('INPUT-SIF_Questions'!A87="","",ROW())</f>
        <v>87</v>
      </c>
      <c r="B87" s="4" t="str">
        <f>IF(A87="","",'INPUT-SIF_Questions'!A87)</f>
        <v>OBS-011</v>
      </c>
      <c r="C87" s="4" t="str">
        <f>IF(A87="","",'INPUT-SIF_Questions'!J87)</f>
        <v>E</v>
      </c>
      <c r="D87" s="4" t="str">
        <f>IF(A87="","",'INPUT-SIF_Questions'!H87)</f>
        <v>HW</v>
      </c>
      <c r="E87" s="4" t="str">
        <f>IF(A87="","",'INPUT-SIF_Questions'!K87)</f>
        <v>CLSR03-E</v>
      </c>
      <c r="F87" s="4" t="str">
        <f>IF(D87="","",IFERROR(VLOOKUP(D87,Helper_Protocol_Map!$A$2:$B$11,2,FALSE()),"OTHER"))</f>
        <v>CLSR03</v>
      </c>
      <c r="G87" s="4">
        <f>IF(A87="","",N('INPUT-SIF_Questions'!M87)+N('INPUT-SIF_Questions'!N87)+N('INPUT-SIF_Questions'!O87))</f>
        <v>1</v>
      </c>
      <c r="H87" s="4" t="str">
        <f t="shared" si="4"/>
        <v>PASS</v>
      </c>
      <c r="I87" s="4" t="str">
        <f t="shared" si="5"/>
        <v>PASS</v>
      </c>
      <c r="J87" s="4" t="str">
        <f>IF(A87="","",IF(AND('INPUT-SIF_Questions'!S87&lt;&gt;"",'INPUT-SIF_Questions'!V87&lt;&gt;"",'INPUT-SIF_Questions'!W87&lt;&gt;""),"PASS","WARNING"))</f>
        <v>PASS</v>
      </c>
      <c r="K87" s="4" t="str">
        <f t="shared" si="6"/>
        <v>PASS</v>
      </c>
      <c r="L87" s="4" t="str">
        <f t="shared" si="7"/>
        <v/>
      </c>
    </row>
    <row r="88" spans="1:12" ht="14.25" customHeight="1" x14ac:dyDescent="0.45">
      <c r="A88" s="4">
        <f>IF('INPUT-SIF_Questions'!A88="","",ROW())</f>
        <v>88</v>
      </c>
      <c r="B88" s="4" t="str">
        <f>IF(A88="","",'INPUT-SIF_Questions'!A88)</f>
        <v>OBS-011</v>
      </c>
      <c r="C88" s="4" t="str">
        <f>IF(A88="","",'INPUT-SIF_Questions'!J88)</f>
        <v>F</v>
      </c>
      <c r="D88" s="4" t="str">
        <f>IF(A88="","",'INPUT-SIF_Questions'!H88)</f>
        <v>HW</v>
      </c>
      <c r="E88" s="4" t="str">
        <f>IF(A88="","",'INPUT-SIF_Questions'!K88)</f>
        <v>CLSR03-F</v>
      </c>
      <c r="F88" s="4" t="str">
        <f>IF(D88="","",IFERROR(VLOOKUP(D88,Helper_Protocol_Map!$A$2:$B$11,2,FALSE()),"OTHER"))</f>
        <v>CLSR03</v>
      </c>
      <c r="G88" s="4">
        <f>IF(A88="","",N('INPUT-SIF_Questions'!M88)+N('INPUT-SIF_Questions'!N88)+N('INPUT-SIF_Questions'!O88))</f>
        <v>1</v>
      </c>
      <c r="H88" s="4" t="str">
        <f t="shared" si="4"/>
        <v>PASS</v>
      </c>
      <c r="I88" s="4" t="str">
        <f t="shared" si="5"/>
        <v>PASS</v>
      </c>
      <c r="J88" s="4" t="str">
        <f>IF(A88="","",IF(AND('INPUT-SIF_Questions'!S88&lt;&gt;"",'INPUT-SIF_Questions'!V88&lt;&gt;"",'INPUT-SIF_Questions'!W88&lt;&gt;""),"PASS","WARNING"))</f>
        <v>PASS</v>
      </c>
      <c r="K88" s="4" t="str">
        <f t="shared" si="6"/>
        <v>PASS</v>
      </c>
      <c r="L88" s="4" t="str">
        <f t="shared" si="7"/>
        <v/>
      </c>
    </row>
    <row r="89" spans="1:12" ht="14.25" customHeight="1" x14ac:dyDescent="0.45">
      <c r="A89" s="4">
        <f>IF('INPUT-SIF_Questions'!A89="","",ROW())</f>
        <v>89</v>
      </c>
      <c r="B89" s="4" t="str">
        <f>IF(A89="","",'INPUT-SIF_Questions'!A89)</f>
        <v>OBS-011</v>
      </c>
      <c r="C89" s="4" t="str">
        <f>IF(A89="","",'INPUT-SIF_Questions'!J89)</f>
        <v>G</v>
      </c>
      <c r="D89" s="4" t="str">
        <f>IF(A89="","",'INPUT-SIF_Questions'!H89)</f>
        <v>HW</v>
      </c>
      <c r="E89" s="4" t="str">
        <f>IF(A89="","",'INPUT-SIF_Questions'!K89)</f>
        <v>CLSR03-G</v>
      </c>
      <c r="F89" s="4" t="str">
        <f>IF(D89="","",IFERROR(VLOOKUP(D89,Helper_Protocol_Map!$A$2:$B$11,2,FALSE()),"OTHER"))</f>
        <v>CLSR03</v>
      </c>
      <c r="G89" s="4">
        <f>IF(A89="","",N('INPUT-SIF_Questions'!M89)+N('INPUT-SIF_Questions'!N89)+N('INPUT-SIF_Questions'!O89))</f>
        <v>1</v>
      </c>
      <c r="H89" s="4" t="str">
        <f t="shared" si="4"/>
        <v>PASS</v>
      </c>
      <c r="I89" s="4" t="str">
        <f t="shared" si="5"/>
        <v>PASS</v>
      </c>
      <c r="J89" s="4" t="str">
        <f>IF(A89="","",IF(AND('INPUT-SIF_Questions'!S89&lt;&gt;"",'INPUT-SIF_Questions'!V89&lt;&gt;"",'INPUT-SIF_Questions'!W89&lt;&gt;""),"PASS","WARNING"))</f>
        <v>PASS</v>
      </c>
      <c r="K89" s="4" t="str">
        <f t="shared" si="6"/>
        <v>PASS</v>
      </c>
      <c r="L89" s="4" t="str">
        <f t="shared" si="7"/>
        <v/>
      </c>
    </row>
    <row r="90" spans="1:12" ht="14.25" customHeight="1" x14ac:dyDescent="0.45">
      <c r="A90" s="4">
        <f>IF('INPUT-SIF_Questions'!A90="","",ROW())</f>
        <v>90</v>
      </c>
      <c r="B90" s="4" t="str">
        <f>IF(A90="","",'INPUT-SIF_Questions'!A90)</f>
        <v>OBS-012</v>
      </c>
      <c r="C90" s="4" t="str">
        <f>IF(A90="","",'INPUT-SIF_Questions'!J90)</f>
        <v>A</v>
      </c>
      <c r="D90" s="4" t="str">
        <f>IF(A90="","",'INPUT-SIF_Questions'!H90)</f>
        <v>WAH</v>
      </c>
      <c r="E90" s="4" t="str">
        <f>IF(A90="","",'INPUT-SIF_Questions'!K90)</f>
        <v>CLSR07-A</v>
      </c>
      <c r="F90" s="4" t="str">
        <f>IF(D90="","",IFERROR(VLOOKUP(D90,Helper_Protocol_Map!$A$2:$B$11,2,FALSE()),"OTHER"))</f>
        <v>CLSR07</v>
      </c>
      <c r="G90" s="4">
        <f>IF(A90="","",N('INPUT-SIF_Questions'!M90)+N('INPUT-SIF_Questions'!N90)+N('INPUT-SIF_Questions'!O90))</f>
        <v>1</v>
      </c>
      <c r="H90" s="4" t="str">
        <f t="shared" si="4"/>
        <v>PASS</v>
      </c>
      <c r="I90" s="4" t="str">
        <f t="shared" si="5"/>
        <v>PASS</v>
      </c>
      <c r="J90" s="4" t="str">
        <f>IF(A90="","",IF(AND('INPUT-SIF_Questions'!S90&lt;&gt;"",'INPUT-SIF_Questions'!V90&lt;&gt;"",'INPUT-SIF_Questions'!W90&lt;&gt;""),"PASS","WARNING"))</f>
        <v>PASS</v>
      </c>
      <c r="K90" s="4" t="str">
        <f t="shared" si="6"/>
        <v>PASS</v>
      </c>
      <c r="L90" s="4" t="str">
        <f t="shared" si="7"/>
        <v/>
      </c>
    </row>
    <row r="91" spans="1:12" ht="14.25" customHeight="1" x14ac:dyDescent="0.45">
      <c r="A91" s="4">
        <f>IF('INPUT-SIF_Questions'!A91="","",ROW())</f>
        <v>91</v>
      </c>
      <c r="B91" s="4" t="str">
        <f>IF(A91="","",'INPUT-SIF_Questions'!A91)</f>
        <v>OBS-012</v>
      </c>
      <c r="C91" s="4" t="str">
        <f>IF(A91="","",'INPUT-SIF_Questions'!J91)</f>
        <v>B</v>
      </c>
      <c r="D91" s="4" t="str">
        <f>IF(A91="","",'INPUT-SIF_Questions'!H91)</f>
        <v>WAH</v>
      </c>
      <c r="E91" s="4" t="str">
        <f>IF(A91="","",'INPUT-SIF_Questions'!K91)</f>
        <v>CLSR07-B</v>
      </c>
      <c r="F91" s="4" t="str">
        <f>IF(D91="","",IFERROR(VLOOKUP(D91,Helper_Protocol_Map!$A$2:$B$11,2,FALSE()),"OTHER"))</f>
        <v>CLSR07</v>
      </c>
      <c r="G91" s="4">
        <f>IF(A91="","",N('INPUT-SIF_Questions'!M91)+N('INPUT-SIF_Questions'!N91)+N('INPUT-SIF_Questions'!O91))</f>
        <v>1</v>
      </c>
      <c r="H91" s="4" t="str">
        <f t="shared" si="4"/>
        <v>PASS</v>
      </c>
      <c r="I91" s="4" t="str">
        <f t="shared" si="5"/>
        <v>PASS</v>
      </c>
      <c r="J91" s="4" t="str">
        <f>IF(A91="","",IF(AND('INPUT-SIF_Questions'!S91&lt;&gt;"",'INPUT-SIF_Questions'!V91&lt;&gt;"",'INPUT-SIF_Questions'!W91&lt;&gt;""),"PASS","WARNING"))</f>
        <v>PASS</v>
      </c>
      <c r="K91" s="4" t="str">
        <f t="shared" si="6"/>
        <v>PASS</v>
      </c>
      <c r="L91" s="4" t="str">
        <f t="shared" si="7"/>
        <v/>
      </c>
    </row>
    <row r="92" spans="1:12" ht="14.25" customHeight="1" x14ac:dyDescent="0.45">
      <c r="A92" s="4">
        <f>IF('INPUT-SIF_Questions'!A92="","",ROW())</f>
        <v>92</v>
      </c>
      <c r="B92" s="4" t="str">
        <f>IF(A92="","",'INPUT-SIF_Questions'!A92)</f>
        <v>OBS-012</v>
      </c>
      <c r="C92" s="4" t="str">
        <f>IF(A92="","",'INPUT-SIF_Questions'!J92)</f>
        <v>C</v>
      </c>
      <c r="D92" s="4" t="str">
        <f>IF(A92="","",'INPUT-SIF_Questions'!H92)</f>
        <v>WAH</v>
      </c>
      <c r="E92" s="4" t="str">
        <f>IF(A92="","",'INPUT-SIF_Questions'!K92)</f>
        <v>CLSR07-C</v>
      </c>
      <c r="F92" s="4" t="str">
        <f>IF(D92="","",IFERROR(VLOOKUP(D92,Helper_Protocol_Map!$A$2:$B$11,2,FALSE()),"OTHER"))</f>
        <v>CLSR07</v>
      </c>
      <c r="G92" s="4">
        <f>IF(A92="","",N('INPUT-SIF_Questions'!M92)+N('INPUT-SIF_Questions'!N92)+N('INPUT-SIF_Questions'!O92))</f>
        <v>1</v>
      </c>
      <c r="H92" s="4" t="str">
        <f t="shared" si="4"/>
        <v>PASS</v>
      </c>
      <c r="I92" s="4" t="str">
        <f t="shared" si="5"/>
        <v>PASS</v>
      </c>
      <c r="J92" s="4" t="str">
        <f>IF(A92="","",IF(AND('INPUT-SIF_Questions'!S92&lt;&gt;"",'INPUT-SIF_Questions'!V92&lt;&gt;"",'INPUT-SIF_Questions'!W92&lt;&gt;""),"PASS","WARNING"))</f>
        <v>PASS</v>
      </c>
      <c r="K92" s="4" t="str">
        <f t="shared" si="6"/>
        <v>PASS</v>
      </c>
      <c r="L92" s="4" t="str">
        <f t="shared" si="7"/>
        <v/>
      </c>
    </row>
    <row r="93" spans="1:12" ht="14.25" customHeight="1" x14ac:dyDescent="0.45">
      <c r="A93" s="4">
        <f>IF('INPUT-SIF_Questions'!A93="","",ROW())</f>
        <v>93</v>
      </c>
      <c r="B93" s="4" t="str">
        <f>IF(A93="","",'INPUT-SIF_Questions'!A93)</f>
        <v>OBS-012</v>
      </c>
      <c r="C93" s="4" t="str">
        <f>IF(A93="","",'INPUT-SIF_Questions'!J93)</f>
        <v>D</v>
      </c>
      <c r="D93" s="4" t="str">
        <f>IF(A93="","",'INPUT-SIF_Questions'!H93)</f>
        <v>WAH</v>
      </c>
      <c r="E93" s="4" t="str">
        <f>IF(A93="","",'INPUT-SIF_Questions'!K93)</f>
        <v>CLSR07-D</v>
      </c>
      <c r="F93" s="4" t="str">
        <f>IF(D93="","",IFERROR(VLOOKUP(D93,Helper_Protocol_Map!$A$2:$B$11,2,FALSE()),"OTHER"))</f>
        <v>CLSR07</v>
      </c>
      <c r="G93" s="4">
        <f>IF(A93="","",N('INPUT-SIF_Questions'!M93)+N('INPUT-SIF_Questions'!N93)+N('INPUT-SIF_Questions'!O93))</f>
        <v>1</v>
      </c>
      <c r="H93" s="4" t="str">
        <f t="shared" si="4"/>
        <v>PASS</v>
      </c>
      <c r="I93" s="4" t="str">
        <f t="shared" si="5"/>
        <v>PASS</v>
      </c>
      <c r="J93" s="4" t="str">
        <f>IF(A93="","",IF(AND('INPUT-SIF_Questions'!S93&lt;&gt;"",'INPUT-SIF_Questions'!V93&lt;&gt;"",'INPUT-SIF_Questions'!W93&lt;&gt;""),"PASS","WARNING"))</f>
        <v>PASS</v>
      </c>
      <c r="K93" s="4" t="str">
        <f t="shared" si="6"/>
        <v>PASS</v>
      </c>
      <c r="L93" s="4" t="str">
        <f t="shared" si="7"/>
        <v/>
      </c>
    </row>
    <row r="94" spans="1:12" ht="14.25" customHeight="1" x14ac:dyDescent="0.45">
      <c r="A94" s="4">
        <f>IF('INPUT-SIF_Questions'!A94="","",ROW())</f>
        <v>94</v>
      </c>
      <c r="B94" s="4" t="str">
        <f>IF(A94="","",'INPUT-SIF_Questions'!A94)</f>
        <v>OBS-012</v>
      </c>
      <c r="C94" s="4" t="str">
        <f>IF(A94="","",'INPUT-SIF_Questions'!J94)</f>
        <v>E</v>
      </c>
      <c r="D94" s="4" t="str">
        <f>IF(A94="","",'INPUT-SIF_Questions'!H94)</f>
        <v>WAH</v>
      </c>
      <c r="E94" s="4" t="str">
        <f>IF(A94="","",'INPUT-SIF_Questions'!K94)</f>
        <v>CLSR07-E</v>
      </c>
      <c r="F94" s="4" t="str">
        <f>IF(D94="","",IFERROR(VLOOKUP(D94,Helper_Protocol_Map!$A$2:$B$11,2,FALSE()),"OTHER"))</f>
        <v>CLSR07</v>
      </c>
      <c r="G94" s="4">
        <f>IF(A94="","",N('INPUT-SIF_Questions'!M94)+N('INPUT-SIF_Questions'!N94)+N('INPUT-SIF_Questions'!O94))</f>
        <v>1</v>
      </c>
      <c r="H94" s="4" t="str">
        <f t="shared" si="4"/>
        <v>PASS</v>
      </c>
      <c r="I94" s="4" t="str">
        <f t="shared" si="5"/>
        <v>PASS</v>
      </c>
      <c r="J94" s="4" t="str">
        <f>IF(A94="","",IF(AND('INPUT-SIF_Questions'!S94&lt;&gt;"",'INPUT-SIF_Questions'!V94&lt;&gt;"",'INPUT-SIF_Questions'!W94&lt;&gt;""),"PASS","WARNING"))</f>
        <v>PASS</v>
      </c>
      <c r="K94" s="4" t="str">
        <f t="shared" si="6"/>
        <v>PASS</v>
      </c>
      <c r="L94" s="4" t="str">
        <f t="shared" si="7"/>
        <v/>
      </c>
    </row>
    <row r="95" spans="1:12" ht="14.25" customHeight="1" x14ac:dyDescent="0.45">
      <c r="A95" s="4">
        <f>IF('INPUT-SIF_Questions'!A95="","",ROW())</f>
        <v>95</v>
      </c>
      <c r="B95" s="4" t="str">
        <f>IF(A95="","",'INPUT-SIF_Questions'!A95)</f>
        <v>OBS-012</v>
      </c>
      <c r="C95" s="4" t="str">
        <f>IF(A95="","",'INPUT-SIF_Questions'!J95)</f>
        <v>F</v>
      </c>
      <c r="D95" s="4" t="str">
        <f>IF(A95="","",'INPUT-SIF_Questions'!H95)</f>
        <v>WAH</v>
      </c>
      <c r="E95" s="4" t="str">
        <f>IF(A95="","",'INPUT-SIF_Questions'!K95)</f>
        <v>CLSR07-F</v>
      </c>
      <c r="F95" s="4" t="str">
        <f>IF(D95="","",IFERROR(VLOOKUP(D95,Helper_Protocol_Map!$A$2:$B$11,2,FALSE()),"OTHER"))</f>
        <v>CLSR07</v>
      </c>
      <c r="G95" s="4">
        <f>IF(A95="","",N('INPUT-SIF_Questions'!M95)+N('INPUT-SIF_Questions'!N95)+N('INPUT-SIF_Questions'!O95))</f>
        <v>1</v>
      </c>
      <c r="H95" s="4" t="str">
        <f t="shared" si="4"/>
        <v>PASS</v>
      </c>
      <c r="I95" s="4" t="str">
        <f t="shared" si="5"/>
        <v>PASS</v>
      </c>
      <c r="J95" s="4" t="str">
        <f>IF(A95="","",IF(AND('INPUT-SIF_Questions'!S95&lt;&gt;"",'INPUT-SIF_Questions'!V95&lt;&gt;"",'INPUT-SIF_Questions'!W95&lt;&gt;""),"PASS","WARNING"))</f>
        <v>PASS</v>
      </c>
      <c r="K95" s="4" t="str">
        <f t="shared" si="6"/>
        <v>PASS</v>
      </c>
      <c r="L95" s="4" t="str">
        <f t="shared" si="7"/>
        <v/>
      </c>
    </row>
    <row r="96" spans="1:12" ht="14.25" customHeight="1" x14ac:dyDescent="0.45">
      <c r="A96" s="4">
        <f>IF('INPUT-SIF_Questions'!A96="","",ROW())</f>
        <v>96</v>
      </c>
      <c r="B96" s="4" t="str">
        <f>IF(A96="","",'INPUT-SIF_Questions'!A96)</f>
        <v>OBS-012</v>
      </c>
      <c r="C96" s="4" t="str">
        <f>IF(A96="","",'INPUT-SIF_Questions'!J96)</f>
        <v>G</v>
      </c>
      <c r="D96" s="4" t="str">
        <f>IF(A96="","",'INPUT-SIF_Questions'!H96)</f>
        <v>WAH</v>
      </c>
      <c r="E96" s="4" t="str">
        <f>IF(A96="","",'INPUT-SIF_Questions'!K96)</f>
        <v>CLSR07-G</v>
      </c>
      <c r="F96" s="4" t="str">
        <f>IF(D96="","",IFERROR(VLOOKUP(D96,Helper_Protocol_Map!$A$2:$B$11,2,FALSE()),"OTHER"))</f>
        <v>CLSR07</v>
      </c>
      <c r="G96" s="4">
        <f>IF(A96="","",N('INPUT-SIF_Questions'!M96)+N('INPUT-SIF_Questions'!N96)+N('INPUT-SIF_Questions'!O96))</f>
        <v>1</v>
      </c>
      <c r="H96" s="4" t="str">
        <f t="shared" si="4"/>
        <v>PASS</v>
      </c>
      <c r="I96" s="4" t="str">
        <f t="shared" si="5"/>
        <v>PASS</v>
      </c>
      <c r="J96" s="4" t="str">
        <f>IF(A96="","",IF(AND('INPUT-SIF_Questions'!S96&lt;&gt;"",'INPUT-SIF_Questions'!V96&lt;&gt;"",'INPUT-SIF_Questions'!W96&lt;&gt;""),"PASS","WARNING"))</f>
        <v>PASS</v>
      </c>
      <c r="K96" s="4" t="str">
        <f t="shared" si="6"/>
        <v>PASS</v>
      </c>
      <c r="L96" s="4" t="str">
        <f t="shared" si="7"/>
        <v/>
      </c>
    </row>
    <row r="97" spans="1:12" ht="14.25" customHeight="1" x14ac:dyDescent="0.45">
      <c r="A97" s="4">
        <f>IF('INPUT-SIF_Questions'!A97="","",ROW())</f>
        <v>97</v>
      </c>
      <c r="B97" s="4" t="str">
        <f>IF(A97="","",'INPUT-SIF_Questions'!A97)</f>
        <v>OBS-012</v>
      </c>
      <c r="C97" s="4" t="str">
        <f>IF(A97="","",'INPUT-SIF_Questions'!J97)</f>
        <v>H</v>
      </c>
      <c r="D97" s="4" t="str">
        <f>IF(A97="","",'INPUT-SIF_Questions'!H97)</f>
        <v>WAH</v>
      </c>
      <c r="E97" s="4" t="str">
        <f>IF(A97="","",'INPUT-SIF_Questions'!K97)</f>
        <v>CLSR07-H</v>
      </c>
      <c r="F97" s="4" t="str">
        <f>IF(D97="","",IFERROR(VLOOKUP(D97,Helper_Protocol_Map!$A$2:$B$11,2,FALSE()),"OTHER"))</f>
        <v>CLSR07</v>
      </c>
      <c r="G97" s="4">
        <f>IF(A97="","",N('INPUT-SIF_Questions'!M97)+N('INPUT-SIF_Questions'!N97)+N('INPUT-SIF_Questions'!O97))</f>
        <v>1</v>
      </c>
      <c r="H97" s="4" t="str">
        <f t="shared" si="4"/>
        <v>PASS</v>
      </c>
      <c r="I97" s="4" t="str">
        <f t="shared" si="5"/>
        <v>PASS</v>
      </c>
      <c r="J97" s="4" t="str">
        <f>IF(A97="","",IF(AND('INPUT-SIF_Questions'!S97&lt;&gt;"",'INPUT-SIF_Questions'!V97&lt;&gt;"",'INPUT-SIF_Questions'!W97&lt;&gt;""),"PASS","WARNING"))</f>
        <v>PASS</v>
      </c>
      <c r="K97" s="4" t="str">
        <f t="shared" si="6"/>
        <v>PASS</v>
      </c>
      <c r="L97" s="4" t="str">
        <f t="shared" si="7"/>
        <v/>
      </c>
    </row>
    <row r="98" spans="1:12" ht="14.25" customHeight="1" x14ac:dyDescent="0.45">
      <c r="A98" s="4">
        <f>IF('INPUT-SIF_Questions'!A98="","",ROW())</f>
        <v>98</v>
      </c>
      <c r="B98" s="4" t="str">
        <f>IF(A98="","",'INPUT-SIF_Questions'!A98)</f>
        <v>OBS-012</v>
      </c>
      <c r="C98" s="4" t="str">
        <f>IF(A98="","",'INPUT-SIF_Questions'!J98)</f>
        <v>I</v>
      </c>
      <c r="D98" s="4" t="str">
        <f>IF(A98="","",'INPUT-SIF_Questions'!H98)</f>
        <v>WAH</v>
      </c>
      <c r="E98" s="4" t="str">
        <f>IF(A98="","",'INPUT-SIF_Questions'!K98)</f>
        <v>CLSR07-I</v>
      </c>
      <c r="F98" s="4" t="str">
        <f>IF(D98="","",IFERROR(VLOOKUP(D98,Helper_Protocol_Map!$A$2:$B$11,2,FALSE()),"OTHER"))</f>
        <v>CLSR07</v>
      </c>
      <c r="G98" s="4">
        <f>IF(A98="","",N('INPUT-SIF_Questions'!M98)+N('INPUT-SIF_Questions'!N98)+N('INPUT-SIF_Questions'!O98))</f>
        <v>1</v>
      </c>
      <c r="H98" s="4" t="str">
        <f t="shared" si="4"/>
        <v>PASS</v>
      </c>
      <c r="I98" s="4" t="str">
        <f t="shared" si="5"/>
        <v>PASS</v>
      </c>
      <c r="J98" s="4" t="str">
        <f>IF(A98="","",IF(AND('INPUT-SIF_Questions'!S98&lt;&gt;"",'INPUT-SIF_Questions'!V98&lt;&gt;"",'INPUT-SIF_Questions'!W98&lt;&gt;""),"PASS","WARNING"))</f>
        <v>PASS</v>
      </c>
      <c r="K98" s="4" t="str">
        <f t="shared" si="6"/>
        <v>PASS</v>
      </c>
      <c r="L98" s="4" t="str">
        <f t="shared" si="7"/>
        <v/>
      </c>
    </row>
    <row r="99" spans="1:12" ht="14.25" customHeight="1" x14ac:dyDescent="0.45">
      <c r="A99" s="4">
        <f>IF('INPUT-SIF_Questions'!A99="","",ROW())</f>
        <v>99</v>
      </c>
      <c r="B99" s="4" t="str">
        <f>IF(A99="","",'INPUT-SIF_Questions'!A99)</f>
        <v>OBS-013</v>
      </c>
      <c r="C99" s="4" t="str">
        <f>IF(A99="","",'INPUT-SIF_Questions'!J99)</f>
        <v>A</v>
      </c>
      <c r="D99" s="4" t="str">
        <f>IF(A99="","",'INPUT-SIF_Questions'!H99)</f>
        <v>GD</v>
      </c>
      <c r="E99" s="4" t="str">
        <f>IF(A99="","",'INPUT-SIF_Questions'!K99)</f>
        <v>CLSR08-A</v>
      </c>
      <c r="F99" s="4" t="str">
        <f>IF(D99="","",IFERROR(VLOOKUP(D99,Helper_Protocol_Map!$A$2:$B$11,2,FALSE()),"OTHER"))</f>
        <v>CLSR08</v>
      </c>
      <c r="G99" s="4">
        <f>IF(A99="","",N('INPUT-SIF_Questions'!M99)+N('INPUT-SIF_Questions'!N99)+N('INPUT-SIF_Questions'!O99))</f>
        <v>1</v>
      </c>
      <c r="H99" s="4" t="str">
        <f t="shared" si="4"/>
        <v>PASS</v>
      </c>
      <c r="I99" s="4" t="str">
        <f t="shared" si="5"/>
        <v>PASS</v>
      </c>
      <c r="J99" s="4" t="str">
        <f>IF(A99="","",IF(AND('INPUT-SIF_Questions'!S99&lt;&gt;"",'INPUT-SIF_Questions'!V99&lt;&gt;"",'INPUT-SIF_Questions'!W99&lt;&gt;""),"PASS","WARNING"))</f>
        <v>PASS</v>
      </c>
      <c r="K99" s="4" t="str">
        <f t="shared" si="6"/>
        <v>PASS</v>
      </c>
      <c r="L99" s="4" t="str">
        <f t="shared" si="7"/>
        <v/>
      </c>
    </row>
    <row r="100" spans="1:12" ht="14.25" customHeight="1" x14ac:dyDescent="0.45">
      <c r="A100" s="4">
        <f>IF('INPUT-SIF_Questions'!A100="","",ROW())</f>
        <v>100</v>
      </c>
      <c r="B100" s="4" t="str">
        <f>IF(A100="","",'INPUT-SIF_Questions'!A100)</f>
        <v>OBS-013</v>
      </c>
      <c r="C100" s="4" t="str">
        <f>IF(A100="","",'INPUT-SIF_Questions'!J100)</f>
        <v>B</v>
      </c>
      <c r="D100" s="4" t="str">
        <f>IF(A100="","",'INPUT-SIF_Questions'!H100)</f>
        <v>GD</v>
      </c>
      <c r="E100" s="4" t="str">
        <f>IF(A100="","",'INPUT-SIF_Questions'!K100)</f>
        <v>CLSR08-B</v>
      </c>
      <c r="F100" s="4" t="str">
        <f>IF(D100="","",IFERROR(VLOOKUP(D100,Helper_Protocol_Map!$A$2:$B$11,2,FALSE()),"OTHER"))</f>
        <v>CLSR08</v>
      </c>
      <c r="G100" s="4">
        <f>IF(A100="","",N('INPUT-SIF_Questions'!M100)+N('INPUT-SIF_Questions'!N100)+N('INPUT-SIF_Questions'!O100))</f>
        <v>1</v>
      </c>
      <c r="H100" s="4" t="str">
        <f t="shared" si="4"/>
        <v>PASS</v>
      </c>
      <c r="I100" s="4" t="str">
        <f t="shared" si="5"/>
        <v>PASS</v>
      </c>
      <c r="J100" s="4" t="str">
        <f>IF(A100="","",IF(AND('INPUT-SIF_Questions'!S100&lt;&gt;"",'INPUT-SIF_Questions'!V100&lt;&gt;"",'INPUT-SIF_Questions'!W100&lt;&gt;""),"PASS","WARNING"))</f>
        <v>PASS</v>
      </c>
      <c r="K100" s="4" t="str">
        <f t="shared" si="6"/>
        <v>PASS</v>
      </c>
      <c r="L100" s="4" t="str">
        <f t="shared" si="7"/>
        <v/>
      </c>
    </row>
    <row r="101" spans="1:12" ht="14.25" customHeight="1" x14ac:dyDescent="0.45">
      <c r="A101" s="4">
        <f>IF('INPUT-SIF_Questions'!A101="","",ROW())</f>
        <v>101</v>
      </c>
      <c r="B101" s="4" t="str">
        <f>IF(A101="","",'INPUT-SIF_Questions'!A101)</f>
        <v>OBS-013</v>
      </c>
      <c r="C101" s="4" t="str">
        <f>IF(A101="","",'INPUT-SIF_Questions'!J101)</f>
        <v>C</v>
      </c>
      <c r="D101" s="4" t="str">
        <f>IF(A101="","",'INPUT-SIF_Questions'!H101)</f>
        <v>GD</v>
      </c>
      <c r="E101" s="4" t="str">
        <f>IF(A101="","",'INPUT-SIF_Questions'!K101)</f>
        <v>CLSR08-C</v>
      </c>
      <c r="F101" s="4" t="str">
        <f>IF(D101="","",IFERROR(VLOOKUP(D101,Helper_Protocol_Map!$A$2:$B$11,2,FALSE()),"OTHER"))</f>
        <v>CLSR08</v>
      </c>
      <c r="G101" s="4">
        <f>IF(A101="","",N('INPUT-SIF_Questions'!M101)+N('INPUT-SIF_Questions'!N101)+N('INPUT-SIF_Questions'!O101))</f>
        <v>1</v>
      </c>
      <c r="H101" s="4" t="str">
        <f t="shared" si="4"/>
        <v>PASS</v>
      </c>
      <c r="I101" s="4" t="str">
        <f t="shared" si="5"/>
        <v>PASS</v>
      </c>
      <c r="J101" s="4" t="str">
        <f>IF(A101="","",IF(AND('INPUT-SIF_Questions'!S101&lt;&gt;"",'INPUT-SIF_Questions'!V101&lt;&gt;"",'INPUT-SIF_Questions'!W101&lt;&gt;""),"PASS","WARNING"))</f>
        <v>PASS</v>
      </c>
      <c r="K101" s="4" t="str">
        <f t="shared" si="6"/>
        <v>PASS</v>
      </c>
      <c r="L101" s="4" t="str">
        <f t="shared" si="7"/>
        <v/>
      </c>
    </row>
    <row r="102" spans="1:12" ht="14.25" customHeight="1" x14ac:dyDescent="0.45">
      <c r="A102" s="4">
        <f>IF('INPUT-SIF_Questions'!A102="","",ROW())</f>
        <v>102</v>
      </c>
      <c r="B102" s="4" t="str">
        <f>IF(A102="","",'INPUT-SIF_Questions'!A102)</f>
        <v>OBS-013</v>
      </c>
      <c r="C102" s="4" t="str">
        <f>IF(A102="","",'INPUT-SIF_Questions'!J102)</f>
        <v>D</v>
      </c>
      <c r="D102" s="4" t="str">
        <f>IF(A102="","",'INPUT-SIF_Questions'!H102)</f>
        <v>GD</v>
      </c>
      <c r="E102" s="4" t="str">
        <f>IF(A102="","",'INPUT-SIF_Questions'!K102)</f>
        <v>CLSR08-D</v>
      </c>
      <c r="F102" s="4" t="str">
        <f>IF(D102="","",IFERROR(VLOOKUP(D102,Helper_Protocol_Map!$A$2:$B$11,2,FALSE()),"OTHER"))</f>
        <v>CLSR08</v>
      </c>
      <c r="G102" s="4">
        <f>IF(A102="","",N('INPUT-SIF_Questions'!M102)+N('INPUT-SIF_Questions'!N102)+N('INPUT-SIF_Questions'!O102))</f>
        <v>1</v>
      </c>
      <c r="H102" s="4" t="str">
        <f t="shared" si="4"/>
        <v>PASS</v>
      </c>
      <c r="I102" s="4" t="str">
        <f t="shared" si="5"/>
        <v>PASS</v>
      </c>
      <c r="J102" s="4" t="str">
        <f>IF(A102="","",IF(AND('INPUT-SIF_Questions'!S102&lt;&gt;"",'INPUT-SIF_Questions'!V102&lt;&gt;"",'INPUT-SIF_Questions'!W102&lt;&gt;""),"PASS","WARNING"))</f>
        <v>PASS</v>
      </c>
      <c r="K102" s="4" t="str">
        <f t="shared" si="6"/>
        <v>PASS</v>
      </c>
      <c r="L102" s="4" t="str">
        <f t="shared" si="7"/>
        <v/>
      </c>
    </row>
    <row r="103" spans="1:12" ht="14.25" customHeight="1" x14ac:dyDescent="0.45">
      <c r="A103" s="4">
        <f>IF('INPUT-SIF_Questions'!A103="","",ROW())</f>
        <v>103</v>
      </c>
      <c r="B103" s="4" t="str">
        <f>IF(A103="","",'INPUT-SIF_Questions'!A103)</f>
        <v>OBS-013</v>
      </c>
      <c r="C103" s="4" t="str">
        <f>IF(A103="","",'INPUT-SIF_Questions'!J103)</f>
        <v>E</v>
      </c>
      <c r="D103" s="4" t="str">
        <f>IF(A103="","",'INPUT-SIF_Questions'!H103)</f>
        <v>GD</v>
      </c>
      <c r="E103" s="4" t="str">
        <f>IF(A103="","",'INPUT-SIF_Questions'!K103)</f>
        <v>CLSR08-E</v>
      </c>
      <c r="F103" s="4" t="str">
        <f>IF(D103="","",IFERROR(VLOOKUP(D103,Helper_Protocol_Map!$A$2:$B$11,2,FALSE()),"OTHER"))</f>
        <v>CLSR08</v>
      </c>
      <c r="G103" s="4">
        <f>IF(A103="","",N('INPUT-SIF_Questions'!M103)+N('INPUT-SIF_Questions'!N103)+N('INPUT-SIF_Questions'!O103))</f>
        <v>1</v>
      </c>
      <c r="H103" s="4" t="str">
        <f t="shared" si="4"/>
        <v>PASS</v>
      </c>
      <c r="I103" s="4" t="str">
        <f t="shared" si="5"/>
        <v>PASS</v>
      </c>
      <c r="J103" s="4" t="str">
        <f>IF(A103="","",IF(AND('INPUT-SIF_Questions'!S103&lt;&gt;"",'INPUT-SIF_Questions'!V103&lt;&gt;"",'INPUT-SIF_Questions'!W103&lt;&gt;""),"PASS","WARNING"))</f>
        <v>PASS</v>
      </c>
      <c r="K103" s="4" t="str">
        <f t="shared" si="6"/>
        <v>PASS</v>
      </c>
      <c r="L103" s="4" t="str">
        <f t="shared" si="7"/>
        <v/>
      </c>
    </row>
    <row r="104" spans="1:12" ht="14.25" customHeight="1" x14ac:dyDescent="0.45">
      <c r="A104" s="4">
        <f>IF('INPUT-SIF_Questions'!A104="","",ROW())</f>
        <v>104</v>
      </c>
      <c r="B104" s="4" t="str">
        <f>IF(A104="","",'INPUT-SIF_Questions'!A104)</f>
        <v>OBS-014</v>
      </c>
      <c r="C104" s="4" t="str">
        <f>IF(A104="","",'INPUT-SIF_Questions'!J104)</f>
        <v>A</v>
      </c>
      <c r="D104" s="4" t="str">
        <f>IF(A104="","",'INPUT-SIF_Questions'!H104)</f>
        <v>WAH</v>
      </c>
      <c r="E104" s="4" t="str">
        <f>IF(A104="","",'INPUT-SIF_Questions'!K104)</f>
        <v>CLSR07-A</v>
      </c>
      <c r="F104" s="4" t="str">
        <f>IF(D104="","",IFERROR(VLOOKUP(D104,Helper_Protocol_Map!$A$2:$B$11,2,FALSE()),"OTHER"))</f>
        <v>CLSR07</v>
      </c>
      <c r="G104" s="4">
        <f>IF(A104="","",N('INPUT-SIF_Questions'!M104)+N('INPUT-SIF_Questions'!N104)+N('INPUT-SIF_Questions'!O104))</f>
        <v>1</v>
      </c>
      <c r="H104" s="4" t="str">
        <f t="shared" si="4"/>
        <v>PASS</v>
      </c>
      <c r="I104" s="4" t="str">
        <f t="shared" si="5"/>
        <v>PASS</v>
      </c>
      <c r="J104" s="4" t="str">
        <f>IF(A104="","",IF(AND('INPUT-SIF_Questions'!S104&lt;&gt;"",'INPUT-SIF_Questions'!V104&lt;&gt;"",'INPUT-SIF_Questions'!W104&lt;&gt;""),"PASS","WARNING"))</f>
        <v>PASS</v>
      </c>
      <c r="K104" s="4" t="str">
        <f t="shared" si="6"/>
        <v>PASS</v>
      </c>
      <c r="L104" s="4" t="str">
        <f t="shared" si="7"/>
        <v/>
      </c>
    </row>
    <row r="105" spans="1:12" ht="14.25" customHeight="1" x14ac:dyDescent="0.45">
      <c r="A105" s="4">
        <f>IF('INPUT-SIF_Questions'!A105="","",ROW())</f>
        <v>105</v>
      </c>
      <c r="B105" s="4" t="str">
        <f>IF(A105="","",'INPUT-SIF_Questions'!A105)</f>
        <v>OBS-014</v>
      </c>
      <c r="C105" s="4" t="str">
        <f>IF(A105="","",'INPUT-SIF_Questions'!J105)</f>
        <v>B</v>
      </c>
      <c r="D105" s="4" t="str">
        <f>IF(A105="","",'INPUT-SIF_Questions'!H105)</f>
        <v>WAH</v>
      </c>
      <c r="E105" s="4" t="str">
        <f>IF(A105="","",'INPUT-SIF_Questions'!K105)</f>
        <v>CLSR07-B</v>
      </c>
      <c r="F105" s="4" t="str">
        <f>IF(D105="","",IFERROR(VLOOKUP(D105,Helper_Protocol_Map!$A$2:$B$11,2,FALSE()),"OTHER"))</f>
        <v>CLSR07</v>
      </c>
      <c r="G105" s="4">
        <f>IF(A105="","",N('INPUT-SIF_Questions'!M105)+N('INPUT-SIF_Questions'!N105)+N('INPUT-SIF_Questions'!O105))</f>
        <v>1</v>
      </c>
      <c r="H105" s="4" t="str">
        <f t="shared" si="4"/>
        <v>PASS</v>
      </c>
      <c r="I105" s="4" t="str">
        <f t="shared" si="5"/>
        <v>PASS</v>
      </c>
      <c r="J105" s="4" t="str">
        <f>IF(A105="","",IF(AND('INPUT-SIF_Questions'!S105&lt;&gt;"",'INPUT-SIF_Questions'!V105&lt;&gt;"",'INPUT-SIF_Questions'!W105&lt;&gt;""),"PASS","WARNING"))</f>
        <v>PASS</v>
      </c>
      <c r="K105" s="4" t="str">
        <f t="shared" si="6"/>
        <v>PASS</v>
      </c>
      <c r="L105" s="4" t="str">
        <f t="shared" si="7"/>
        <v/>
      </c>
    </row>
    <row r="106" spans="1:12" ht="14.25" customHeight="1" x14ac:dyDescent="0.45">
      <c r="A106" s="4">
        <f>IF('INPUT-SIF_Questions'!A106="","",ROW())</f>
        <v>106</v>
      </c>
      <c r="B106" s="4" t="str">
        <f>IF(A106="","",'INPUT-SIF_Questions'!A106)</f>
        <v>OBS-014</v>
      </c>
      <c r="C106" s="4" t="str">
        <f>IF(A106="","",'INPUT-SIF_Questions'!J106)</f>
        <v>C</v>
      </c>
      <c r="D106" s="4" t="str">
        <f>IF(A106="","",'INPUT-SIF_Questions'!H106)</f>
        <v>WAH</v>
      </c>
      <c r="E106" s="4" t="str">
        <f>IF(A106="","",'INPUT-SIF_Questions'!K106)</f>
        <v>CLSR07-C</v>
      </c>
      <c r="F106" s="4" t="str">
        <f>IF(D106="","",IFERROR(VLOOKUP(D106,Helper_Protocol_Map!$A$2:$B$11,2,FALSE()),"OTHER"))</f>
        <v>CLSR07</v>
      </c>
      <c r="G106" s="4">
        <f>IF(A106="","",N('INPUT-SIF_Questions'!M106)+N('INPUT-SIF_Questions'!N106)+N('INPUT-SIF_Questions'!O106))</f>
        <v>1</v>
      </c>
      <c r="H106" s="4" t="str">
        <f t="shared" si="4"/>
        <v>PASS</v>
      </c>
      <c r="I106" s="4" t="str">
        <f t="shared" si="5"/>
        <v>PASS</v>
      </c>
      <c r="J106" s="4" t="str">
        <f>IF(A106="","",IF(AND('INPUT-SIF_Questions'!S106&lt;&gt;"",'INPUT-SIF_Questions'!V106&lt;&gt;"",'INPUT-SIF_Questions'!W106&lt;&gt;""),"PASS","WARNING"))</f>
        <v>PASS</v>
      </c>
      <c r="K106" s="4" t="str">
        <f t="shared" si="6"/>
        <v>PASS</v>
      </c>
      <c r="L106" s="4" t="str">
        <f t="shared" si="7"/>
        <v/>
      </c>
    </row>
    <row r="107" spans="1:12" ht="14.25" customHeight="1" x14ac:dyDescent="0.45">
      <c r="A107" s="4">
        <f>IF('INPUT-SIF_Questions'!A107="","",ROW())</f>
        <v>107</v>
      </c>
      <c r="B107" s="4" t="str">
        <f>IF(A107="","",'INPUT-SIF_Questions'!A107)</f>
        <v>OBS-014</v>
      </c>
      <c r="C107" s="4" t="str">
        <f>IF(A107="","",'INPUT-SIF_Questions'!J107)</f>
        <v>D</v>
      </c>
      <c r="D107" s="4" t="str">
        <f>IF(A107="","",'INPUT-SIF_Questions'!H107)</f>
        <v>WAH</v>
      </c>
      <c r="E107" s="4" t="str">
        <f>IF(A107="","",'INPUT-SIF_Questions'!K107)</f>
        <v>CLSR07-D</v>
      </c>
      <c r="F107" s="4" t="str">
        <f>IF(D107="","",IFERROR(VLOOKUP(D107,Helper_Protocol_Map!$A$2:$B$11,2,FALSE()),"OTHER"))</f>
        <v>CLSR07</v>
      </c>
      <c r="G107" s="4">
        <f>IF(A107="","",N('INPUT-SIF_Questions'!M107)+N('INPUT-SIF_Questions'!N107)+N('INPUT-SIF_Questions'!O107))</f>
        <v>1</v>
      </c>
      <c r="H107" s="4" t="str">
        <f t="shared" si="4"/>
        <v>PASS</v>
      </c>
      <c r="I107" s="4" t="str">
        <f t="shared" si="5"/>
        <v>PASS</v>
      </c>
      <c r="J107" s="4" t="str">
        <f>IF(A107="","",IF(AND('INPUT-SIF_Questions'!S107&lt;&gt;"",'INPUT-SIF_Questions'!V107&lt;&gt;"",'INPUT-SIF_Questions'!W107&lt;&gt;""),"PASS","WARNING"))</f>
        <v>PASS</v>
      </c>
      <c r="K107" s="4" t="str">
        <f t="shared" si="6"/>
        <v>PASS</v>
      </c>
      <c r="L107" s="4" t="str">
        <f t="shared" si="7"/>
        <v/>
      </c>
    </row>
    <row r="108" spans="1:12" ht="14.25" customHeight="1" x14ac:dyDescent="0.45">
      <c r="A108" s="4">
        <f>IF('INPUT-SIF_Questions'!A108="","",ROW())</f>
        <v>108</v>
      </c>
      <c r="B108" s="4" t="str">
        <f>IF(A108="","",'INPUT-SIF_Questions'!A108)</f>
        <v>OBS-014</v>
      </c>
      <c r="C108" s="4" t="str">
        <f>IF(A108="","",'INPUT-SIF_Questions'!J108)</f>
        <v>E</v>
      </c>
      <c r="D108" s="4" t="str">
        <f>IF(A108="","",'INPUT-SIF_Questions'!H108)</f>
        <v>WAH</v>
      </c>
      <c r="E108" s="4" t="str">
        <f>IF(A108="","",'INPUT-SIF_Questions'!K108)</f>
        <v>CLSR07-E</v>
      </c>
      <c r="F108" s="4" t="str">
        <f>IF(D108="","",IFERROR(VLOOKUP(D108,Helper_Protocol_Map!$A$2:$B$11,2,FALSE()),"OTHER"))</f>
        <v>CLSR07</v>
      </c>
      <c r="G108" s="4">
        <f>IF(A108="","",N('INPUT-SIF_Questions'!M108)+N('INPUT-SIF_Questions'!N108)+N('INPUT-SIF_Questions'!O108))</f>
        <v>1</v>
      </c>
      <c r="H108" s="4" t="str">
        <f t="shared" si="4"/>
        <v>PASS</v>
      </c>
      <c r="I108" s="4" t="str">
        <f t="shared" si="5"/>
        <v>PASS</v>
      </c>
      <c r="J108" s="4" t="str">
        <f>IF(A108="","",IF(AND('INPUT-SIF_Questions'!S108&lt;&gt;"",'INPUT-SIF_Questions'!V108&lt;&gt;"",'INPUT-SIF_Questions'!W108&lt;&gt;""),"PASS","WARNING"))</f>
        <v>PASS</v>
      </c>
      <c r="K108" s="4" t="str">
        <f t="shared" si="6"/>
        <v>PASS</v>
      </c>
      <c r="L108" s="4" t="str">
        <f t="shared" si="7"/>
        <v/>
      </c>
    </row>
    <row r="109" spans="1:12" ht="14.25" customHeight="1" x14ac:dyDescent="0.45">
      <c r="A109" s="4">
        <f>IF('INPUT-SIF_Questions'!A109="","",ROW())</f>
        <v>109</v>
      </c>
      <c r="B109" s="4" t="str">
        <f>IF(A109="","",'INPUT-SIF_Questions'!A109)</f>
        <v>OBS-014</v>
      </c>
      <c r="C109" s="4" t="str">
        <f>IF(A109="","",'INPUT-SIF_Questions'!J109)</f>
        <v>F</v>
      </c>
      <c r="D109" s="4" t="str">
        <f>IF(A109="","",'INPUT-SIF_Questions'!H109)</f>
        <v>WAH</v>
      </c>
      <c r="E109" s="4" t="str">
        <f>IF(A109="","",'INPUT-SIF_Questions'!K109)</f>
        <v>CLSR07-F</v>
      </c>
      <c r="F109" s="4" t="str">
        <f>IF(D109="","",IFERROR(VLOOKUP(D109,Helper_Protocol_Map!$A$2:$B$11,2,FALSE()),"OTHER"))</f>
        <v>CLSR07</v>
      </c>
      <c r="G109" s="4">
        <f>IF(A109="","",N('INPUT-SIF_Questions'!M109)+N('INPUT-SIF_Questions'!N109)+N('INPUT-SIF_Questions'!O109))</f>
        <v>1</v>
      </c>
      <c r="H109" s="4" t="str">
        <f t="shared" si="4"/>
        <v>PASS</v>
      </c>
      <c r="I109" s="4" t="str">
        <f t="shared" si="5"/>
        <v>PASS</v>
      </c>
      <c r="J109" s="4" t="str">
        <f>IF(A109="","",IF(AND('INPUT-SIF_Questions'!S109&lt;&gt;"",'INPUT-SIF_Questions'!V109&lt;&gt;"",'INPUT-SIF_Questions'!W109&lt;&gt;""),"PASS","WARNING"))</f>
        <v>PASS</v>
      </c>
      <c r="K109" s="4" t="str">
        <f t="shared" si="6"/>
        <v>PASS</v>
      </c>
      <c r="L109" s="4" t="str">
        <f t="shared" si="7"/>
        <v/>
      </c>
    </row>
    <row r="110" spans="1:12" ht="14.25" customHeight="1" x14ac:dyDescent="0.45">
      <c r="A110" s="4">
        <f>IF('INPUT-SIF_Questions'!A110="","",ROW())</f>
        <v>110</v>
      </c>
      <c r="B110" s="4" t="str">
        <f>IF(A110="","",'INPUT-SIF_Questions'!A110)</f>
        <v>OBS-014</v>
      </c>
      <c r="C110" s="4" t="str">
        <f>IF(A110="","",'INPUT-SIF_Questions'!J110)</f>
        <v>G</v>
      </c>
      <c r="D110" s="4" t="str">
        <f>IF(A110="","",'INPUT-SIF_Questions'!H110)</f>
        <v>WAH</v>
      </c>
      <c r="E110" s="4" t="str">
        <f>IF(A110="","",'INPUT-SIF_Questions'!K110)</f>
        <v>CLSR07-G</v>
      </c>
      <c r="F110" s="4" t="str">
        <f>IF(D110="","",IFERROR(VLOOKUP(D110,Helper_Protocol_Map!$A$2:$B$11,2,FALSE()),"OTHER"))</f>
        <v>CLSR07</v>
      </c>
      <c r="G110" s="4">
        <f>IF(A110="","",N('INPUT-SIF_Questions'!M110)+N('INPUT-SIF_Questions'!N110)+N('INPUT-SIF_Questions'!O110))</f>
        <v>1</v>
      </c>
      <c r="H110" s="4" t="str">
        <f t="shared" si="4"/>
        <v>PASS</v>
      </c>
      <c r="I110" s="4" t="str">
        <f t="shared" si="5"/>
        <v>PASS</v>
      </c>
      <c r="J110" s="4" t="str">
        <f>IF(A110="","",IF(AND('INPUT-SIF_Questions'!S110&lt;&gt;"",'INPUT-SIF_Questions'!V110&lt;&gt;"",'INPUT-SIF_Questions'!W110&lt;&gt;""),"PASS","WARNING"))</f>
        <v>PASS</v>
      </c>
      <c r="K110" s="4" t="str">
        <f t="shared" si="6"/>
        <v>PASS</v>
      </c>
      <c r="L110" s="4" t="str">
        <f t="shared" si="7"/>
        <v/>
      </c>
    </row>
    <row r="111" spans="1:12" ht="14.25" customHeight="1" x14ac:dyDescent="0.45">
      <c r="A111" s="4">
        <f>IF('INPUT-SIF_Questions'!A111="","",ROW())</f>
        <v>111</v>
      </c>
      <c r="B111" s="4" t="str">
        <f>IF(A111="","",'INPUT-SIF_Questions'!A111)</f>
        <v>OBS-014</v>
      </c>
      <c r="C111" s="4" t="str">
        <f>IF(A111="","",'INPUT-SIF_Questions'!J111)</f>
        <v>H</v>
      </c>
      <c r="D111" s="4" t="str">
        <f>IF(A111="","",'INPUT-SIF_Questions'!H111)</f>
        <v>WAH</v>
      </c>
      <c r="E111" s="4" t="str">
        <f>IF(A111="","",'INPUT-SIF_Questions'!K111)</f>
        <v>CLSR07-H</v>
      </c>
      <c r="F111" s="4" t="str">
        <f>IF(D111="","",IFERROR(VLOOKUP(D111,Helper_Protocol_Map!$A$2:$B$11,2,FALSE()),"OTHER"))</f>
        <v>CLSR07</v>
      </c>
      <c r="G111" s="4">
        <f>IF(A111="","",N('INPUT-SIF_Questions'!M111)+N('INPUT-SIF_Questions'!N111)+N('INPUT-SIF_Questions'!O111))</f>
        <v>1</v>
      </c>
      <c r="H111" s="4" t="str">
        <f t="shared" si="4"/>
        <v>PASS</v>
      </c>
      <c r="I111" s="4" t="str">
        <f t="shared" si="5"/>
        <v>PASS</v>
      </c>
      <c r="J111" s="4" t="str">
        <f>IF(A111="","",IF(AND('INPUT-SIF_Questions'!S111&lt;&gt;"",'INPUT-SIF_Questions'!V111&lt;&gt;"",'INPUT-SIF_Questions'!W111&lt;&gt;""),"PASS","WARNING"))</f>
        <v>PASS</v>
      </c>
      <c r="K111" s="4" t="str">
        <f t="shared" si="6"/>
        <v>PASS</v>
      </c>
      <c r="L111" s="4" t="str">
        <f t="shared" si="7"/>
        <v/>
      </c>
    </row>
    <row r="112" spans="1:12" ht="14.25" customHeight="1" x14ac:dyDescent="0.45">
      <c r="A112" s="4">
        <f>IF('INPUT-SIF_Questions'!A112="","",ROW())</f>
        <v>112</v>
      </c>
      <c r="B112" s="4" t="str">
        <f>IF(A112="","",'INPUT-SIF_Questions'!A112)</f>
        <v>OBS-014</v>
      </c>
      <c r="C112" s="4" t="str">
        <f>IF(A112="","",'INPUT-SIF_Questions'!J112)</f>
        <v>I</v>
      </c>
      <c r="D112" s="4" t="str">
        <f>IF(A112="","",'INPUT-SIF_Questions'!H112)</f>
        <v>WAH</v>
      </c>
      <c r="E112" s="4" t="str">
        <f>IF(A112="","",'INPUT-SIF_Questions'!K112)</f>
        <v>CLSR07-I</v>
      </c>
      <c r="F112" s="4" t="str">
        <f>IF(D112="","",IFERROR(VLOOKUP(D112,Helper_Protocol_Map!$A$2:$B$11,2,FALSE()),"OTHER"))</f>
        <v>CLSR07</v>
      </c>
      <c r="G112" s="4">
        <f>IF(A112="","",N('INPUT-SIF_Questions'!M112)+N('INPUT-SIF_Questions'!N112)+N('INPUT-SIF_Questions'!O112))</f>
        <v>1</v>
      </c>
      <c r="H112" s="4" t="str">
        <f t="shared" si="4"/>
        <v>PASS</v>
      </c>
      <c r="I112" s="4" t="str">
        <f t="shared" si="5"/>
        <v>PASS</v>
      </c>
      <c r="J112" s="4" t="str">
        <f>IF(A112="","",IF(AND('INPUT-SIF_Questions'!S112&lt;&gt;"",'INPUT-SIF_Questions'!V112&lt;&gt;"",'INPUT-SIF_Questions'!W112&lt;&gt;""),"PASS","WARNING"))</f>
        <v>PASS</v>
      </c>
      <c r="K112" s="4" t="str">
        <f t="shared" si="6"/>
        <v>PASS</v>
      </c>
      <c r="L112" s="4" t="str">
        <f t="shared" si="7"/>
        <v/>
      </c>
    </row>
    <row r="113" spans="1:12" ht="14.25" customHeight="1" x14ac:dyDescent="0.45">
      <c r="A113" s="4">
        <f>IF('INPUT-SIF_Questions'!A113="","",ROW())</f>
        <v>113</v>
      </c>
      <c r="B113" s="4" t="str">
        <f>IF(A113="","",'INPUT-SIF_Questions'!A113)</f>
        <v>OBS-015</v>
      </c>
      <c r="C113" s="4" t="str">
        <f>IF(A113="","",'INPUT-SIF_Questions'!J113)</f>
        <v>A</v>
      </c>
      <c r="D113" s="4" t="str">
        <f>IF(A113="","",'INPUT-SIF_Questions'!H113)</f>
        <v>WAH</v>
      </c>
      <c r="E113" s="4" t="str">
        <f>IF(A113="","",'INPUT-SIF_Questions'!K113)</f>
        <v>CLSR07-A</v>
      </c>
      <c r="F113" s="4" t="str">
        <f>IF(D113="","",IFERROR(VLOOKUP(D113,Helper_Protocol_Map!$A$2:$B$11,2,FALSE()),"OTHER"))</f>
        <v>CLSR07</v>
      </c>
      <c r="G113" s="4">
        <f>IF(A113="","",N('INPUT-SIF_Questions'!M113)+N('INPUT-SIF_Questions'!N113)+N('INPUT-SIF_Questions'!O113))</f>
        <v>1</v>
      </c>
      <c r="H113" s="4" t="str">
        <f t="shared" si="4"/>
        <v>PASS</v>
      </c>
      <c r="I113" s="4" t="str">
        <f t="shared" si="5"/>
        <v>PASS</v>
      </c>
      <c r="J113" s="4" t="str">
        <f>IF(A113="","",IF(AND('INPUT-SIF_Questions'!S113&lt;&gt;"",'INPUT-SIF_Questions'!V113&lt;&gt;"",'INPUT-SIF_Questions'!W113&lt;&gt;""),"PASS","WARNING"))</f>
        <v>PASS</v>
      </c>
      <c r="K113" s="4" t="str">
        <f t="shared" si="6"/>
        <v>PASS</v>
      </c>
      <c r="L113" s="4" t="str">
        <f t="shared" si="7"/>
        <v/>
      </c>
    </row>
    <row r="114" spans="1:12" ht="14.25" customHeight="1" x14ac:dyDescent="0.45">
      <c r="A114" s="4">
        <f>IF('INPUT-SIF_Questions'!A114="","",ROW())</f>
        <v>114</v>
      </c>
      <c r="B114" s="4" t="str">
        <f>IF(A114="","",'INPUT-SIF_Questions'!A114)</f>
        <v>OBS-015</v>
      </c>
      <c r="C114" s="4" t="str">
        <f>IF(A114="","",'INPUT-SIF_Questions'!J114)</f>
        <v>B</v>
      </c>
      <c r="D114" s="4" t="str">
        <f>IF(A114="","",'INPUT-SIF_Questions'!H114)</f>
        <v>WAH</v>
      </c>
      <c r="E114" s="4" t="str">
        <f>IF(A114="","",'INPUT-SIF_Questions'!K114)</f>
        <v>CLSR07-B</v>
      </c>
      <c r="F114" s="4" t="str">
        <f>IF(D114="","",IFERROR(VLOOKUP(D114,Helper_Protocol_Map!$A$2:$B$11,2,FALSE()),"OTHER"))</f>
        <v>CLSR07</v>
      </c>
      <c r="G114" s="4">
        <f>IF(A114="","",N('INPUT-SIF_Questions'!M114)+N('INPUT-SIF_Questions'!N114)+N('INPUT-SIF_Questions'!O114))</f>
        <v>1</v>
      </c>
      <c r="H114" s="4" t="str">
        <f t="shared" si="4"/>
        <v>PASS</v>
      </c>
      <c r="I114" s="4" t="str">
        <f t="shared" si="5"/>
        <v>PASS</v>
      </c>
      <c r="J114" s="4" t="str">
        <f>IF(A114="","",IF(AND('INPUT-SIF_Questions'!S114&lt;&gt;"",'INPUT-SIF_Questions'!V114&lt;&gt;"",'INPUT-SIF_Questions'!W114&lt;&gt;""),"PASS","WARNING"))</f>
        <v>PASS</v>
      </c>
      <c r="K114" s="4" t="str">
        <f t="shared" si="6"/>
        <v>PASS</v>
      </c>
      <c r="L114" s="4" t="str">
        <f t="shared" si="7"/>
        <v/>
      </c>
    </row>
    <row r="115" spans="1:12" ht="14.25" customHeight="1" x14ac:dyDescent="0.45">
      <c r="A115" s="4">
        <f>IF('INPUT-SIF_Questions'!A115="","",ROW())</f>
        <v>115</v>
      </c>
      <c r="B115" s="4" t="str">
        <f>IF(A115="","",'INPUT-SIF_Questions'!A115)</f>
        <v>OBS-015</v>
      </c>
      <c r="C115" s="4" t="str">
        <f>IF(A115="","",'INPUT-SIF_Questions'!J115)</f>
        <v>C</v>
      </c>
      <c r="D115" s="4" t="str">
        <f>IF(A115="","",'INPUT-SIF_Questions'!H115)</f>
        <v>WAH</v>
      </c>
      <c r="E115" s="4" t="str">
        <f>IF(A115="","",'INPUT-SIF_Questions'!K115)</f>
        <v>CLSR07-C</v>
      </c>
      <c r="F115" s="4" t="str">
        <f>IF(D115="","",IFERROR(VLOOKUP(D115,Helper_Protocol_Map!$A$2:$B$11,2,FALSE()),"OTHER"))</f>
        <v>CLSR07</v>
      </c>
      <c r="G115" s="4">
        <f>IF(A115="","",N('INPUT-SIF_Questions'!M115)+N('INPUT-SIF_Questions'!N115)+N('INPUT-SIF_Questions'!O115))</f>
        <v>1</v>
      </c>
      <c r="H115" s="4" t="str">
        <f t="shared" si="4"/>
        <v>PASS</v>
      </c>
      <c r="I115" s="4" t="str">
        <f t="shared" si="5"/>
        <v>PASS</v>
      </c>
      <c r="J115" s="4" t="str">
        <f>IF(A115="","",IF(AND('INPUT-SIF_Questions'!S115&lt;&gt;"",'INPUT-SIF_Questions'!V115&lt;&gt;"",'INPUT-SIF_Questions'!W115&lt;&gt;""),"PASS","WARNING"))</f>
        <v>PASS</v>
      </c>
      <c r="K115" s="4" t="str">
        <f t="shared" si="6"/>
        <v>PASS</v>
      </c>
      <c r="L115" s="4" t="str">
        <f t="shared" si="7"/>
        <v/>
      </c>
    </row>
    <row r="116" spans="1:12" ht="14.25" customHeight="1" x14ac:dyDescent="0.45">
      <c r="A116" s="4">
        <f>IF('INPUT-SIF_Questions'!A116="","",ROW())</f>
        <v>116</v>
      </c>
      <c r="B116" s="4" t="str">
        <f>IF(A116="","",'INPUT-SIF_Questions'!A116)</f>
        <v>OBS-015</v>
      </c>
      <c r="C116" s="4" t="str">
        <f>IF(A116="","",'INPUT-SIF_Questions'!J116)</f>
        <v>D</v>
      </c>
      <c r="D116" s="4" t="str">
        <f>IF(A116="","",'INPUT-SIF_Questions'!H116)</f>
        <v>WAH</v>
      </c>
      <c r="E116" s="4" t="str">
        <f>IF(A116="","",'INPUT-SIF_Questions'!K116)</f>
        <v>CLSR07-D</v>
      </c>
      <c r="F116" s="4" t="str">
        <f>IF(D116="","",IFERROR(VLOOKUP(D116,Helper_Protocol_Map!$A$2:$B$11,2,FALSE()),"OTHER"))</f>
        <v>CLSR07</v>
      </c>
      <c r="G116" s="4">
        <f>IF(A116="","",N('INPUT-SIF_Questions'!M116)+N('INPUT-SIF_Questions'!N116)+N('INPUT-SIF_Questions'!O116))</f>
        <v>1</v>
      </c>
      <c r="H116" s="4" t="str">
        <f t="shared" si="4"/>
        <v>PASS</v>
      </c>
      <c r="I116" s="4" t="str">
        <f t="shared" si="5"/>
        <v>PASS</v>
      </c>
      <c r="J116" s="4" t="str">
        <f>IF(A116="","",IF(AND('INPUT-SIF_Questions'!S116&lt;&gt;"",'INPUT-SIF_Questions'!V116&lt;&gt;"",'INPUT-SIF_Questions'!W116&lt;&gt;""),"PASS","WARNING"))</f>
        <v>PASS</v>
      </c>
      <c r="K116" s="4" t="str">
        <f t="shared" si="6"/>
        <v>PASS</v>
      </c>
      <c r="L116" s="4" t="str">
        <f t="shared" si="7"/>
        <v/>
      </c>
    </row>
    <row r="117" spans="1:12" ht="14.25" customHeight="1" x14ac:dyDescent="0.45">
      <c r="A117" s="4">
        <f>IF('INPUT-SIF_Questions'!A117="","",ROW())</f>
        <v>117</v>
      </c>
      <c r="B117" s="4" t="str">
        <f>IF(A117="","",'INPUT-SIF_Questions'!A117)</f>
        <v>OBS-015</v>
      </c>
      <c r="C117" s="4" t="str">
        <f>IF(A117="","",'INPUT-SIF_Questions'!J117)</f>
        <v>E</v>
      </c>
      <c r="D117" s="4" t="str">
        <f>IF(A117="","",'INPUT-SIF_Questions'!H117)</f>
        <v>WAH</v>
      </c>
      <c r="E117" s="4" t="str">
        <f>IF(A117="","",'INPUT-SIF_Questions'!K117)</f>
        <v>CLSR07-E</v>
      </c>
      <c r="F117" s="4" t="str">
        <f>IF(D117="","",IFERROR(VLOOKUP(D117,Helper_Protocol_Map!$A$2:$B$11,2,FALSE()),"OTHER"))</f>
        <v>CLSR07</v>
      </c>
      <c r="G117" s="4">
        <f>IF(A117="","",N('INPUT-SIF_Questions'!M117)+N('INPUT-SIF_Questions'!N117)+N('INPUT-SIF_Questions'!O117))</f>
        <v>1</v>
      </c>
      <c r="H117" s="4" t="str">
        <f t="shared" si="4"/>
        <v>PASS</v>
      </c>
      <c r="I117" s="4" t="str">
        <f t="shared" si="5"/>
        <v>PASS</v>
      </c>
      <c r="J117" s="4" t="str">
        <f>IF(A117="","",IF(AND('INPUT-SIF_Questions'!S117&lt;&gt;"",'INPUT-SIF_Questions'!V117&lt;&gt;"",'INPUT-SIF_Questions'!W117&lt;&gt;""),"PASS","WARNING"))</f>
        <v>PASS</v>
      </c>
      <c r="K117" s="4" t="str">
        <f t="shared" si="6"/>
        <v>PASS</v>
      </c>
      <c r="L117" s="4" t="str">
        <f t="shared" si="7"/>
        <v/>
      </c>
    </row>
    <row r="118" spans="1:12" ht="14.25" customHeight="1" x14ac:dyDescent="0.45">
      <c r="A118" s="4">
        <f>IF('INPUT-SIF_Questions'!A118="","",ROW())</f>
        <v>118</v>
      </c>
      <c r="B118" s="4" t="str">
        <f>IF(A118="","",'INPUT-SIF_Questions'!A118)</f>
        <v>OBS-015</v>
      </c>
      <c r="C118" s="4" t="str">
        <f>IF(A118="","",'INPUT-SIF_Questions'!J118)</f>
        <v>F</v>
      </c>
      <c r="D118" s="4" t="str">
        <f>IF(A118="","",'INPUT-SIF_Questions'!H118)</f>
        <v>WAH</v>
      </c>
      <c r="E118" s="4" t="str">
        <f>IF(A118="","",'INPUT-SIF_Questions'!K118)</f>
        <v>CLSR07-F</v>
      </c>
      <c r="F118" s="4" t="str">
        <f>IF(D118="","",IFERROR(VLOOKUP(D118,Helper_Protocol_Map!$A$2:$B$11,2,FALSE()),"OTHER"))</f>
        <v>CLSR07</v>
      </c>
      <c r="G118" s="4">
        <f>IF(A118="","",N('INPUT-SIF_Questions'!M118)+N('INPUT-SIF_Questions'!N118)+N('INPUT-SIF_Questions'!O118))</f>
        <v>1</v>
      </c>
      <c r="H118" s="4" t="str">
        <f t="shared" si="4"/>
        <v>PASS</v>
      </c>
      <c r="I118" s="4" t="str">
        <f t="shared" si="5"/>
        <v>PASS</v>
      </c>
      <c r="J118" s="4" t="str">
        <f>IF(A118="","",IF(AND('INPUT-SIF_Questions'!S118&lt;&gt;"",'INPUT-SIF_Questions'!V118&lt;&gt;"",'INPUT-SIF_Questions'!W118&lt;&gt;""),"PASS","WARNING"))</f>
        <v>PASS</v>
      </c>
      <c r="K118" s="4" t="str">
        <f t="shared" si="6"/>
        <v>PASS</v>
      </c>
      <c r="L118" s="4" t="str">
        <f t="shared" si="7"/>
        <v/>
      </c>
    </row>
    <row r="119" spans="1:12" ht="14.25" customHeight="1" x14ac:dyDescent="0.45">
      <c r="A119" s="4">
        <f>IF('INPUT-SIF_Questions'!A119="","",ROW())</f>
        <v>119</v>
      </c>
      <c r="B119" s="4" t="str">
        <f>IF(A119="","",'INPUT-SIF_Questions'!A119)</f>
        <v>OBS-015</v>
      </c>
      <c r="C119" s="4" t="str">
        <f>IF(A119="","",'INPUT-SIF_Questions'!J119)</f>
        <v>G</v>
      </c>
      <c r="D119" s="4" t="str">
        <f>IF(A119="","",'INPUT-SIF_Questions'!H119)</f>
        <v>WAH</v>
      </c>
      <c r="E119" s="4" t="str">
        <f>IF(A119="","",'INPUT-SIF_Questions'!K119)</f>
        <v>CLSR07-G</v>
      </c>
      <c r="F119" s="4" t="str">
        <f>IF(D119="","",IFERROR(VLOOKUP(D119,Helper_Protocol_Map!$A$2:$B$11,2,FALSE()),"OTHER"))</f>
        <v>CLSR07</v>
      </c>
      <c r="G119" s="4">
        <f>IF(A119="","",N('INPUT-SIF_Questions'!M119)+N('INPUT-SIF_Questions'!N119)+N('INPUT-SIF_Questions'!O119))</f>
        <v>1</v>
      </c>
      <c r="H119" s="4" t="str">
        <f t="shared" si="4"/>
        <v>PASS</v>
      </c>
      <c r="I119" s="4" t="str">
        <f t="shared" si="5"/>
        <v>PASS</v>
      </c>
      <c r="J119" s="4" t="str">
        <f>IF(A119="","",IF(AND('INPUT-SIF_Questions'!S119&lt;&gt;"",'INPUT-SIF_Questions'!V119&lt;&gt;"",'INPUT-SIF_Questions'!W119&lt;&gt;""),"PASS","WARNING"))</f>
        <v>PASS</v>
      </c>
      <c r="K119" s="4" t="str">
        <f t="shared" si="6"/>
        <v>PASS</v>
      </c>
      <c r="L119" s="4" t="str">
        <f t="shared" si="7"/>
        <v/>
      </c>
    </row>
    <row r="120" spans="1:12" ht="14.25" customHeight="1" x14ac:dyDescent="0.45">
      <c r="A120" s="4">
        <f>IF('INPUT-SIF_Questions'!A120="","",ROW())</f>
        <v>120</v>
      </c>
      <c r="B120" s="4" t="str">
        <f>IF(A120="","",'INPUT-SIF_Questions'!A120)</f>
        <v>OBS-015</v>
      </c>
      <c r="C120" s="4" t="str">
        <f>IF(A120="","",'INPUT-SIF_Questions'!J120)</f>
        <v>H</v>
      </c>
      <c r="D120" s="4" t="str">
        <f>IF(A120="","",'INPUT-SIF_Questions'!H120)</f>
        <v>WAH</v>
      </c>
      <c r="E120" s="4" t="str">
        <f>IF(A120="","",'INPUT-SIF_Questions'!K120)</f>
        <v>CLSR07-H</v>
      </c>
      <c r="F120" s="4" t="str">
        <f>IF(D120="","",IFERROR(VLOOKUP(D120,Helper_Protocol_Map!$A$2:$B$11,2,FALSE()),"OTHER"))</f>
        <v>CLSR07</v>
      </c>
      <c r="G120" s="4">
        <f>IF(A120="","",N('INPUT-SIF_Questions'!M120)+N('INPUT-SIF_Questions'!N120)+N('INPUT-SIF_Questions'!O120))</f>
        <v>1</v>
      </c>
      <c r="H120" s="4" t="str">
        <f t="shared" si="4"/>
        <v>PASS</v>
      </c>
      <c r="I120" s="4" t="str">
        <f t="shared" si="5"/>
        <v>PASS</v>
      </c>
      <c r="J120" s="4" t="str">
        <f>IF(A120="","",IF(AND('INPUT-SIF_Questions'!S120&lt;&gt;"",'INPUT-SIF_Questions'!V120&lt;&gt;"",'INPUT-SIF_Questions'!W120&lt;&gt;""),"PASS","WARNING"))</f>
        <v>PASS</v>
      </c>
      <c r="K120" s="4" t="str">
        <f t="shared" si="6"/>
        <v>PASS</v>
      </c>
      <c r="L120" s="4" t="str">
        <f t="shared" si="7"/>
        <v/>
      </c>
    </row>
    <row r="121" spans="1:12" ht="14.25" customHeight="1" x14ac:dyDescent="0.45">
      <c r="A121" s="4">
        <f>IF('INPUT-SIF_Questions'!A121="","",ROW())</f>
        <v>121</v>
      </c>
      <c r="B121" s="4" t="str">
        <f>IF(A121="","",'INPUT-SIF_Questions'!A121)</f>
        <v>OBS-015</v>
      </c>
      <c r="C121" s="4" t="str">
        <f>IF(A121="","",'INPUT-SIF_Questions'!J121)</f>
        <v>I</v>
      </c>
      <c r="D121" s="4" t="str">
        <f>IF(A121="","",'INPUT-SIF_Questions'!H121)</f>
        <v>WAH</v>
      </c>
      <c r="E121" s="4" t="str">
        <f>IF(A121="","",'INPUT-SIF_Questions'!K121)</f>
        <v>CLSR07-I</v>
      </c>
      <c r="F121" s="4" t="str">
        <f>IF(D121="","",IFERROR(VLOOKUP(D121,Helper_Protocol_Map!$A$2:$B$11,2,FALSE()),"OTHER"))</f>
        <v>CLSR07</v>
      </c>
      <c r="G121" s="4">
        <f>IF(A121="","",N('INPUT-SIF_Questions'!M121)+N('INPUT-SIF_Questions'!N121)+N('INPUT-SIF_Questions'!O121))</f>
        <v>1</v>
      </c>
      <c r="H121" s="4" t="str">
        <f t="shared" si="4"/>
        <v>PASS</v>
      </c>
      <c r="I121" s="4" t="str">
        <f t="shared" si="5"/>
        <v>PASS</v>
      </c>
      <c r="J121" s="4" t="str">
        <f>IF(A121="","",IF(AND('INPUT-SIF_Questions'!S121&lt;&gt;"",'INPUT-SIF_Questions'!V121&lt;&gt;"",'INPUT-SIF_Questions'!W121&lt;&gt;""),"PASS","WARNING"))</f>
        <v>PASS</v>
      </c>
      <c r="K121" s="4" t="str">
        <f t="shared" si="6"/>
        <v>PASS</v>
      </c>
      <c r="L121" s="4" t="str">
        <f t="shared" si="7"/>
        <v/>
      </c>
    </row>
    <row r="122" spans="1:12" ht="14.25" customHeight="1" x14ac:dyDescent="0.45">
      <c r="A122" s="4">
        <f>IF('INPUT-SIF_Questions'!A122="","",ROW())</f>
        <v>122</v>
      </c>
      <c r="B122" s="4" t="str">
        <f>IF(A122="","",'INPUT-SIF_Questions'!A122)</f>
        <v>OBS-016</v>
      </c>
      <c r="C122" s="4" t="str">
        <f>IF(A122="","",'INPUT-SIF_Questions'!J122)</f>
        <v>A</v>
      </c>
      <c r="D122" s="4" t="str">
        <f>IF(A122="","",'INPUT-SIF_Questions'!H122)</f>
        <v>GD</v>
      </c>
      <c r="E122" s="4" t="str">
        <f>IF(A122="","",'INPUT-SIF_Questions'!K122)</f>
        <v>CLSR08-A</v>
      </c>
      <c r="F122" s="4" t="str">
        <f>IF(D122="","",IFERROR(VLOOKUP(D122,Helper_Protocol_Map!$A$2:$B$11,2,FALSE()),"OTHER"))</f>
        <v>CLSR08</v>
      </c>
      <c r="G122" s="4">
        <f>IF(A122="","",N('INPUT-SIF_Questions'!M122)+N('INPUT-SIF_Questions'!N122)+N('INPUT-SIF_Questions'!O122))</f>
        <v>1</v>
      </c>
      <c r="H122" s="4" t="str">
        <f t="shared" si="4"/>
        <v>PASS</v>
      </c>
      <c r="I122" s="4" t="str">
        <f t="shared" si="5"/>
        <v>PASS</v>
      </c>
      <c r="J122" s="4" t="str">
        <f>IF(A122="","",IF(AND('INPUT-SIF_Questions'!S122&lt;&gt;"",'INPUT-SIF_Questions'!V122&lt;&gt;"",'INPUT-SIF_Questions'!W122&lt;&gt;""),"PASS","WARNING"))</f>
        <v>PASS</v>
      </c>
      <c r="K122" s="4" t="str">
        <f t="shared" si="6"/>
        <v>PASS</v>
      </c>
      <c r="L122" s="4" t="str">
        <f t="shared" si="7"/>
        <v/>
      </c>
    </row>
    <row r="123" spans="1:12" ht="14.25" customHeight="1" x14ac:dyDescent="0.45">
      <c r="A123" s="4">
        <f>IF('INPUT-SIF_Questions'!A123="","",ROW())</f>
        <v>123</v>
      </c>
      <c r="B123" s="4" t="str">
        <f>IF(A123="","",'INPUT-SIF_Questions'!A123)</f>
        <v>OBS-016</v>
      </c>
      <c r="C123" s="4" t="str">
        <f>IF(A123="","",'INPUT-SIF_Questions'!J123)</f>
        <v>B</v>
      </c>
      <c r="D123" s="4" t="str">
        <f>IF(A123="","",'INPUT-SIF_Questions'!H123)</f>
        <v>GD</v>
      </c>
      <c r="E123" s="4" t="str">
        <f>IF(A123="","",'INPUT-SIF_Questions'!K123)</f>
        <v>CLSR08-B</v>
      </c>
      <c r="F123" s="4" t="str">
        <f>IF(D123="","",IFERROR(VLOOKUP(D123,Helper_Protocol_Map!$A$2:$B$11,2,FALSE()),"OTHER"))</f>
        <v>CLSR08</v>
      </c>
      <c r="G123" s="4">
        <f>IF(A123="","",N('INPUT-SIF_Questions'!M123)+N('INPUT-SIF_Questions'!N123)+N('INPUT-SIF_Questions'!O123))</f>
        <v>1</v>
      </c>
      <c r="H123" s="4" t="str">
        <f t="shared" si="4"/>
        <v>PASS</v>
      </c>
      <c r="I123" s="4" t="str">
        <f t="shared" si="5"/>
        <v>PASS</v>
      </c>
      <c r="J123" s="4" t="str">
        <f>IF(A123="","",IF(AND('INPUT-SIF_Questions'!S123&lt;&gt;"",'INPUT-SIF_Questions'!V123&lt;&gt;"",'INPUT-SIF_Questions'!W123&lt;&gt;""),"PASS","WARNING"))</f>
        <v>PASS</v>
      </c>
      <c r="K123" s="4" t="str">
        <f t="shared" si="6"/>
        <v>PASS</v>
      </c>
      <c r="L123" s="4" t="str">
        <f t="shared" si="7"/>
        <v/>
      </c>
    </row>
    <row r="124" spans="1:12" ht="14.25" customHeight="1" x14ac:dyDescent="0.45">
      <c r="A124" s="4">
        <f>IF('INPUT-SIF_Questions'!A124="","",ROW())</f>
        <v>124</v>
      </c>
      <c r="B124" s="4" t="str">
        <f>IF(A124="","",'INPUT-SIF_Questions'!A124)</f>
        <v>OBS-016</v>
      </c>
      <c r="C124" s="4" t="str">
        <f>IF(A124="","",'INPUT-SIF_Questions'!J124)</f>
        <v>C</v>
      </c>
      <c r="D124" s="4" t="str">
        <f>IF(A124="","",'INPUT-SIF_Questions'!H124)</f>
        <v>GD</v>
      </c>
      <c r="E124" s="4" t="str">
        <f>IF(A124="","",'INPUT-SIF_Questions'!K124)</f>
        <v>CLSR08-C</v>
      </c>
      <c r="F124" s="4" t="str">
        <f>IF(D124="","",IFERROR(VLOOKUP(D124,Helper_Protocol_Map!$A$2:$B$11,2,FALSE()),"OTHER"))</f>
        <v>CLSR08</v>
      </c>
      <c r="G124" s="4">
        <f>IF(A124="","",N('INPUT-SIF_Questions'!M124)+N('INPUT-SIF_Questions'!N124)+N('INPUT-SIF_Questions'!O124))</f>
        <v>1</v>
      </c>
      <c r="H124" s="4" t="str">
        <f t="shared" si="4"/>
        <v>PASS</v>
      </c>
      <c r="I124" s="4" t="str">
        <f t="shared" si="5"/>
        <v>PASS</v>
      </c>
      <c r="J124" s="4" t="str">
        <f>IF(A124="","",IF(AND('INPUT-SIF_Questions'!S124&lt;&gt;"",'INPUT-SIF_Questions'!V124&lt;&gt;"",'INPUT-SIF_Questions'!W124&lt;&gt;""),"PASS","WARNING"))</f>
        <v>PASS</v>
      </c>
      <c r="K124" s="4" t="str">
        <f t="shared" si="6"/>
        <v>PASS</v>
      </c>
      <c r="L124" s="4" t="str">
        <f t="shared" si="7"/>
        <v/>
      </c>
    </row>
    <row r="125" spans="1:12" ht="14.25" customHeight="1" x14ac:dyDescent="0.45">
      <c r="A125" s="4">
        <f>IF('INPUT-SIF_Questions'!A125="","",ROW())</f>
        <v>125</v>
      </c>
      <c r="B125" s="4" t="str">
        <f>IF(A125="","",'INPUT-SIF_Questions'!A125)</f>
        <v>OBS-016</v>
      </c>
      <c r="C125" s="4" t="str">
        <f>IF(A125="","",'INPUT-SIF_Questions'!J125)</f>
        <v>D</v>
      </c>
      <c r="D125" s="4" t="str">
        <f>IF(A125="","",'INPUT-SIF_Questions'!H125)</f>
        <v>GD</v>
      </c>
      <c r="E125" s="4" t="str">
        <f>IF(A125="","",'INPUT-SIF_Questions'!K125)</f>
        <v>CLSR08-D</v>
      </c>
      <c r="F125" s="4" t="str">
        <f>IF(D125="","",IFERROR(VLOOKUP(D125,Helper_Protocol_Map!$A$2:$B$11,2,FALSE()),"OTHER"))</f>
        <v>CLSR08</v>
      </c>
      <c r="G125" s="4">
        <f>IF(A125="","",N('INPUT-SIF_Questions'!M125)+N('INPUT-SIF_Questions'!N125)+N('INPUT-SIF_Questions'!O125))</f>
        <v>1</v>
      </c>
      <c r="H125" s="4" t="str">
        <f t="shared" si="4"/>
        <v>PASS</v>
      </c>
      <c r="I125" s="4" t="str">
        <f t="shared" si="5"/>
        <v>PASS</v>
      </c>
      <c r="J125" s="4" t="str">
        <f>IF(A125="","",IF(AND('INPUT-SIF_Questions'!S125&lt;&gt;"",'INPUT-SIF_Questions'!V125&lt;&gt;"",'INPUT-SIF_Questions'!W125&lt;&gt;""),"PASS","WARNING"))</f>
        <v>PASS</v>
      </c>
      <c r="K125" s="4" t="str">
        <f t="shared" si="6"/>
        <v>PASS</v>
      </c>
      <c r="L125" s="4" t="str">
        <f t="shared" si="7"/>
        <v/>
      </c>
    </row>
    <row r="126" spans="1:12" ht="14.25" customHeight="1" x14ac:dyDescent="0.45">
      <c r="A126" s="4">
        <f>IF('INPUT-SIF_Questions'!A126="","",ROW())</f>
        <v>126</v>
      </c>
      <c r="B126" s="4" t="str">
        <f>IF(A126="","",'INPUT-SIF_Questions'!A126)</f>
        <v>OBS-016</v>
      </c>
      <c r="C126" s="4" t="str">
        <f>IF(A126="","",'INPUT-SIF_Questions'!J126)</f>
        <v>E</v>
      </c>
      <c r="D126" s="4" t="str">
        <f>IF(A126="","",'INPUT-SIF_Questions'!H126)</f>
        <v>GD</v>
      </c>
      <c r="E126" s="4" t="str">
        <f>IF(A126="","",'INPUT-SIF_Questions'!K126)</f>
        <v>CLSR08-E</v>
      </c>
      <c r="F126" s="4" t="str">
        <f>IF(D126="","",IFERROR(VLOOKUP(D126,Helper_Protocol_Map!$A$2:$B$11,2,FALSE()),"OTHER"))</f>
        <v>CLSR08</v>
      </c>
      <c r="G126" s="4">
        <f>IF(A126="","",N('INPUT-SIF_Questions'!M126)+N('INPUT-SIF_Questions'!N126)+N('INPUT-SIF_Questions'!O126))</f>
        <v>1</v>
      </c>
      <c r="H126" s="4" t="str">
        <f t="shared" si="4"/>
        <v>PASS</v>
      </c>
      <c r="I126" s="4" t="str">
        <f t="shared" si="5"/>
        <v>PASS</v>
      </c>
      <c r="J126" s="4" t="str">
        <f>IF(A126="","",IF(AND('INPUT-SIF_Questions'!S126&lt;&gt;"",'INPUT-SIF_Questions'!V126&lt;&gt;"",'INPUT-SIF_Questions'!W126&lt;&gt;""),"PASS","WARNING"))</f>
        <v>PASS</v>
      </c>
      <c r="K126" s="4" t="str">
        <f t="shared" si="6"/>
        <v>PASS</v>
      </c>
      <c r="L126" s="4" t="str">
        <f t="shared" si="7"/>
        <v/>
      </c>
    </row>
    <row r="127" spans="1:12" ht="14.25" customHeight="1" x14ac:dyDescent="0.45">
      <c r="A127" s="4">
        <f>IF('INPUT-SIF_Questions'!A127="","",ROW())</f>
        <v>127</v>
      </c>
      <c r="B127" s="4" t="str">
        <f>IF(A127="","",'INPUT-SIF_Questions'!A127)</f>
        <v>OBS-017</v>
      </c>
      <c r="C127" s="4" t="str">
        <f>IF(A127="","",'INPUT-SIF_Questions'!J127)</f>
        <v>A</v>
      </c>
      <c r="D127" s="4" t="str">
        <f>IF(A127="","",'INPUT-SIF_Questions'!H127)</f>
        <v>CSE</v>
      </c>
      <c r="E127" s="4" t="str">
        <f>IF(A127="","",'INPUT-SIF_Questions'!K127)</f>
        <v>CLSR04-A</v>
      </c>
      <c r="F127" s="4" t="str">
        <f>IF(D127="","",IFERROR(VLOOKUP(D127,Helper_Protocol_Map!$A$2:$B$11,2,FALSE()),"OTHER"))</f>
        <v>CLSR04</v>
      </c>
      <c r="G127" s="4">
        <f>IF(A127="","",N('INPUT-SIF_Questions'!M127)+N('INPUT-SIF_Questions'!N127)+N('INPUT-SIF_Questions'!O127))</f>
        <v>1</v>
      </c>
      <c r="H127" s="4" t="str">
        <f t="shared" si="4"/>
        <v>PASS</v>
      </c>
      <c r="I127" s="4" t="str">
        <f t="shared" si="5"/>
        <v>PASS</v>
      </c>
      <c r="J127" s="4" t="str">
        <f>IF(A127="","",IF(AND('INPUT-SIF_Questions'!S127&lt;&gt;"",'INPUT-SIF_Questions'!V127&lt;&gt;"",'INPUT-SIF_Questions'!W127&lt;&gt;""),"PASS","WARNING"))</f>
        <v>PASS</v>
      </c>
      <c r="K127" s="4" t="str">
        <f t="shared" si="6"/>
        <v>PASS</v>
      </c>
      <c r="L127" s="4" t="str">
        <f t="shared" si="7"/>
        <v/>
      </c>
    </row>
    <row r="128" spans="1:12" ht="14.25" customHeight="1" x14ac:dyDescent="0.45">
      <c r="A128" s="4">
        <f>IF('INPUT-SIF_Questions'!A128="","",ROW())</f>
        <v>128</v>
      </c>
      <c r="B128" s="4" t="str">
        <f>IF(A128="","",'INPUT-SIF_Questions'!A128)</f>
        <v>OBS-017</v>
      </c>
      <c r="C128" s="4" t="str">
        <f>IF(A128="","",'INPUT-SIF_Questions'!J128)</f>
        <v>B</v>
      </c>
      <c r="D128" s="4" t="str">
        <f>IF(A128="","",'INPUT-SIF_Questions'!H128)</f>
        <v>CSE</v>
      </c>
      <c r="E128" s="4" t="str">
        <f>IF(A128="","",'INPUT-SIF_Questions'!K128)</f>
        <v>CLSR04-B</v>
      </c>
      <c r="F128" s="4" t="str">
        <f>IF(D128="","",IFERROR(VLOOKUP(D128,Helper_Protocol_Map!$A$2:$B$11,2,FALSE()),"OTHER"))</f>
        <v>CLSR04</v>
      </c>
      <c r="G128" s="4">
        <f>IF(A128="","",N('INPUT-SIF_Questions'!M128)+N('INPUT-SIF_Questions'!N128)+N('INPUT-SIF_Questions'!O128))</f>
        <v>1</v>
      </c>
      <c r="H128" s="4" t="str">
        <f t="shared" si="4"/>
        <v>PASS</v>
      </c>
      <c r="I128" s="4" t="str">
        <f t="shared" si="5"/>
        <v>PASS</v>
      </c>
      <c r="J128" s="4" t="str">
        <f>IF(A128="","",IF(AND('INPUT-SIF_Questions'!S128&lt;&gt;"",'INPUT-SIF_Questions'!V128&lt;&gt;"",'INPUT-SIF_Questions'!W128&lt;&gt;""),"PASS","WARNING"))</f>
        <v>PASS</v>
      </c>
      <c r="K128" s="4" t="str">
        <f t="shared" si="6"/>
        <v>PASS</v>
      </c>
      <c r="L128" s="4" t="str">
        <f t="shared" si="7"/>
        <v/>
      </c>
    </row>
    <row r="129" spans="1:12" ht="14.25" customHeight="1" x14ac:dyDescent="0.45">
      <c r="A129" s="4">
        <f>IF('INPUT-SIF_Questions'!A129="","",ROW())</f>
        <v>129</v>
      </c>
      <c r="B129" s="4" t="str">
        <f>IF(A129="","",'INPUT-SIF_Questions'!A129)</f>
        <v>OBS-017</v>
      </c>
      <c r="C129" s="4" t="str">
        <f>IF(A129="","",'INPUT-SIF_Questions'!J129)</f>
        <v>C</v>
      </c>
      <c r="D129" s="4" t="str">
        <f>IF(A129="","",'INPUT-SIF_Questions'!H129)</f>
        <v>CSE</v>
      </c>
      <c r="E129" s="4" t="str">
        <f>IF(A129="","",'INPUT-SIF_Questions'!K129)</f>
        <v>CLSR04-C</v>
      </c>
      <c r="F129" s="4" t="str">
        <f>IF(D129="","",IFERROR(VLOOKUP(D129,Helper_Protocol_Map!$A$2:$B$11,2,FALSE()),"OTHER"))</f>
        <v>CLSR04</v>
      </c>
      <c r="G129" s="4">
        <f>IF(A129="","",N('INPUT-SIF_Questions'!M129)+N('INPUT-SIF_Questions'!N129)+N('INPUT-SIF_Questions'!O129))</f>
        <v>1</v>
      </c>
      <c r="H129" s="4" t="str">
        <f t="shared" si="4"/>
        <v>PASS</v>
      </c>
      <c r="I129" s="4" t="str">
        <f t="shared" si="5"/>
        <v>PASS</v>
      </c>
      <c r="J129" s="4" t="str">
        <f>IF(A129="","",IF(AND('INPUT-SIF_Questions'!S129&lt;&gt;"",'INPUT-SIF_Questions'!V129&lt;&gt;"",'INPUT-SIF_Questions'!W129&lt;&gt;""),"PASS","WARNING"))</f>
        <v>PASS</v>
      </c>
      <c r="K129" s="4" t="str">
        <f t="shared" si="6"/>
        <v>PASS</v>
      </c>
      <c r="L129" s="4" t="str">
        <f t="shared" si="7"/>
        <v/>
      </c>
    </row>
    <row r="130" spans="1:12" ht="14.25" customHeight="1" x14ac:dyDescent="0.45">
      <c r="A130" s="4">
        <f>IF('INPUT-SIF_Questions'!A130="","",ROW())</f>
        <v>130</v>
      </c>
      <c r="B130" s="4" t="str">
        <f>IF(A130="","",'INPUT-SIF_Questions'!A130)</f>
        <v>OBS-017</v>
      </c>
      <c r="C130" s="4" t="str">
        <f>IF(A130="","",'INPUT-SIF_Questions'!J130)</f>
        <v>D</v>
      </c>
      <c r="D130" s="4" t="str">
        <f>IF(A130="","",'INPUT-SIF_Questions'!H130)</f>
        <v>CSE</v>
      </c>
      <c r="E130" s="4" t="str">
        <f>IF(A130="","",'INPUT-SIF_Questions'!K130)</f>
        <v>CLSR04-D</v>
      </c>
      <c r="F130" s="4" t="str">
        <f>IF(D130="","",IFERROR(VLOOKUP(D130,Helper_Protocol_Map!$A$2:$B$11,2,FALSE()),"OTHER"))</f>
        <v>CLSR04</v>
      </c>
      <c r="G130" s="4">
        <f>IF(A130="","",N('INPUT-SIF_Questions'!M130)+N('INPUT-SIF_Questions'!N130)+N('INPUT-SIF_Questions'!O130))</f>
        <v>1</v>
      </c>
      <c r="H130" s="4" t="str">
        <f t="shared" ref="H130:H193" si="8">IF(A130="","",IF(LEFT(E130,6)=F130,"PASS","FAIL"))</f>
        <v>PASS</v>
      </c>
      <c r="I130" s="4" t="str">
        <f t="shared" ref="I130:I193" si="9">IF(A130="","",IF(G130=1,"PASS","FAIL"))</f>
        <v>PASS</v>
      </c>
      <c r="J130" s="4" t="str">
        <f>IF(A130="","",IF(AND('INPUT-SIF_Questions'!S130&lt;&gt;"",'INPUT-SIF_Questions'!V130&lt;&gt;"",'INPUT-SIF_Questions'!W130&lt;&gt;""),"PASS","WARNING"))</f>
        <v>PASS</v>
      </c>
      <c r="K130" s="4" t="str">
        <f t="shared" ref="K130:K193" si="10">IF(A130="","",IF(OR(H130="FAIL",I130="FAIL"),"FAIL",IF(J130="WARNING","WARNING","PASS")))</f>
        <v>PASS</v>
      </c>
      <c r="L130" s="4" t="str">
        <f t="shared" ref="L130:L193" si="11">IF(A130="","",IF(H130="FAIL","Protocol/CCVC mismatch; ","")&amp;IF(I130="FAIL","YES/NO/NA selection invalid; ","")&amp;IF(J130="WARNING","Date/Zona/Site incomplete",""))</f>
        <v/>
      </c>
    </row>
    <row r="131" spans="1:12" ht="14.25" customHeight="1" x14ac:dyDescent="0.45">
      <c r="A131" s="4">
        <f>IF('INPUT-SIF_Questions'!A131="","",ROW())</f>
        <v>131</v>
      </c>
      <c r="B131" s="4" t="str">
        <f>IF(A131="","",'INPUT-SIF_Questions'!A131)</f>
        <v>OBS-017</v>
      </c>
      <c r="C131" s="4" t="str">
        <f>IF(A131="","",'INPUT-SIF_Questions'!J131)</f>
        <v>E</v>
      </c>
      <c r="D131" s="4" t="str">
        <f>IF(A131="","",'INPUT-SIF_Questions'!H131)</f>
        <v>CSE</v>
      </c>
      <c r="E131" s="4" t="str">
        <f>IF(A131="","",'INPUT-SIF_Questions'!K131)</f>
        <v>CLSR04-E</v>
      </c>
      <c r="F131" s="4" t="str">
        <f>IF(D131="","",IFERROR(VLOOKUP(D131,Helper_Protocol_Map!$A$2:$B$11,2,FALSE()),"OTHER"))</f>
        <v>CLSR04</v>
      </c>
      <c r="G131" s="4">
        <f>IF(A131="","",N('INPUT-SIF_Questions'!M131)+N('INPUT-SIF_Questions'!N131)+N('INPUT-SIF_Questions'!O131))</f>
        <v>1</v>
      </c>
      <c r="H131" s="4" t="str">
        <f t="shared" si="8"/>
        <v>PASS</v>
      </c>
      <c r="I131" s="4" t="str">
        <f t="shared" si="9"/>
        <v>PASS</v>
      </c>
      <c r="J131" s="4" t="str">
        <f>IF(A131="","",IF(AND('INPUT-SIF_Questions'!S131&lt;&gt;"",'INPUT-SIF_Questions'!V131&lt;&gt;"",'INPUT-SIF_Questions'!W131&lt;&gt;""),"PASS","WARNING"))</f>
        <v>PASS</v>
      </c>
      <c r="K131" s="4" t="str">
        <f t="shared" si="10"/>
        <v>PASS</v>
      </c>
      <c r="L131" s="4" t="str">
        <f t="shared" si="11"/>
        <v/>
      </c>
    </row>
    <row r="132" spans="1:12" ht="14.25" customHeight="1" x14ac:dyDescent="0.45">
      <c r="A132" s="4">
        <f>IF('INPUT-SIF_Questions'!A132="","",ROW())</f>
        <v>132</v>
      </c>
      <c r="B132" s="4" t="str">
        <f>IF(A132="","",'INPUT-SIF_Questions'!A132)</f>
        <v>OBS-017</v>
      </c>
      <c r="C132" s="4" t="str">
        <f>IF(A132="","",'INPUT-SIF_Questions'!J132)</f>
        <v>F</v>
      </c>
      <c r="D132" s="4" t="str">
        <f>IF(A132="","",'INPUT-SIF_Questions'!H132)</f>
        <v>CSE</v>
      </c>
      <c r="E132" s="4" t="str">
        <f>IF(A132="","",'INPUT-SIF_Questions'!K132)</f>
        <v>CLSR04-F</v>
      </c>
      <c r="F132" s="4" t="str">
        <f>IF(D132="","",IFERROR(VLOOKUP(D132,Helper_Protocol_Map!$A$2:$B$11,2,FALSE()),"OTHER"))</f>
        <v>CLSR04</v>
      </c>
      <c r="G132" s="4">
        <f>IF(A132="","",N('INPUT-SIF_Questions'!M132)+N('INPUT-SIF_Questions'!N132)+N('INPUT-SIF_Questions'!O132))</f>
        <v>1</v>
      </c>
      <c r="H132" s="4" t="str">
        <f t="shared" si="8"/>
        <v>PASS</v>
      </c>
      <c r="I132" s="4" t="str">
        <f t="shared" si="9"/>
        <v>PASS</v>
      </c>
      <c r="J132" s="4" t="str">
        <f>IF(A132="","",IF(AND('INPUT-SIF_Questions'!S132&lt;&gt;"",'INPUT-SIF_Questions'!V132&lt;&gt;"",'INPUT-SIF_Questions'!W132&lt;&gt;""),"PASS","WARNING"))</f>
        <v>PASS</v>
      </c>
      <c r="K132" s="4" t="str">
        <f t="shared" si="10"/>
        <v>PASS</v>
      </c>
      <c r="L132" s="4" t="str">
        <f t="shared" si="11"/>
        <v/>
      </c>
    </row>
    <row r="133" spans="1:12" ht="14.25" customHeight="1" x14ac:dyDescent="0.45">
      <c r="A133" s="4">
        <f>IF('INPUT-SIF_Questions'!A133="","",ROW())</f>
        <v>133</v>
      </c>
      <c r="B133" s="4" t="str">
        <f>IF(A133="","",'INPUT-SIF_Questions'!A133)</f>
        <v>OBS-017</v>
      </c>
      <c r="C133" s="4" t="str">
        <f>IF(A133="","",'INPUT-SIF_Questions'!J133)</f>
        <v>G</v>
      </c>
      <c r="D133" s="4" t="str">
        <f>IF(A133="","",'INPUT-SIF_Questions'!H133)</f>
        <v>CSE</v>
      </c>
      <c r="E133" s="4" t="str">
        <f>IF(A133="","",'INPUT-SIF_Questions'!K133)</f>
        <v>CLSR04-G</v>
      </c>
      <c r="F133" s="4" t="str">
        <f>IF(D133="","",IFERROR(VLOOKUP(D133,Helper_Protocol_Map!$A$2:$B$11,2,FALSE()),"OTHER"))</f>
        <v>CLSR04</v>
      </c>
      <c r="G133" s="4">
        <f>IF(A133="","",N('INPUT-SIF_Questions'!M133)+N('INPUT-SIF_Questions'!N133)+N('INPUT-SIF_Questions'!O133))</f>
        <v>1</v>
      </c>
      <c r="H133" s="4" t="str">
        <f t="shared" si="8"/>
        <v>PASS</v>
      </c>
      <c r="I133" s="4" t="str">
        <f t="shared" si="9"/>
        <v>PASS</v>
      </c>
      <c r="J133" s="4" t="str">
        <f>IF(A133="","",IF(AND('INPUT-SIF_Questions'!S133&lt;&gt;"",'INPUT-SIF_Questions'!V133&lt;&gt;"",'INPUT-SIF_Questions'!W133&lt;&gt;""),"PASS","WARNING"))</f>
        <v>PASS</v>
      </c>
      <c r="K133" s="4" t="str">
        <f t="shared" si="10"/>
        <v>PASS</v>
      </c>
      <c r="L133" s="4" t="str">
        <f t="shared" si="11"/>
        <v/>
      </c>
    </row>
    <row r="134" spans="1:12" ht="14.25" customHeight="1" x14ac:dyDescent="0.45">
      <c r="A134" s="4">
        <f>IF('INPUT-SIF_Questions'!A134="","",ROW())</f>
        <v>134</v>
      </c>
      <c r="B134" s="4" t="str">
        <f>IF(A134="","",'INPUT-SIF_Questions'!A134)</f>
        <v>OBS-018</v>
      </c>
      <c r="C134" s="4" t="str">
        <f>IF(A134="","",'INPUT-SIF_Questions'!J134)</f>
        <v>A</v>
      </c>
      <c r="D134" s="4" t="str">
        <f>IF(A134="","",'INPUT-SIF_Questions'!H134)</f>
        <v>IHE</v>
      </c>
      <c r="E134" s="4" t="str">
        <f>IF(A134="","",'INPUT-SIF_Questions'!K134)</f>
        <v>CLSR05-A</v>
      </c>
      <c r="F134" s="4" t="str">
        <f>IF(D134="","",IFERROR(VLOOKUP(D134,Helper_Protocol_Map!$A$2:$B$11,2,FALSE()),"OTHER"))</f>
        <v>CLSR05</v>
      </c>
      <c r="G134" s="4">
        <f>IF(A134="","",N('INPUT-SIF_Questions'!M134)+N('INPUT-SIF_Questions'!N134)+N('INPUT-SIF_Questions'!O134))</f>
        <v>1</v>
      </c>
      <c r="H134" s="4" t="str">
        <f t="shared" si="8"/>
        <v>PASS</v>
      </c>
      <c r="I134" s="4" t="str">
        <f t="shared" si="9"/>
        <v>PASS</v>
      </c>
      <c r="J134" s="4" t="str">
        <f>IF(A134="","",IF(AND('INPUT-SIF_Questions'!S134&lt;&gt;"",'INPUT-SIF_Questions'!V134&lt;&gt;"",'INPUT-SIF_Questions'!W134&lt;&gt;""),"PASS","WARNING"))</f>
        <v>PASS</v>
      </c>
      <c r="K134" s="4" t="str">
        <f t="shared" si="10"/>
        <v>PASS</v>
      </c>
      <c r="L134" s="4" t="str">
        <f t="shared" si="11"/>
        <v/>
      </c>
    </row>
    <row r="135" spans="1:12" ht="14.25" customHeight="1" x14ac:dyDescent="0.45">
      <c r="A135" s="4">
        <f>IF('INPUT-SIF_Questions'!A135="","",ROW())</f>
        <v>135</v>
      </c>
      <c r="B135" s="4" t="str">
        <f>IF(A135="","",'INPUT-SIF_Questions'!A135)</f>
        <v>OBS-018</v>
      </c>
      <c r="C135" s="4" t="str">
        <f>IF(A135="","",'INPUT-SIF_Questions'!J135)</f>
        <v>B</v>
      </c>
      <c r="D135" s="4" t="str">
        <f>IF(A135="","",'INPUT-SIF_Questions'!H135)</f>
        <v>IHE</v>
      </c>
      <c r="E135" s="4" t="str">
        <f>IF(A135="","",'INPUT-SIF_Questions'!K135)</f>
        <v>CLSR05-B</v>
      </c>
      <c r="F135" s="4" t="str">
        <f>IF(D135="","",IFERROR(VLOOKUP(D135,Helper_Protocol_Map!$A$2:$B$11,2,FALSE()),"OTHER"))</f>
        <v>CLSR05</v>
      </c>
      <c r="G135" s="4">
        <f>IF(A135="","",N('INPUT-SIF_Questions'!M135)+N('INPUT-SIF_Questions'!N135)+N('INPUT-SIF_Questions'!O135))</f>
        <v>1</v>
      </c>
      <c r="H135" s="4" t="str">
        <f t="shared" si="8"/>
        <v>PASS</v>
      </c>
      <c r="I135" s="4" t="str">
        <f t="shared" si="9"/>
        <v>PASS</v>
      </c>
      <c r="J135" s="4" t="str">
        <f>IF(A135="","",IF(AND('INPUT-SIF_Questions'!S135&lt;&gt;"",'INPUT-SIF_Questions'!V135&lt;&gt;"",'INPUT-SIF_Questions'!W135&lt;&gt;""),"PASS","WARNING"))</f>
        <v>PASS</v>
      </c>
      <c r="K135" s="4" t="str">
        <f t="shared" si="10"/>
        <v>PASS</v>
      </c>
      <c r="L135" s="4" t="str">
        <f t="shared" si="11"/>
        <v/>
      </c>
    </row>
    <row r="136" spans="1:12" ht="14.25" customHeight="1" x14ac:dyDescent="0.45">
      <c r="A136" s="4">
        <f>IF('INPUT-SIF_Questions'!A136="","",ROW())</f>
        <v>136</v>
      </c>
      <c r="B136" s="4" t="str">
        <f>IF(A136="","",'INPUT-SIF_Questions'!A136)</f>
        <v>OBS-018</v>
      </c>
      <c r="C136" s="4" t="str">
        <f>IF(A136="","",'INPUT-SIF_Questions'!J136)</f>
        <v>C</v>
      </c>
      <c r="D136" s="4" t="str">
        <f>IF(A136="","",'INPUT-SIF_Questions'!H136)</f>
        <v>IHE</v>
      </c>
      <c r="E136" s="4" t="str">
        <f>IF(A136="","",'INPUT-SIF_Questions'!K136)</f>
        <v>CLSR05-C</v>
      </c>
      <c r="F136" s="4" t="str">
        <f>IF(D136="","",IFERROR(VLOOKUP(D136,Helper_Protocol_Map!$A$2:$B$11,2,FALSE()),"OTHER"))</f>
        <v>CLSR05</v>
      </c>
      <c r="G136" s="4">
        <f>IF(A136="","",N('INPUT-SIF_Questions'!M136)+N('INPUT-SIF_Questions'!N136)+N('INPUT-SIF_Questions'!O136))</f>
        <v>1</v>
      </c>
      <c r="H136" s="4" t="str">
        <f t="shared" si="8"/>
        <v>PASS</v>
      </c>
      <c r="I136" s="4" t="str">
        <f t="shared" si="9"/>
        <v>PASS</v>
      </c>
      <c r="J136" s="4" t="str">
        <f>IF(A136="","",IF(AND('INPUT-SIF_Questions'!S136&lt;&gt;"",'INPUT-SIF_Questions'!V136&lt;&gt;"",'INPUT-SIF_Questions'!W136&lt;&gt;""),"PASS","WARNING"))</f>
        <v>PASS</v>
      </c>
      <c r="K136" s="4" t="str">
        <f t="shared" si="10"/>
        <v>PASS</v>
      </c>
      <c r="L136" s="4" t="str">
        <f t="shared" si="11"/>
        <v/>
      </c>
    </row>
    <row r="137" spans="1:12" ht="14.25" customHeight="1" x14ac:dyDescent="0.45">
      <c r="A137" s="4">
        <f>IF('INPUT-SIF_Questions'!A137="","",ROW())</f>
        <v>137</v>
      </c>
      <c r="B137" s="4" t="str">
        <f>IF(A137="","",'INPUT-SIF_Questions'!A137)</f>
        <v>OBS-018</v>
      </c>
      <c r="C137" s="4" t="str">
        <f>IF(A137="","",'INPUT-SIF_Questions'!J137)</f>
        <v>D</v>
      </c>
      <c r="D137" s="4" t="str">
        <f>IF(A137="","",'INPUT-SIF_Questions'!H137)</f>
        <v>IHE</v>
      </c>
      <c r="E137" s="4" t="str">
        <f>IF(A137="","",'INPUT-SIF_Questions'!K137)</f>
        <v>CLSR05-D</v>
      </c>
      <c r="F137" s="4" t="str">
        <f>IF(D137="","",IFERROR(VLOOKUP(D137,Helper_Protocol_Map!$A$2:$B$11,2,FALSE()),"OTHER"))</f>
        <v>CLSR05</v>
      </c>
      <c r="G137" s="4">
        <f>IF(A137="","",N('INPUT-SIF_Questions'!M137)+N('INPUT-SIF_Questions'!N137)+N('INPUT-SIF_Questions'!O137))</f>
        <v>1</v>
      </c>
      <c r="H137" s="4" t="str">
        <f t="shared" si="8"/>
        <v>PASS</v>
      </c>
      <c r="I137" s="4" t="str">
        <f t="shared" si="9"/>
        <v>PASS</v>
      </c>
      <c r="J137" s="4" t="str">
        <f>IF(A137="","",IF(AND('INPUT-SIF_Questions'!S137&lt;&gt;"",'INPUT-SIF_Questions'!V137&lt;&gt;"",'INPUT-SIF_Questions'!W137&lt;&gt;""),"PASS","WARNING"))</f>
        <v>PASS</v>
      </c>
      <c r="K137" s="4" t="str">
        <f t="shared" si="10"/>
        <v>PASS</v>
      </c>
      <c r="L137" s="4" t="str">
        <f t="shared" si="11"/>
        <v/>
      </c>
    </row>
    <row r="138" spans="1:12" ht="14.25" customHeight="1" x14ac:dyDescent="0.45">
      <c r="A138" s="4">
        <f>IF('INPUT-SIF_Questions'!A138="","",ROW())</f>
        <v>138</v>
      </c>
      <c r="B138" s="4" t="str">
        <f>IF(A138="","",'INPUT-SIF_Questions'!A138)</f>
        <v>OBS-018</v>
      </c>
      <c r="C138" s="4" t="str">
        <f>IF(A138="","",'INPUT-SIF_Questions'!J138)</f>
        <v>E</v>
      </c>
      <c r="D138" s="4" t="str">
        <f>IF(A138="","",'INPUT-SIF_Questions'!H138)</f>
        <v>IHE</v>
      </c>
      <c r="E138" s="4" t="str">
        <f>IF(A138="","",'INPUT-SIF_Questions'!K138)</f>
        <v>CLSR05-E</v>
      </c>
      <c r="F138" s="4" t="str">
        <f>IF(D138="","",IFERROR(VLOOKUP(D138,Helper_Protocol_Map!$A$2:$B$11,2,FALSE()),"OTHER"))</f>
        <v>CLSR05</v>
      </c>
      <c r="G138" s="4">
        <f>IF(A138="","",N('INPUT-SIF_Questions'!M138)+N('INPUT-SIF_Questions'!N138)+N('INPUT-SIF_Questions'!O138))</f>
        <v>1</v>
      </c>
      <c r="H138" s="4" t="str">
        <f t="shared" si="8"/>
        <v>PASS</v>
      </c>
      <c r="I138" s="4" t="str">
        <f t="shared" si="9"/>
        <v>PASS</v>
      </c>
      <c r="J138" s="4" t="str">
        <f>IF(A138="","",IF(AND('INPUT-SIF_Questions'!S138&lt;&gt;"",'INPUT-SIF_Questions'!V138&lt;&gt;"",'INPUT-SIF_Questions'!W138&lt;&gt;""),"PASS","WARNING"))</f>
        <v>PASS</v>
      </c>
      <c r="K138" s="4" t="str">
        <f t="shared" si="10"/>
        <v>PASS</v>
      </c>
      <c r="L138" s="4" t="str">
        <f t="shared" si="11"/>
        <v/>
      </c>
    </row>
    <row r="139" spans="1:12" ht="14.25" customHeight="1" x14ac:dyDescent="0.45">
      <c r="A139" s="4">
        <f>IF('INPUT-SIF_Questions'!A139="","",ROW())</f>
        <v>139</v>
      </c>
      <c r="B139" s="4" t="str">
        <f>IF(A139="","",'INPUT-SIF_Questions'!A139)</f>
        <v>OBS-018</v>
      </c>
      <c r="C139" s="4" t="str">
        <f>IF(A139="","",'INPUT-SIF_Questions'!J139)</f>
        <v>F</v>
      </c>
      <c r="D139" s="4" t="str">
        <f>IF(A139="","",'INPUT-SIF_Questions'!H139)</f>
        <v>IHE</v>
      </c>
      <c r="E139" s="4" t="str">
        <f>IF(A139="","",'INPUT-SIF_Questions'!K139)</f>
        <v>CLSR05-F</v>
      </c>
      <c r="F139" s="4" t="str">
        <f>IF(D139="","",IFERROR(VLOOKUP(D139,Helper_Protocol_Map!$A$2:$B$11,2,FALSE()),"OTHER"))</f>
        <v>CLSR05</v>
      </c>
      <c r="G139" s="4">
        <f>IF(A139="","",N('INPUT-SIF_Questions'!M139)+N('INPUT-SIF_Questions'!N139)+N('INPUT-SIF_Questions'!O139))</f>
        <v>1</v>
      </c>
      <c r="H139" s="4" t="str">
        <f t="shared" si="8"/>
        <v>PASS</v>
      </c>
      <c r="I139" s="4" t="str">
        <f t="shared" si="9"/>
        <v>PASS</v>
      </c>
      <c r="J139" s="4" t="str">
        <f>IF(A139="","",IF(AND('INPUT-SIF_Questions'!S139&lt;&gt;"",'INPUT-SIF_Questions'!V139&lt;&gt;"",'INPUT-SIF_Questions'!W139&lt;&gt;""),"PASS","WARNING"))</f>
        <v>PASS</v>
      </c>
      <c r="K139" s="4" t="str">
        <f t="shared" si="10"/>
        <v>PASS</v>
      </c>
      <c r="L139" s="4" t="str">
        <f t="shared" si="11"/>
        <v/>
      </c>
    </row>
    <row r="140" spans="1:12" ht="14.25" customHeight="1" x14ac:dyDescent="0.45">
      <c r="A140" s="4">
        <f>IF('INPUT-SIF_Questions'!A140="","",ROW())</f>
        <v>140</v>
      </c>
      <c r="B140" s="4" t="str">
        <f>IF(A140="","",'INPUT-SIF_Questions'!A140)</f>
        <v>OBS-018</v>
      </c>
      <c r="C140" s="4" t="str">
        <f>IF(A140="","",'INPUT-SIF_Questions'!J140)</f>
        <v>G</v>
      </c>
      <c r="D140" s="4" t="str">
        <f>IF(A140="","",'INPUT-SIF_Questions'!H140)</f>
        <v>IHE</v>
      </c>
      <c r="E140" s="4" t="str">
        <f>IF(A140="","",'INPUT-SIF_Questions'!K140)</f>
        <v>CLSR05-G</v>
      </c>
      <c r="F140" s="4" t="str">
        <f>IF(D140="","",IFERROR(VLOOKUP(D140,Helper_Protocol_Map!$A$2:$B$11,2,FALSE()),"OTHER"))</f>
        <v>CLSR05</v>
      </c>
      <c r="G140" s="4">
        <f>IF(A140="","",N('INPUT-SIF_Questions'!M140)+N('INPUT-SIF_Questions'!N140)+N('INPUT-SIF_Questions'!O140))</f>
        <v>1</v>
      </c>
      <c r="H140" s="4" t="str">
        <f t="shared" si="8"/>
        <v>PASS</v>
      </c>
      <c r="I140" s="4" t="str">
        <f t="shared" si="9"/>
        <v>PASS</v>
      </c>
      <c r="J140" s="4" t="str">
        <f>IF(A140="","",IF(AND('INPUT-SIF_Questions'!S140&lt;&gt;"",'INPUT-SIF_Questions'!V140&lt;&gt;"",'INPUT-SIF_Questions'!W140&lt;&gt;""),"PASS","WARNING"))</f>
        <v>PASS</v>
      </c>
      <c r="K140" s="4" t="str">
        <f t="shared" si="10"/>
        <v>PASS</v>
      </c>
      <c r="L140" s="4" t="str">
        <f t="shared" si="11"/>
        <v/>
      </c>
    </row>
    <row r="141" spans="1:12" ht="14.25" customHeight="1" x14ac:dyDescent="0.45">
      <c r="A141" s="4">
        <f>IF('INPUT-SIF_Questions'!A141="","",ROW())</f>
        <v>141</v>
      </c>
      <c r="B141" s="4" t="str">
        <f>IF(A141="","",'INPUT-SIF_Questions'!A141)</f>
        <v>OBS-018</v>
      </c>
      <c r="C141" s="4" t="str">
        <f>IF(A141="","",'INPUT-SIF_Questions'!J141)</f>
        <v>H</v>
      </c>
      <c r="D141" s="4" t="str">
        <f>IF(A141="","",'INPUT-SIF_Questions'!H141)</f>
        <v>IHE</v>
      </c>
      <c r="E141" s="4" t="str">
        <f>IF(A141="","",'INPUT-SIF_Questions'!K141)</f>
        <v>CLSR05-H</v>
      </c>
      <c r="F141" s="4" t="str">
        <f>IF(D141="","",IFERROR(VLOOKUP(D141,Helper_Protocol_Map!$A$2:$B$11,2,FALSE()),"OTHER"))</f>
        <v>CLSR05</v>
      </c>
      <c r="G141" s="4">
        <f>IF(A141="","",N('INPUT-SIF_Questions'!M141)+N('INPUT-SIF_Questions'!N141)+N('INPUT-SIF_Questions'!O141))</f>
        <v>1</v>
      </c>
      <c r="H141" s="4" t="str">
        <f t="shared" si="8"/>
        <v>PASS</v>
      </c>
      <c r="I141" s="4" t="str">
        <f t="shared" si="9"/>
        <v>PASS</v>
      </c>
      <c r="J141" s="4" t="str">
        <f>IF(A141="","",IF(AND('INPUT-SIF_Questions'!S141&lt;&gt;"",'INPUT-SIF_Questions'!V141&lt;&gt;"",'INPUT-SIF_Questions'!W141&lt;&gt;""),"PASS","WARNING"))</f>
        <v>PASS</v>
      </c>
      <c r="K141" s="4" t="str">
        <f t="shared" si="10"/>
        <v>PASS</v>
      </c>
      <c r="L141" s="4" t="str">
        <f t="shared" si="11"/>
        <v/>
      </c>
    </row>
    <row r="142" spans="1:12" ht="14.25" customHeight="1" x14ac:dyDescent="0.45">
      <c r="A142" s="4">
        <f>IF('INPUT-SIF_Questions'!A142="","",ROW())</f>
        <v>142</v>
      </c>
      <c r="B142" s="4" t="str">
        <f>IF(A142="","",'INPUT-SIF_Questions'!A142)</f>
        <v>OBS-018</v>
      </c>
      <c r="C142" s="4" t="str">
        <f>IF(A142="","",'INPUT-SIF_Questions'!J142)</f>
        <v>I</v>
      </c>
      <c r="D142" s="4" t="str">
        <f>IF(A142="","",'INPUT-SIF_Questions'!H142)</f>
        <v>IHE</v>
      </c>
      <c r="E142" s="4" t="str">
        <f>IF(A142="","",'INPUT-SIF_Questions'!K142)</f>
        <v>CLSR05-I</v>
      </c>
      <c r="F142" s="4" t="str">
        <f>IF(D142="","",IFERROR(VLOOKUP(D142,Helper_Protocol_Map!$A$2:$B$11,2,FALSE()),"OTHER"))</f>
        <v>CLSR05</v>
      </c>
      <c r="G142" s="4">
        <f>IF(A142="","",N('INPUT-SIF_Questions'!M142)+N('INPUT-SIF_Questions'!N142)+N('INPUT-SIF_Questions'!O142))</f>
        <v>1</v>
      </c>
      <c r="H142" s="4" t="str">
        <f t="shared" si="8"/>
        <v>PASS</v>
      </c>
      <c r="I142" s="4" t="str">
        <f t="shared" si="9"/>
        <v>PASS</v>
      </c>
      <c r="J142" s="4" t="str">
        <f>IF(A142="","",IF(AND('INPUT-SIF_Questions'!S142&lt;&gt;"",'INPUT-SIF_Questions'!V142&lt;&gt;"",'INPUT-SIF_Questions'!W142&lt;&gt;""),"PASS","WARNING"))</f>
        <v>PASS</v>
      </c>
      <c r="K142" s="4" t="str">
        <f t="shared" si="10"/>
        <v>PASS</v>
      </c>
      <c r="L142" s="4" t="str">
        <f t="shared" si="11"/>
        <v/>
      </c>
    </row>
    <row r="143" spans="1:12" ht="14.25" customHeight="1" x14ac:dyDescent="0.45">
      <c r="A143" s="4">
        <f>IF('INPUT-SIF_Questions'!A143="","",ROW())</f>
        <v>143</v>
      </c>
      <c r="B143" s="4" t="str">
        <f>IF(A143="","",'INPUT-SIF_Questions'!A143)</f>
        <v>OBS-019</v>
      </c>
      <c r="C143" s="4" t="str">
        <f>IF(A143="","",'INPUT-SIF_Questions'!J143)</f>
        <v>A</v>
      </c>
      <c r="D143" s="4" t="str">
        <f>IF(A143="","",'INPUT-SIF_Questions'!H143)</f>
        <v>WAH</v>
      </c>
      <c r="E143" s="4" t="str">
        <f>IF(A143="","",'INPUT-SIF_Questions'!K143)</f>
        <v>CLSR07-A</v>
      </c>
      <c r="F143" s="4" t="str">
        <f>IF(D143="","",IFERROR(VLOOKUP(D143,Helper_Protocol_Map!$A$2:$B$11,2,FALSE()),"OTHER"))</f>
        <v>CLSR07</v>
      </c>
      <c r="G143" s="4">
        <f>IF(A143="","",N('INPUT-SIF_Questions'!M143)+N('INPUT-SIF_Questions'!N143)+N('INPUT-SIF_Questions'!O143))</f>
        <v>1</v>
      </c>
      <c r="H143" s="4" t="str">
        <f t="shared" si="8"/>
        <v>PASS</v>
      </c>
      <c r="I143" s="4" t="str">
        <f t="shared" si="9"/>
        <v>PASS</v>
      </c>
      <c r="J143" s="4" t="str">
        <f>IF(A143="","",IF(AND('INPUT-SIF_Questions'!S143&lt;&gt;"",'INPUT-SIF_Questions'!V143&lt;&gt;"",'INPUT-SIF_Questions'!W143&lt;&gt;""),"PASS","WARNING"))</f>
        <v>PASS</v>
      </c>
      <c r="K143" s="4" t="str">
        <f t="shared" si="10"/>
        <v>PASS</v>
      </c>
      <c r="L143" s="4" t="str">
        <f t="shared" si="11"/>
        <v/>
      </c>
    </row>
    <row r="144" spans="1:12" ht="14.25" customHeight="1" x14ac:dyDescent="0.45">
      <c r="A144" s="4">
        <f>IF('INPUT-SIF_Questions'!A144="","",ROW())</f>
        <v>144</v>
      </c>
      <c r="B144" s="4" t="str">
        <f>IF(A144="","",'INPUT-SIF_Questions'!A144)</f>
        <v>OBS-019</v>
      </c>
      <c r="C144" s="4" t="str">
        <f>IF(A144="","",'INPUT-SIF_Questions'!J144)</f>
        <v>B</v>
      </c>
      <c r="D144" s="4" t="str">
        <f>IF(A144="","",'INPUT-SIF_Questions'!H144)</f>
        <v>WAH</v>
      </c>
      <c r="E144" s="4" t="str">
        <f>IF(A144="","",'INPUT-SIF_Questions'!K144)</f>
        <v>CLSR07-B</v>
      </c>
      <c r="F144" s="4" t="str">
        <f>IF(D144="","",IFERROR(VLOOKUP(D144,Helper_Protocol_Map!$A$2:$B$11,2,FALSE()),"OTHER"))</f>
        <v>CLSR07</v>
      </c>
      <c r="G144" s="4">
        <f>IF(A144="","",N('INPUT-SIF_Questions'!M144)+N('INPUT-SIF_Questions'!N144)+N('INPUT-SIF_Questions'!O144))</f>
        <v>1</v>
      </c>
      <c r="H144" s="4" t="str">
        <f t="shared" si="8"/>
        <v>PASS</v>
      </c>
      <c r="I144" s="4" t="str">
        <f t="shared" si="9"/>
        <v>PASS</v>
      </c>
      <c r="J144" s="4" t="str">
        <f>IF(A144="","",IF(AND('INPUT-SIF_Questions'!S144&lt;&gt;"",'INPUT-SIF_Questions'!V144&lt;&gt;"",'INPUT-SIF_Questions'!W144&lt;&gt;""),"PASS","WARNING"))</f>
        <v>PASS</v>
      </c>
      <c r="K144" s="4" t="str">
        <f t="shared" si="10"/>
        <v>PASS</v>
      </c>
      <c r="L144" s="4" t="str">
        <f t="shared" si="11"/>
        <v/>
      </c>
    </row>
    <row r="145" spans="1:12" ht="14.25" customHeight="1" x14ac:dyDescent="0.45">
      <c r="A145" s="4">
        <f>IF('INPUT-SIF_Questions'!A145="","",ROW())</f>
        <v>145</v>
      </c>
      <c r="B145" s="4" t="str">
        <f>IF(A145="","",'INPUT-SIF_Questions'!A145)</f>
        <v>OBS-019</v>
      </c>
      <c r="C145" s="4" t="str">
        <f>IF(A145="","",'INPUT-SIF_Questions'!J145)</f>
        <v>C</v>
      </c>
      <c r="D145" s="4" t="str">
        <f>IF(A145="","",'INPUT-SIF_Questions'!H145)</f>
        <v>WAH</v>
      </c>
      <c r="E145" s="4" t="str">
        <f>IF(A145="","",'INPUT-SIF_Questions'!K145)</f>
        <v>CLSR07-C</v>
      </c>
      <c r="F145" s="4" t="str">
        <f>IF(D145="","",IFERROR(VLOOKUP(D145,Helper_Protocol_Map!$A$2:$B$11,2,FALSE()),"OTHER"))</f>
        <v>CLSR07</v>
      </c>
      <c r="G145" s="4">
        <f>IF(A145="","",N('INPUT-SIF_Questions'!M145)+N('INPUT-SIF_Questions'!N145)+N('INPUT-SIF_Questions'!O145))</f>
        <v>1</v>
      </c>
      <c r="H145" s="4" t="str">
        <f t="shared" si="8"/>
        <v>PASS</v>
      </c>
      <c r="I145" s="4" t="str">
        <f t="shared" si="9"/>
        <v>PASS</v>
      </c>
      <c r="J145" s="4" t="str">
        <f>IF(A145="","",IF(AND('INPUT-SIF_Questions'!S145&lt;&gt;"",'INPUT-SIF_Questions'!V145&lt;&gt;"",'INPUT-SIF_Questions'!W145&lt;&gt;""),"PASS","WARNING"))</f>
        <v>PASS</v>
      </c>
      <c r="K145" s="4" t="str">
        <f t="shared" si="10"/>
        <v>PASS</v>
      </c>
      <c r="L145" s="4" t="str">
        <f t="shared" si="11"/>
        <v/>
      </c>
    </row>
    <row r="146" spans="1:12" ht="14.25" customHeight="1" x14ac:dyDescent="0.45">
      <c r="A146" s="4">
        <f>IF('INPUT-SIF_Questions'!A146="","",ROW())</f>
        <v>146</v>
      </c>
      <c r="B146" s="4" t="str">
        <f>IF(A146="","",'INPUT-SIF_Questions'!A146)</f>
        <v>OBS-019</v>
      </c>
      <c r="C146" s="4" t="str">
        <f>IF(A146="","",'INPUT-SIF_Questions'!J146)</f>
        <v>D</v>
      </c>
      <c r="D146" s="4" t="str">
        <f>IF(A146="","",'INPUT-SIF_Questions'!H146)</f>
        <v>WAH</v>
      </c>
      <c r="E146" s="4" t="str">
        <f>IF(A146="","",'INPUT-SIF_Questions'!K146)</f>
        <v>CLSR07-D</v>
      </c>
      <c r="F146" s="4" t="str">
        <f>IF(D146="","",IFERROR(VLOOKUP(D146,Helper_Protocol_Map!$A$2:$B$11,2,FALSE()),"OTHER"))</f>
        <v>CLSR07</v>
      </c>
      <c r="G146" s="4">
        <f>IF(A146="","",N('INPUT-SIF_Questions'!M146)+N('INPUT-SIF_Questions'!N146)+N('INPUT-SIF_Questions'!O146))</f>
        <v>1</v>
      </c>
      <c r="H146" s="4" t="str">
        <f t="shared" si="8"/>
        <v>PASS</v>
      </c>
      <c r="I146" s="4" t="str">
        <f t="shared" si="9"/>
        <v>PASS</v>
      </c>
      <c r="J146" s="4" t="str">
        <f>IF(A146="","",IF(AND('INPUT-SIF_Questions'!S146&lt;&gt;"",'INPUT-SIF_Questions'!V146&lt;&gt;"",'INPUT-SIF_Questions'!W146&lt;&gt;""),"PASS","WARNING"))</f>
        <v>PASS</v>
      </c>
      <c r="K146" s="4" t="str">
        <f t="shared" si="10"/>
        <v>PASS</v>
      </c>
      <c r="L146" s="4" t="str">
        <f t="shared" si="11"/>
        <v/>
      </c>
    </row>
    <row r="147" spans="1:12" ht="14.25" customHeight="1" x14ac:dyDescent="0.45">
      <c r="A147" s="4">
        <f>IF('INPUT-SIF_Questions'!A147="","",ROW())</f>
        <v>147</v>
      </c>
      <c r="B147" s="4" t="str">
        <f>IF(A147="","",'INPUT-SIF_Questions'!A147)</f>
        <v>OBS-019</v>
      </c>
      <c r="C147" s="4" t="str">
        <f>IF(A147="","",'INPUT-SIF_Questions'!J147)</f>
        <v>E</v>
      </c>
      <c r="D147" s="4" t="str">
        <f>IF(A147="","",'INPUT-SIF_Questions'!H147)</f>
        <v>WAH</v>
      </c>
      <c r="E147" s="4" t="str">
        <f>IF(A147="","",'INPUT-SIF_Questions'!K147)</f>
        <v>CLSR07-E</v>
      </c>
      <c r="F147" s="4" t="str">
        <f>IF(D147="","",IFERROR(VLOOKUP(D147,Helper_Protocol_Map!$A$2:$B$11,2,FALSE()),"OTHER"))</f>
        <v>CLSR07</v>
      </c>
      <c r="G147" s="4">
        <f>IF(A147="","",N('INPUT-SIF_Questions'!M147)+N('INPUT-SIF_Questions'!N147)+N('INPUT-SIF_Questions'!O147))</f>
        <v>1</v>
      </c>
      <c r="H147" s="4" t="str">
        <f t="shared" si="8"/>
        <v>PASS</v>
      </c>
      <c r="I147" s="4" t="str">
        <f t="shared" si="9"/>
        <v>PASS</v>
      </c>
      <c r="J147" s="4" t="str">
        <f>IF(A147="","",IF(AND('INPUT-SIF_Questions'!S147&lt;&gt;"",'INPUT-SIF_Questions'!V147&lt;&gt;"",'INPUT-SIF_Questions'!W147&lt;&gt;""),"PASS","WARNING"))</f>
        <v>PASS</v>
      </c>
      <c r="K147" s="4" t="str">
        <f t="shared" si="10"/>
        <v>PASS</v>
      </c>
      <c r="L147" s="4" t="str">
        <f t="shared" si="11"/>
        <v/>
      </c>
    </row>
    <row r="148" spans="1:12" ht="14.25" customHeight="1" x14ac:dyDescent="0.45">
      <c r="A148" s="4">
        <f>IF('INPUT-SIF_Questions'!A148="","",ROW())</f>
        <v>148</v>
      </c>
      <c r="B148" s="4" t="str">
        <f>IF(A148="","",'INPUT-SIF_Questions'!A148)</f>
        <v>OBS-019</v>
      </c>
      <c r="C148" s="4" t="str">
        <f>IF(A148="","",'INPUT-SIF_Questions'!J148)</f>
        <v>F</v>
      </c>
      <c r="D148" s="4" t="str">
        <f>IF(A148="","",'INPUT-SIF_Questions'!H148)</f>
        <v>WAH</v>
      </c>
      <c r="E148" s="4" t="str">
        <f>IF(A148="","",'INPUT-SIF_Questions'!K148)</f>
        <v>CLSR07-F</v>
      </c>
      <c r="F148" s="4" t="str">
        <f>IF(D148="","",IFERROR(VLOOKUP(D148,Helper_Protocol_Map!$A$2:$B$11,2,FALSE()),"OTHER"))</f>
        <v>CLSR07</v>
      </c>
      <c r="G148" s="4">
        <f>IF(A148="","",N('INPUT-SIF_Questions'!M148)+N('INPUT-SIF_Questions'!N148)+N('INPUT-SIF_Questions'!O148))</f>
        <v>1</v>
      </c>
      <c r="H148" s="4" t="str">
        <f t="shared" si="8"/>
        <v>PASS</v>
      </c>
      <c r="I148" s="4" t="str">
        <f t="shared" si="9"/>
        <v>PASS</v>
      </c>
      <c r="J148" s="4" t="str">
        <f>IF(A148="","",IF(AND('INPUT-SIF_Questions'!S148&lt;&gt;"",'INPUT-SIF_Questions'!V148&lt;&gt;"",'INPUT-SIF_Questions'!W148&lt;&gt;""),"PASS","WARNING"))</f>
        <v>PASS</v>
      </c>
      <c r="K148" s="4" t="str">
        <f t="shared" si="10"/>
        <v>PASS</v>
      </c>
      <c r="L148" s="4" t="str">
        <f t="shared" si="11"/>
        <v/>
      </c>
    </row>
    <row r="149" spans="1:12" ht="14.25" customHeight="1" x14ac:dyDescent="0.45">
      <c r="A149" s="4">
        <f>IF('INPUT-SIF_Questions'!A149="","",ROW())</f>
        <v>149</v>
      </c>
      <c r="B149" s="4" t="str">
        <f>IF(A149="","",'INPUT-SIF_Questions'!A149)</f>
        <v>OBS-019</v>
      </c>
      <c r="C149" s="4" t="str">
        <f>IF(A149="","",'INPUT-SIF_Questions'!J149)</f>
        <v>G</v>
      </c>
      <c r="D149" s="4" t="str">
        <f>IF(A149="","",'INPUT-SIF_Questions'!H149)</f>
        <v>WAH</v>
      </c>
      <c r="E149" s="4" t="str">
        <f>IF(A149="","",'INPUT-SIF_Questions'!K149)</f>
        <v>CLSR07-G</v>
      </c>
      <c r="F149" s="4" t="str">
        <f>IF(D149="","",IFERROR(VLOOKUP(D149,Helper_Protocol_Map!$A$2:$B$11,2,FALSE()),"OTHER"))</f>
        <v>CLSR07</v>
      </c>
      <c r="G149" s="4">
        <f>IF(A149="","",N('INPUT-SIF_Questions'!M149)+N('INPUT-SIF_Questions'!N149)+N('INPUT-SIF_Questions'!O149))</f>
        <v>1</v>
      </c>
      <c r="H149" s="4" t="str">
        <f t="shared" si="8"/>
        <v>PASS</v>
      </c>
      <c r="I149" s="4" t="str">
        <f t="shared" si="9"/>
        <v>PASS</v>
      </c>
      <c r="J149" s="4" t="str">
        <f>IF(A149="","",IF(AND('INPUT-SIF_Questions'!S149&lt;&gt;"",'INPUT-SIF_Questions'!V149&lt;&gt;"",'INPUT-SIF_Questions'!W149&lt;&gt;""),"PASS","WARNING"))</f>
        <v>PASS</v>
      </c>
      <c r="K149" s="4" t="str">
        <f t="shared" si="10"/>
        <v>PASS</v>
      </c>
      <c r="L149" s="4" t="str">
        <f t="shared" si="11"/>
        <v/>
      </c>
    </row>
    <row r="150" spans="1:12" ht="14.25" customHeight="1" x14ac:dyDescent="0.45">
      <c r="A150" s="4">
        <f>IF('INPUT-SIF_Questions'!A150="","",ROW())</f>
        <v>150</v>
      </c>
      <c r="B150" s="4" t="str">
        <f>IF(A150="","",'INPUT-SIF_Questions'!A150)</f>
        <v>OBS-019</v>
      </c>
      <c r="C150" s="4" t="str">
        <f>IF(A150="","",'INPUT-SIF_Questions'!J150)</f>
        <v>H</v>
      </c>
      <c r="D150" s="4" t="str">
        <f>IF(A150="","",'INPUT-SIF_Questions'!H150)</f>
        <v>WAH</v>
      </c>
      <c r="E150" s="4" t="str">
        <f>IF(A150="","",'INPUT-SIF_Questions'!K150)</f>
        <v>CLSR07-H</v>
      </c>
      <c r="F150" s="4" t="str">
        <f>IF(D150="","",IFERROR(VLOOKUP(D150,Helper_Protocol_Map!$A$2:$B$11,2,FALSE()),"OTHER"))</f>
        <v>CLSR07</v>
      </c>
      <c r="G150" s="4">
        <f>IF(A150="","",N('INPUT-SIF_Questions'!M150)+N('INPUT-SIF_Questions'!N150)+N('INPUT-SIF_Questions'!O150))</f>
        <v>1</v>
      </c>
      <c r="H150" s="4" t="str">
        <f t="shared" si="8"/>
        <v>PASS</v>
      </c>
      <c r="I150" s="4" t="str">
        <f t="shared" si="9"/>
        <v>PASS</v>
      </c>
      <c r="J150" s="4" t="str">
        <f>IF(A150="","",IF(AND('INPUT-SIF_Questions'!S150&lt;&gt;"",'INPUT-SIF_Questions'!V150&lt;&gt;"",'INPUT-SIF_Questions'!W150&lt;&gt;""),"PASS","WARNING"))</f>
        <v>PASS</v>
      </c>
      <c r="K150" s="4" t="str">
        <f t="shared" si="10"/>
        <v>PASS</v>
      </c>
      <c r="L150" s="4" t="str">
        <f t="shared" si="11"/>
        <v/>
      </c>
    </row>
    <row r="151" spans="1:12" ht="14.25" customHeight="1" x14ac:dyDescent="0.45">
      <c r="A151" s="4">
        <f>IF('INPUT-SIF_Questions'!A151="","",ROW())</f>
        <v>151</v>
      </c>
      <c r="B151" s="4" t="str">
        <f>IF(A151="","",'INPUT-SIF_Questions'!A151)</f>
        <v>OBS-019</v>
      </c>
      <c r="C151" s="4" t="str">
        <f>IF(A151="","",'INPUT-SIF_Questions'!J151)</f>
        <v>I</v>
      </c>
      <c r="D151" s="4" t="str">
        <f>IF(A151="","",'INPUT-SIF_Questions'!H151)</f>
        <v>WAH</v>
      </c>
      <c r="E151" s="4" t="str">
        <f>IF(A151="","",'INPUT-SIF_Questions'!K151)</f>
        <v>CLSR07-I</v>
      </c>
      <c r="F151" s="4" t="str">
        <f>IF(D151="","",IFERROR(VLOOKUP(D151,Helper_Protocol_Map!$A$2:$B$11,2,FALSE()),"OTHER"))</f>
        <v>CLSR07</v>
      </c>
      <c r="G151" s="4">
        <f>IF(A151="","",N('INPUT-SIF_Questions'!M151)+N('INPUT-SIF_Questions'!N151)+N('INPUT-SIF_Questions'!O151))</f>
        <v>1</v>
      </c>
      <c r="H151" s="4" t="str">
        <f t="shared" si="8"/>
        <v>PASS</v>
      </c>
      <c r="I151" s="4" t="str">
        <f t="shared" si="9"/>
        <v>PASS</v>
      </c>
      <c r="J151" s="4" t="str">
        <f>IF(A151="","",IF(AND('INPUT-SIF_Questions'!S151&lt;&gt;"",'INPUT-SIF_Questions'!V151&lt;&gt;"",'INPUT-SIF_Questions'!W151&lt;&gt;""),"PASS","WARNING"))</f>
        <v>PASS</v>
      </c>
      <c r="K151" s="4" t="str">
        <f t="shared" si="10"/>
        <v>PASS</v>
      </c>
      <c r="L151" s="4" t="str">
        <f t="shared" si="11"/>
        <v/>
      </c>
    </row>
    <row r="152" spans="1:12" ht="14.25" customHeight="1" x14ac:dyDescent="0.45">
      <c r="A152" s="4">
        <f>IF('INPUT-SIF_Questions'!A152="","",ROW())</f>
        <v>152</v>
      </c>
      <c r="B152" s="4" t="str">
        <f>IF(A152="","",'INPUT-SIF_Questions'!A152)</f>
        <v>OBS-020</v>
      </c>
      <c r="C152" s="4" t="str">
        <f>IF(A152="","",'INPUT-SIF_Questions'!J152)</f>
        <v>A</v>
      </c>
      <c r="D152" s="4" t="str">
        <f>IF(A152="","",'INPUT-SIF_Questions'!H152)</f>
        <v>LoF</v>
      </c>
      <c r="E152" s="4" t="str">
        <f>IF(A152="","",'INPUT-SIF_Questions'!K152)</f>
        <v>CLSR02-A</v>
      </c>
      <c r="F152" s="4" t="str">
        <f>IF(D152="","",IFERROR(VLOOKUP(D152,Helper_Protocol_Map!$A$2:$B$11,2,FALSE()),"OTHER"))</f>
        <v>CLSR02</v>
      </c>
      <c r="G152" s="4">
        <f>IF(A152="","",N('INPUT-SIF_Questions'!M152)+N('INPUT-SIF_Questions'!N152)+N('INPUT-SIF_Questions'!O152))</f>
        <v>1</v>
      </c>
      <c r="H152" s="4" t="str">
        <f t="shared" si="8"/>
        <v>PASS</v>
      </c>
      <c r="I152" s="4" t="str">
        <f t="shared" si="9"/>
        <v>PASS</v>
      </c>
      <c r="J152" s="4" t="str">
        <f>IF(A152="","",IF(AND('INPUT-SIF_Questions'!S152&lt;&gt;"",'INPUT-SIF_Questions'!V152&lt;&gt;"",'INPUT-SIF_Questions'!W152&lt;&gt;""),"PASS","WARNING"))</f>
        <v>PASS</v>
      </c>
      <c r="K152" s="4" t="str">
        <f t="shared" si="10"/>
        <v>PASS</v>
      </c>
      <c r="L152" s="4" t="str">
        <f t="shared" si="11"/>
        <v/>
      </c>
    </row>
    <row r="153" spans="1:12" ht="14.25" customHeight="1" x14ac:dyDescent="0.45">
      <c r="A153" s="4">
        <f>IF('INPUT-SIF_Questions'!A153="","",ROW())</f>
        <v>153</v>
      </c>
      <c r="B153" s="4" t="str">
        <f>IF(A153="","",'INPUT-SIF_Questions'!A153)</f>
        <v>OBS-020</v>
      </c>
      <c r="C153" s="4" t="str">
        <f>IF(A153="","",'INPUT-SIF_Questions'!J153)</f>
        <v>B</v>
      </c>
      <c r="D153" s="4" t="str">
        <f>IF(A153="","",'INPUT-SIF_Questions'!H153)</f>
        <v>LoF</v>
      </c>
      <c r="E153" s="4" t="str">
        <f>IF(A153="","",'INPUT-SIF_Questions'!K153)</f>
        <v>CLSR02-B</v>
      </c>
      <c r="F153" s="4" t="str">
        <f>IF(D153="","",IFERROR(VLOOKUP(D153,Helper_Protocol_Map!$A$2:$B$11,2,FALSE()),"OTHER"))</f>
        <v>CLSR02</v>
      </c>
      <c r="G153" s="4">
        <f>IF(A153="","",N('INPUT-SIF_Questions'!M153)+N('INPUT-SIF_Questions'!N153)+N('INPUT-SIF_Questions'!O153))</f>
        <v>1</v>
      </c>
      <c r="H153" s="4" t="str">
        <f t="shared" si="8"/>
        <v>PASS</v>
      </c>
      <c r="I153" s="4" t="str">
        <f t="shared" si="9"/>
        <v>PASS</v>
      </c>
      <c r="J153" s="4" t="str">
        <f>IF(A153="","",IF(AND('INPUT-SIF_Questions'!S153&lt;&gt;"",'INPUT-SIF_Questions'!V153&lt;&gt;"",'INPUT-SIF_Questions'!W153&lt;&gt;""),"PASS","WARNING"))</f>
        <v>PASS</v>
      </c>
      <c r="K153" s="4" t="str">
        <f t="shared" si="10"/>
        <v>PASS</v>
      </c>
      <c r="L153" s="4" t="str">
        <f t="shared" si="11"/>
        <v/>
      </c>
    </row>
    <row r="154" spans="1:12" ht="14.25" customHeight="1" x14ac:dyDescent="0.45">
      <c r="A154" s="4">
        <f>IF('INPUT-SIF_Questions'!A154="","",ROW())</f>
        <v>154</v>
      </c>
      <c r="B154" s="4" t="str">
        <f>IF(A154="","",'INPUT-SIF_Questions'!A154)</f>
        <v>OBS-020</v>
      </c>
      <c r="C154" s="4" t="str">
        <f>IF(A154="","",'INPUT-SIF_Questions'!J154)</f>
        <v>C</v>
      </c>
      <c r="D154" s="4" t="str">
        <f>IF(A154="","",'INPUT-SIF_Questions'!H154)</f>
        <v>LoF</v>
      </c>
      <c r="E154" s="4" t="str">
        <f>IF(A154="","",'INPUT-SIF_Questions'!K154)</f>
        <v>CLSR02-C</v>
      </c>
      <c r="F154" s="4" t="str">
        <f>IF(D154="","",IFERROR(VLOOKUP(D154,Helper_Protocol_Map!$A$2:$B$11,2,FALSE()),"OTHER"))</f>
        <v>CLSR02</v>
      </c>
      <c r="G154" s="4">
        <f>IF(A154="","",N('INPUT-SIF_Questions'!M154)+N('INPUT-SIF_Questions'!N154)+N('INPUT-SIF_Questions'!O154))</f>
        <v>1</v>
      </c>
      <c r="H154" s="4" t="str">
        <f t="shared" si="8"/>
        <v>PASS</v>
      </c>
      <c r="I154" s="4" t="str">
        <f t="shared" si="9"/>
        <v>PASS</v>
      </c>
      <c r="J154" s="4" t="str">
        <f>IF(A154="","",IF(AND('INPUT-SIF_Questions'!S154&lt;&gt;"",'INPUT-SIF_Questions'!V154&lt;&gt;"",'INPUT-SIF_Questions'!W154&lt;&gt;""),"PASS","WARNING"))</f>
        <v>PASS</v>
      </c>
      <c r="K154" s="4" t="str">
        <f t="shared" si="10"/>
        <v>PASS</v>
      </c>
      <c r="L154" s="4" t="str">
        <f t="shared" si="11"/>
        <v/>
      </c>
    </row>
    <row r="155" spans="1:12" ht="14.25" customHeight="1" x14ac:dyDescent="0.45">
      <c r="A155" s="4">
        <f>IF('INPUT-SIF_Questions'!A155="","",ROW())</f>
        <v>155</v>
      </c>
      <c r="B155" s="4" t="str">
        <f>IF(A155="","",'INPUT-SIF_Questions'!A155)</f>
        <v>OBS-020</v>
      </c>
      <c r="C155" s="4" t="str">
        <f>IF(A155="","",'INPUT-SIF_Questions'!J155)</f>
        <v>D</v>
      </c>
      <c r="D155" s="4" t="str">
        <f>IF(A155="","",'INPUT-SIF_Questions'!H155)</f>
        <v>LoF</v>
      </c>
      <c r="E155" s="4" t="str">
        <f>IF(A155="","",'INPUT-SIF_Questions'!K155)</f>
        <v>CLSR02-D</v>
      </c>
      <c r="F155" s="4" t="str">
        <f>IF(D155="","",IFERROR(VLOOKUP(D155,Helper_Protocol_Map!$A$2:$B$11,2,FALSE()),"OTHER"))</f>
        <v>CLSR02</v>
      </c>
      <c r="G155" s="4">
        <f>IF(A155="","",N('INPUT-SIF_Questions'!M155)+N('INPUT-SIF_Questions'!N155)+N('INPUT-SIF_Questions'!O155))</f>
        <v>1</v>
      </c>
      <c r="H155" s="4" t="str">
        <f t="shared" si="8"/>
        <v>PASS</v>
      </c>
      <c r="I155" s="4" t="str">
        <f t="shared" si="9"/>
        <v>PASS</v>
      </c>
      <c r="J155" s="4" t="str">
        <f>IF(A155="","",IF(AND('INPUT-SIF_Questions'!S155&lt;&gt;"",'INPUT-SIF_Questions'!V155&lt;&gt;"",'INPUT-SIF_Questions'!W155&lt;&gt;""),"PASS","WARNING"))</f>
        <v>PASS</v>
      </c>
      <c r="K155" s="4" t="str">
        <f t="shared" si="10"/>
        <v>PASS</v>
      </c>
      <c r="L155" s="4" t="str">
        <f t="shared" si="11"/>
        <v/>
      </c>
    </row>
    <row r="156" spans="1:12" ht="14.25" customHeight="1" x14ac:dyDescent="0.45">
      <c r="A156" s="4">
        <f>IF('INPUT-SIF_Questions'!A156="","",ROW())</f>
        <v>156</v>
      </c>
      <c r="B156" s="4" t="str">
        <f>IF(A156="","",'INPUT-SIF_Questions'!A156)</f>
        <v>OBS-021</v>
      </c>
      <c r="C156" s="4" t="str">
        <f>IF(A156="","",'INPUT-SIF_Questions'!J156)</f>
        <v>A</v>
      </c>
      <c r="D156" s="4" t="str">
        <f>IF(A156="","",'INPUT-SIF_Questions'!H156)</f>
        <v>T&amp;E</v>
      </c>
      <c r="E156" s="4" t="str">
        <f>IF(A156="","",'INPUT-SIF_Questions'!K156)</f>
        <v>CLSR01-A</v>
      </c>
      <c r="F156" s="4" t="str">
        <f>IF(D156="","",IFERROR(VLOOKUP(D156,Helper_Protocol_Map!$A$2:$B$11,2,FALSE()),"OTHER"))</f>
        <v>CLSR01</v>
      </c>
      <c r="G156" s="4">
        <f>IF(A156="","",N('INPUT-SIF_Questions'!M156)+N('INPUT-SIF_Questions'!N156)+N('INPUT-SIF_Questions'!O156))</f>
        <v>1</v>
      </c>
      <c r="H156" s="4" t="str">
        <f t="shared" si="8"/>
        <v>PASS</v>
      </c>
      <c r="I156" s="4" t="str">
        <f t="shared" si="9"/>
        <v>PASS</v>
      </c>
      <c r="J156" s="4" t="str">
        <f>IF(A156="","",IF(AND('INPUT-SIF_Questions'!S156&lt;&gt;"",'INPUT-SIF_Questions'!V156&lt;&gt;"",'INPUT-SIF_Questions'!W156&lt;&gt;""),"PASS","WARNING"))</f>
        <v>PASS</v>
      </c>
      <c r="K156" s="4" t="str">
        <f t="shared" si="10"/>
        <v>PASS</v>
      </c>
      <c r="L156" s="4" t="str">
        <f t="shared" si="11"/>
        <v/>
      </c>
    </row>
    <row r="157" spans="1:12" ht="14.25" customHeight="1" x14ac:dyDescent="0.45">
      <c r="A157" s="4">
        <f>IF('INPUT-SIF_Questions'!A157="","",ROW())</f>
        <v>157</v>
      </c>
      <c r="B157" s="4" t="str">
        <f>IF(A157="","",'INPUT-SIF_Questions'!A157)</f>
        <v>OBS-021</v>
      </c>
      <c r="C157" s="4" t="str">
        <f>IF(A157="","",'INPUT-SIF_Questions'!J157)</f>
        <v>B</v>
      </c>
      <c r="D157" s="4" t="str">
        <f>IF(A157="","",'INPUT-SIF_Questions'!H157)</f>
        <v>T&amp;E</v>
      </c>
      <c r="E157" s="4" t="str">
        <f>IF(A157="","",'INPUT-SIF_Questions'!K157)</f>
        <v>CLSR01-B</v>
      </c>
      <c r="F157" s="4" t="str">
        <f>IF(D157="","",IFERROR(VLOOKUP(D157,Helper_Protocol_Map!$A$2:$B$11,2,FALSE()),"OTHER"))</f>
        <v>CLSR01</v>
      </c>
      <c r="G157" s="4">
        <f>IF(A157="","",N('INPUT-SIF_Questions'!M157)+N('INPUT-SIF_Questions'!N157)+N('INPUT-SIF_Questions'!O157))</f>
        <v>1</v>
      </c>
      <c r="H157" s="4" t="str">
        <f t="shared" si="8"/>
        <v>PASS</v>
      </c>
      <c r="I157" s="4" t="str">
        <f t="shared" si="9"/>
        <v>PASS</v>
      </c>
      <c r="J157" s="4" t="str">
        <f>IF(A157="","",IF(AND('INPUT-SIF_Questions'!S157&lt;&gt;"",'INPUT-SIF_Questions'!V157&lt;&gt;"",'INPUT-SIF_Questions'!W157&lt;&gt;""),"PASS","WARNING"))</f>
        <v>PASS</v>
      </c>
      <c r="K157" s="4" t="str">
        <f t="shared" si="10"/>
        <v>PASS</v>
      </c>
      <c r="L157" s="4" t="str">
        <f t="shared" si="11"/>
        <v/>
      </c>
    </row>
    <row r="158" spans="1:12" ht="14.25" customHeight="1" x14ac:dyDescent="0.45">
      <c r="A158" s="4">
        <f>IF('INPUT-SIF_Questions'!A158="","",ROW())</f>
        <v>158</v>
      </c>
      <c r="B158" s="4" t="str">
        <f>IF(A158="","",'INPUT-SIF_Questions'!A158)</f>
        <v>OBS-021</v>
      </c>
      <c r="C158" s="4" t="str">
        <f>IF(A158="","",'INPUT-SIF_Questions'!J158)</f>
        <v>C</v>
      </c>
      <c r="D158" s="4" t="str">
        <f>IF(A158="","",'INPUT-SIF_Questions'!H158)</f>
        <v>T&amp;E</v>
      </c>
      <c r="E158" s="4" t="str">
        <f>IF(A158="","",'INPUT-SIF_Questions'!K158)</f>
        <v>CLSR01-C</v>
      </c>
      <c r="F158" s="4" t="str">
        <f>IF(D158="","",IFERROR(VLOOKUP(D158,Helper_Protocol_Map!$A$2:$B$11,2,FALSE()),"OTHER"))</f>
        <v>CLSR01</v>
      </c>
      <c r="G158" s="4">
        <f>IF(A158="","",N('INPUT-SIF_Questions'!M158)+N('INPUT-SIF_Questions'!N158)+N('INPUT-SIF_Questions'!O158))</f>
        <v>1</v>
      </c>
      <c r="H158" s="4" t="str">
        <f t="shared" si="8"/>
        <v>PASS</v>
      </c>
      <c r="I158" s="4" t="str">
        <f t="shared" si="9"/>
        <v>PASS</v>
      </c>
      <c r="J158" s="4" t="str">
        <f>IF(A158="","",IF(AND('INPUT-SIF_Questions'!S158&lt;&gt;"",'INPUT-SIF_Questions'!V158&lt;&gt;"",'INPUT-SIF_Questions'!W158&lt;&gt;""),"PASS","WARNING"))</f>
        <v>PASS</v>
      </c>
      <c r="K158" s="4" t="str">
        <f t="shared" si="10"/>
        <v>PASS</v>
      </c>
      <c r="L158" s="4" t="str">
        <f t="shared" si="11"/>
        <v/>
      </c>
    </row>
    <row r="159" spans="1:12" ht="14.25" customHeight="1" x14ac:dyDescent="0.45">
      <c r="A159" s="4">
        <f>IF('INPUT-SIF_Questions'!A159="","",ROW())</f>
        <v>159</v>
      </c>
      <c r="B159" s="4" t="str">
        <f>IF(A159="","",'INPUT-SIF_Questions'!A159)</f>
        <v>OBS-021</v>
      </c>
      <c r="C159" s="4" t="str">
        <f>IF(A159="","",'INPUT-SIF_Questions'!J159)</f>
        <v>D</v>
      </c>
      <c r="D159" s="4" t="str">
        <f>IF(A159="","",'INPUT-SIF_Questions'!H159)</f>
        <v>T&amp;E</v>
      </c>
      <c r="E159" s="4" t="str">
        <f>IF(A159="","",'INPUT-SIF_Questions'!K159)</f>
        <v>CLSR01-D</v>
      </c>
      <c r="F159" s="4" t="str">
        <f>IF(D159="","",IFERROR(VLOOKUP(D159,Helper_Protocol_Map!$A$2:$B$11,2,FALSE()),"OTHER"))</f>
        <v>CLSR01</v>
      </c>
      <c r="G159" s="4">
        <f>IF(A159="","",N('INPUT-SIF_Questions'!M159)+N('INPUT-SIF_Questions'!N159)+N('INPUT-SIF_Questions'!O159))</f>
        <v>1</v>
      </c>
      <c r="H159" s="4" t="str">
        <f t="shared" si="8"/>
        <v>PASS</v>
      </c>
      <c r="I159" s="4" t="str">
        <f t="shared" si="9"/>
        <v>PASS</v>
      </c>
      <c r="J159" s="4" t="str">
        <f>IF(A159="","",IF(AND('INPUT-SIF_Questions'!S159&lt;&gt;"",'INPUT-SIF_Questions'!V159&lt;&gt;"",'INPUT-SIF_Questions'!W159&lt;&gt;""),"PASS","WARNING"))</f>
        <v>PASS</v>
      </c>
      <c r="K159" s="4" t="str">
        <f t="shared" si="10"/>
        <v>PASS</v>
      </c>
      <c r="L159" s="4" t="str">
        <f t="shared" si="11"/>
        <v/>
      </c>
    </row>
    <row r="160" spans="1:12" ht="14.25" customHeight="1" x14ac:dyDescent="0.45">
      <c r="A160" s="4">
        <f>IF('INPUT-SIF_Questions'!A160="","",ROW())</f>
        <v>160</v>
      </c>
      <c r="B160" s="4" t="str">
        <f>IF(A160="","",'INPUT-SIF_Questions'!A160)</f>
        <v>OBS-022</v>
      </c>
      <c r="C160" s="4" t="str">
        <f>IF(A160="","",'INPUT-SIF_Questions'!J160)</f>
        <v>A</v>
      </c>
      <c r="D160" s="4" t="str">
        <f>IF(A160="","",'INPUT-SIF_Questions'!H160)</f>
        <v>HW</v>
      </c>
      <c r="E160" s="4" t="str">
        <f>IF(A160="","",'INPUT-SIF_Questions'!K160)</f>
        <v>CLSR03-A</v>
      </c>
      <c r="F160" s="4" t="str">
        <f>IF(D160="","",IFERROR(VLOOKUP(D160,Helper_Protocol_Map!$A$2:$B$11,2,FALSE()),"OTHER"))</f>
        <v>CLSR03</v>
      </c>
      <c r="G160" s="4">
        <f>IF(A160="","",N('INPUT-SIF_Questions'!M160)+N('INPUT-SIF_Questions'!N160)+N('INPUT-SIF_Questions'!O160))</f>
        <v>1</v>
      </c>
      <c r="H160" s="4" t="str">
        <f t="shared" si="8"/>
        <v>PASS</v>
      </c>
      <c r="I160" s="4" t="str">
        <f t="shared" si="9"/>
        <v>PASS</v>
      </c>
      <c r="J160" s="4" t="str">
        <f>IF(A160="","",IF(AND('INPUT-SIF_Questions'!S160&lt;&gt;"",'INPUT-SIF_Questions'!V160&lt;&gt;"",'INPUT-SIF_Questions'!W160&lt;&gt;""),"PASS","WARNING"))</f>
        <v>PASS</v>
      </c>
      <c r="K160" s="4" t="str">
        <f t="shared" si="10"/>
        <v>PASS</v>
      </c>
      <c r="L160" s="4" t="str">
        <f t="shared" si="11"/>
        <v/>
      </c>
    </row>
    <row r="161" spans="1:12" ht="14.25" customHeight="1" x14ac:dyDescent="0.45">
      <c r="A161" s="4">
        <f>IF('INPUT-SIF_Questions'!A161="","",ROW())</f>
        <v>161</v>
      </c>
      <c r="B161" s="4" t="str">
        <f>IF(A161="","",'INPUT-SIF_Questions'!A161)</f>
        <v>OBS-022</v>
      </c>
      <c r="C161" s="4" t="str">
        <f>IF(A161="","",'INPUT-SIF_Questions'!J161)</f>
        <v>B</v>
      </c>
      <c r="D161" s="4" t="str">
        <f>IF(A161="","",'INPUT-SIF_Questions'!H161)</f>
        <v>HW</v>
      </c>
      <c r="E161" s="4" t="str">
        <f>IF(A161="","",'INPUT-SIF_Questions'!K161)</f>
        <v>CLSR03-B</v>
      </c>
      <c r="F161" s="4" t="str">
        <f>IF(D161="","",IFERROR(VLOOKUP(D161,Helper_Protocol_Map!$A$2:$B$11,2,FALSE()),"OTHER"))</f>
        <v>CLSR03</v>
      </c>
      <c r="G161" s="4">
        <f>IF(A161="","",N('INPUT-SIF_Questions'!M161)+N('INPUT-SIF_Questions'!N161)+N('INPUT-SIF_Questions'!O161))</f>
        <v>1</v>
      </c>
      <c r="H161" s="4" t="str">
        <f t="shared" si="8"/>
        <v>PASS</v>
      </c>
      <c r="I161" s="4" t="str">
        <f t="shared" si="9"/>
        <v>PASS</v>
      </c>
      <c r="J161" s="4" t="str">
        <f>IF(A161="","",IF(AND('INPUT-SIF_Questions'!S161&lt;&gt;"",'INPUT-SIF_Questions'!V161&lt;&gt;"",'INPUT-SIF_Questions'!W161&lt;&gt;""),"PASS","WARNING"))</f>
        <v>PASS</v>
      </c>
      <c r="K161" s="4" t="str">
        <f t="shared" si="10"/>
        <v>PASS</v>
      </c>
      <c r="L161" s="4" t="str">
        <f t="shared" si="11"/>
        <v/>
      </c>
    </row>
    <row r="162" spans="1:12" ht="14.25" customHeight="1" x14ac:dyDescent="0.45">
      <c r="A162" s="4">
        <f>IF('INPUT-SIF_Questions'!A162="","",ROW())</f>
        <v>162</v>
      </c>
      <c r="B162" s="4" t="str">
        <f>IF(A162="","",'INPUT-SIF_Questions'!A162)</f>
        <v>OBS-022</v>
      </c>
      <c r="C162" s="4" t="str">
        <f>IF(A162="","",'INPUT-SIF_Questions'!J162)</f>
        <v>C</v>
      </c>
      <c r="D162" s="4" t="str">
        <f>IF(A162="","",'INPUT-SIF_Questions'!H162)</f>
        <v>HW</v>
      </c>
      <c r="E162" s="4" t="str">
        <f>IF(A162="","",'INPUT-SIF_Questions'!K162)</f>
        <v>CLSR03-C</v>
      </c>
      <c r="F162" s="4" t="str">
        <f>IF(D162="","",IFERROR(VLOOKUP(D162,Helper_Protocol_Map!$A$2:$B$11,2,FALSE()),"OTHER"))</f>
        <v>CLSR03</v>
      </c>
      <c r="G162" s="4">
        <f>IF(A162="","",N('INPUT-SIF_Questions'!M162)+N('INPUT-SIF_Questions'!N162)+N('INPUT-SIF_Questions'!O162))</f>
        <v>1</v>
      </c>
      <c r="H162" s="4" t="str">
        <f t="shared" si="8"/>
        <v>PASS</v>
      </c>
      <c r="I162" s="4" t="str">
        <f t="shared" si="9"/>
        <v>PASS</v>
      </c>
      <c r="J162" s="4" t="str">
        <f>IF(A162="","",IF(AND('INPUT-SIF_Questions'!S162&lt;&gt;"",'INPUT-SIF_Questions'!V162&lt;&gt;"",'INPUT-SIF_Questions'!W162&lt;&gt;""),"PASS","WARNING"))</f>
        <v>PASS</v>
      </c>
      <c r="K162" s="4" t="str">
        <f t="shared" si="10"/>
        <v>PASS</v>
      </c>
      <c r="L162" s="4" t="str">
        <f t="shared" si="11"/>
        <v/>
      </c>
    </row>
    <row r="163" spans="1:12" ht="14.25" customHeight="1" x14ac:dyDescent="0.45">
      <c r="A163" s="4">
        <f>IF('INPUT-SIF_Questions'!A163="","",ROW())</f>
        <v>163</v>
      </c>
      <c r="B163" s="4" t="str">
        <f>IF(A163="","",'INPUT-SIF_Questions'!A163)</f>
        <v>OBS-022</v>
      </c>
      <c r="C163" s="4" t="str">
        <f>IF(A163="","",'INPUT-SIF_Questions'!J163)</f>
        <v>D</v>
      </c>
      <c r="D163" s="4" t="str">
        <f>IF(A163="","",'INPUT-SIF_Questions'!H163)</f>
        <v>HW</v>
      </c>
      <c r="E163" s="4" t="str">
        <f>IF(A163="","",'INPUT-SIF_Questions'!K163)</f>
        <v>CLSR03-D</v>
      </c>
      <c r="F163" s="4" t="str">
        <f>IF(D163="","",IFERROR(VLOOKUP(D163,Helper_Protocol_Map!$A$2:$B$11,2,FALSE()),"OTHER"))</f>
        <v>CLSR03</v>
      </c>
      <c r="G163" s="4">
        <f>IF(A163="","",N('INPUT-SIF_Questions'!M163)+N('INPUT-SIF_Questions'!N163)+N('INPUT-SIF_Questions'!O163))</f>
        <v>1</v>
      </c>
      <c r="H163" s="4" t="str">
        <f t="shared" si="8"/>
        <v>PASS</v>
      </c>
      <c r="I163" s="4" t="str">
        <f t="shared" si="9"/>
        <v>PASS</v>
      </c>
      <c r="J163" s="4" t="str">
        <f>IF(A163="","",IF(AND('INPUT-SIF_Questions'!S163&lt;&gt;"",'INPUT-SIF_Questions'!V163&lt;&gt;"",'INPUT-SIF_Questions'!W163&lt;&gt;""),"PASS","WARNING"))</f>
        <v>PASS</v>
      </c>
      <c r="K163" s="4" t="str">
        <f t="shared" si="10"/>
        <v>PASS</v>
      </c>
      <c r="L163" s="4" t="str">
        <f t="shared" si="11"/>
        <v/>
      </c>
    </row>
    <row r="164" spans="1:12" ht="14.25" customHeight="1" x14ac:dyDescent="0.45">
      <c r="A164" s="4">
        <f>IF('INPUT-SIF_Questions'!A164="","",ROW())</f>
        <v>164</v>
      </c>
      <c r="B164" s="4" t="str">
        <f>IF(A164="","",'INPUT-SIF_Questions'!A164)</f>
        <v>OBS-022</v>
      </c>
      <c r="C164" s="4" t="str">
        <f>IF(A164="","",'INPUT-SIF_Questions'!J164)</f>
        <v>E</v>
      </c>
      <c r="D164" s="4" t="str">
        <f>IF(A164="","",'INPUT-SIF_Questions'!H164)</f>
        <v>HW</v>
      </c>
      <c r="E164" s="4" t="str">
        <f>IF(A164="","",'INPUT-SIF_Questions'!K164)</f>
        <v>CLSR03-E</v>
      </c>
      <c r="F164" s="4" t="str">
        <f>IF(D164="","",IFERROR(VLOOKUP(D164,Helper_Protocol_Map!$A$2:$B$11,2,FALSE()),"OTHER"))</f>
        <v>CLSR03</v>
      </c>
      <c r="G164" s="4">
        <f>IF(A164="","",N('INPUT-SIF_Questions'!M164)+N('INPUT-SIF_Questions'!N164)+N('INPUT-SIF_Questions'!O164))</f>
        <v>1</v>
      </c>
      <c r="H164" s="4" t="str">
        <f t="shared" si="8"/>
        <v>PASS</v>
      </c>
      <c r="I164" s="4" t="str">
        <f t="shared" si="9"/>
        <v>PASS</v>
      </c>
      <c r="J164" s="4" t="str">
        <f>IF(A164="","",IF(AND('INPUT-SIF_Questions'!S164&lt;&gt;"",'INPUT-SIF_Questions'!V164&lt;&gt;"",'INPUT-SIF_Questions'!W164&lt;&gt;""),"PASS","WARNING"))</f>
        <v>PASS</v>
      </c>
      <c r="K164" s="4" t="str">
        <f t="shared" si="10"/>
        <v>PASS</v>
      </c>
      <c r="L164" s="4" t="str">
        <f t="shared" si="11"/>
        <v/>
      </c>
    </row>
    <row r="165" spans="1:12" ht="14.25" customHeight="1" x14ac:dyDescent="0.45">
      <c r="A165" s="4">
        <f>IF('INPUT-SIF_Questions'!A165="","",ROW())</f>
        <v>165</v>
      </c>
      <c r="B165" s="4" t="str">
        <f>IF(A165="","",'INPUT-SIF_Questions'!A165)</f>
        <v>OBS-022</v>
      </c>
      <c r="C165" s="4" t="str">
        <f>IF(A165="","",'INPUT-SIF_Questions'!J165)</f>
        <v>F</v>
      </c>
      <c r="D165" s="4" t="str">
        <f>IF(A165="","",'INPUT-SIF_Questions'!H165)</f>
        <v>HW</v>
      </c>
      <c r="E165" s="4" t="str">
        <f>IF(A165="","",'INPUT-SIF_Questions'!K165)</f>
        <v>CLSR03-F</v>
      </c>
      <c r="F165" s="4" t="str">
        <f>IF(D165="","",IFERROR(VLOOKUP(D165,Helper_Protocol_Map!$A$2:$B$11,2,FALSE()),"OTHER"))</f>
        <v>CLSR03</v>
      </c>
      <c r="G165" s="4">
        <f>IF(A165="","",N('INPUT-SIF_Questions'!M165)+N('INPUT-SIF_Questions'!N165)+N('INPUT-SIF_Questions'!O165))</f>
        <v>1</v>
      </c>
      <c r="H165" s="4" t="str">
        <f t="shared" si="8"/>
        <v>PASS</v>
      </c>
      <c r="I165" s="4" t="str">
        <f t="shared" si="9"/>
        <v>PASS</v>
      </c>
      <c r="J165" s="4" t="str">
        <f>IF(A165="","",IF(AND('INPUT-SIF_Questions'!S165&lt;&gt;"",'INPUT-SIF_Questions'!V165&lt;&gt;"",'INPUT-SIF_Questions'!W165&lt;&gt;""),"PASS","WARNING"))</f>
        <v>PASS</v>
      </c>
      <c r="K165" s="4" t="str">
        <f t="shared" si="10"/>
        <v>PASS</v>
      </c>
      <c r="L165" s="4" t="str">
        <f t="shared" si="11"/>
        <v/>
      </c>
    </row>
    <row r="166" spans="1:12" ht="14.25" customHeight="1" x14ac:dyDescent="0.45">
      <c r="A166" s="4">
        <f>IF('INPUT-SIF_Questions'!A166="","",ROW())</f>
        <v>166</v>
      </c>
      <c r="B166" s="4" t="str">
        <f>IF(A166="","",'INPUT-SIF_Questions'!A166)</f>
        <v>OBS-022</v>
      </c>
      <c r="C166" s="4" t="str">
        <f>IF(A166="","",'INPUT-SIF_Questions'!J166)</f>
        <v>G</v>
      </c>
      <c r="D166" s="4" t="str">
        <f>IF(A166="","",'INPUT-SIF_Questions'!H166)</f>
        <v>HW</v>
      </c>
      <c r="E166" s="4" t="str">
        <f>IF(A166="","",'INPUT-SIF_Questions'!K166)</f>
        <v>CLSR03-G</v>
      </c>
      <c r="F166" s="4" t="str">
        <f>IF(D166="","",IFERROR(VLOOKUP(D166,Helper_Protocol_Map!$A$2:$B$11,2,FALSE()),"OTHER"))</f>
        <v>CLSR03</v>
      </c>
      <c r="G166" s="4">
        <f>IF(A166="","",N('INPUT-SIF_Questions'!M166)+N('INPUT-SIF_Questions'!N166)+N('INPUT-SIF_Questions'!O166))</f>
        <v>1</v>
      </c>
      <c r="H166" s="4" t="str">
        <f t="shared" si="8"/>
        <v>PASS</v>
      </c>
      <c r="I166" s="4" t="str">
        <f t="shared" si="9"/>
        <v>PASS</v>
      </c>
      <c r="J166" s="4" t="str">
        <f>IF(A166="","",IF(AND('INPUT-SIF_Questions'!S166&lt;&gt;"",'INPUT-SIF_Questions'!V166&lt;&gt;"",'INPUT-SIF_Questions'!W166&lt;&gt;""),"PASS","WARNING"))</f>
        <v>PASS</v>
      </c>
      <c r="K166" s="4" t="str">
        <f t="shared" si="10"/>
        <v>PASS</v>
      </c>
      <c r="L166" s="4" t="str">
        <f t="shared" si="11"/>
        <v/>
      </c>
    </row>
    <row r="167" spans="1:12" ht="14.25" customHeight="1" x14ac:dyDescent="0.45">
      <c r="A167" s="4">
        <f>IF('INPUT-SIF_Questions'!A167="","",ROW())</f>
        <v>167</v>
      </c>
      <c r="B167" s="4" t="str">
        <f>IF(A167="","",'INPUT-SIF_Questions'!A167)</f>
        <v>OBS-023</v>
      </c>
      <c r="C167" s="4" t="str">
        <f>IF(A167="","",'INPUT-SIF_Questions'!J167)</f>
        <v>A</v>
      </c>
      <c r="D167" s="4" t="str">
        <f>IF(A167="","",'INPUT-SIF_Questions'!H167)</f>
        <v>IHE</v>
      </c>
      <c r="E167" s="4" t="str">
        <f>IF(A167="","",'INPUT-SIF_Questions'!K167)</f>
        <v>CLSR05-A</v>
      </c>
      <c r="F167" s="4" t="str">
        <f>IF(D167="","",IFERROR(VLOOKUP(D167,Helper_Protocol_Map!$A$2:$B$11,2,FALSE()),"OTHER"))</f>
        <v>CLSR05</v>
      </c>
      <c r="G167" s="4">
        <f>IF(A167="","",N('INPUT-SIF_Questions'!M167)+N('INPUT-SIF_Questions'!N167)+N('INPUT-SIF_Questions'!O167))</f>
        <v>1</v>
      </c>
      <c r="H167" s="4" t="str">
        <f t="shared" si="8"/>
        <v>PASS</v>
      </c>
      <c r="I167" s="4" t="str">
        <f t="shared" si="9"/>
        <v>PASS</v>
      </c>
      <c r="J167" s="4" t="str">
        <f>IF(A167="","",IF(AND('INPUT-SIF_Questions'!S167&lt;&gt;"",'INPUT-SIF_Questions'!V167&lt;&gt;"",'INPUT-SIF_Questions'!W167&lt;&gt;""),"PASS","WARNING"))</f>
        <v>PASS</v>
      </c>
      <c r="K167" s="4" t="str">
        <f t="shared" si="10"/>
        <v>PASS</v>
      </c>
      <c r="L167" s="4" t="str">
        <f t="shared" si="11"/>
        <v/>
      </c>
    </row>
    <row r="168" spans="1:12" ht="14.25" customHeight="1" x14ac:dyDescent="0.45">
      <c r="A168" s="4">
        <f>IF('INPUT-SIF_Questions'!A168="","",ROW())</f>
        <v>168</v>
      </c>
      <c r="B168" s="4" t="str">
        <f>IF(A168="","",'INPUT-SIF_Questions'!A168)</f>
        <v>OBS-023</v>
      </c>
      <c r="C168" s="4" t="str">
        <f>IF(A168="","",'INPUT-SIF_Questions'!J168)</f>
        <v>B</v>
      </c>
      <c r="D168" s="4" t="str">
        <f>IF(A168="","",'INPUT-SIF_Questions'!H168)</f>
        <v>IHE</v>
      </c>
      <c r="E168" s="4" t="str">
        <f>IF(A168="","",'INPUT-SIF_Questions'!K168)</f>
        <v>CLSR05-B</v>
      </c>
      <c r="F168" s="4" t="str">
        <f>IF(D168="","",IFERROR(VLOOKUP(D168,Helper_Protocol_Map!$A$2:$B$11,2,FALSE()),"OTHER"))</f>
        <v>CLSR05</v>
      </c>
      <c r="G168" s="4">
        <f>IF(A168="","",N('INPUT-SIF_Questions'!M168)+N('INPUT-SIF_Questions'!N168)+N('INPUT-SIF_Questions'!O168))</f>
        <v>1</v>
      </c>
      <c r="H168" s="4" t="str">
        <f t="shared" si="8"/>
        <v>PASS</v>
      </c>
      <c r="I168" s="4" t="str">
        <f t="shared" si="9"/>
        <v>PASS</v>
      </c>
      <c r="J168" s="4" t="str">
        <f>IF(A168="","",IF(AND('INPUT-SIF_Questions'!S168&lt;&gt;"",'INPUT-SIF_Questions'!V168&lt;&gt;"",'INPUT-SIF_Questions'!W168&lt;&gt;""),"PASS","WARNING"))</f>
        <v>PASS</v>
      </c>
      <c r="K168" s="4" t="str">
        <f t="shared" si="10"/>
        <v>PASS</v>
      </c>
      <c r="L168" s="4" t="str">
        <f t="shared" si="11"/>
        <v/>
      </c>
    </row>
    <row r="169" spans="1:12" ht="14.25" customHeight="1" x14ac:dyDescent="0.45">
      <c r="A169" s="4">
        <f>IF('INPUT-SIF_Questions'!A169="","",ROW())</f>
        <v>169</v>
      </c>
      <c r="B169" s="4" t="str">
        <f>IF(A169="","",'INPUT-SIF_Questions'!A169)</f>
        <v>OBS-023</v>
      </c>
      <c r="C169" s="4" t="str">
        <f>IF(A169="","",'INPUT-SIF_Questions'!J169)</f>
        <v>C</v>
      </c>
      <c r="D169" s="4" t="str">
        <f>IF(A169="","",'INPUT-SIF_Questions'!H169)</f>
        <v>IHE</v>
      </c>
      <c r="E169" s="4" t="str">
        <f>IF(A169="","",'INPUT-SIF_Questions'!K169)</f>
        <v>CLSR05-C</v>
      </c>
      <c r="F169" s="4" t="str">
        <f>IF(D169="","",IFERROR(VLOOKUP(D169,Helper_Protocol_Map!$A$2:$B$11,2,FALSE()),"OTHER"))</f>
        <v>CLSR05</v>
      </c>
      <c r="G169" s="4">
        <f>IF(A169="","",N('INPUT-SIF_Questions'!M169)+N('INPUT-SIF_Questions'!N169)+N('INPUT-SIF_Questions'!O169))</f>
        <v>1</v>
      </c>
      <c r="H169" s="4" t="str">
        <f t="shared" si="8"/>
        <v>PASS</v>
      </c>
      <c r="I169" s="4" t="str">
        <f t="shared" si="9"/>
        <v>PASS</v>
      </c>
      <c r="J169" s="4" t="str">
        <f>IF(A169="","",IF(AND('INPUT-SIF_Questions'!S169&lt;&gt;"",'INPUT-SIF_Questions'!V169&lt;&gt;"",'INPUT-SIF_Questions'!W169&lt;&gt;""),"PASS","WARNING"))</f>
        <v>PASS</v>
      </c>
      <c r="K169" s="4" t="str">
        <f t="shared" si="10"/>
        <v>PASS</v>
      </c>
      <c r="L169" s="4" t="str">
        <f t="shared" si="11"/>
        <v/>
      </c>
    </row>
    <row r="170" spans="1:12" ht="14.25" customHeight="1" x14ac:dyDescent="0.45">
      <c r="A170" s="4">
        <f>IF('INPUT-SIF_Questions'!A170="","",ROW())</f>
        <v>170</v>
      </c>
      <c r="B170" s="4" t="str">
        <f>IF(A170="","",'INPUT-SIF_Questions'!A170)</f>
        <v>OBS-023</v>
      </c>
      <c r="C170" s="4" t="str">
        <f>IF(A170="","",'INPUT-SIF_Questions'!J170)</f>
        <v>D</v>
      </c>
      <c r="D170" s="4" t="str">
        <f>IF(A170="","",'INPUT-SIF_Questions'!H170)</f>
        <v>IHE</v>
      </c>
      <c r="E170" s="4" t="str">
        <f>IF(A170="","",'INPUT-SIF_Questions'!K170)</f>
        <v>CLSR05-D</v>
      </c>
      <c r="F170" s="4" t="str">
        <f>IF(D170="","",IFERROR(VLOOKUP(D170,Helper_Protocol_Map!$A$2:$B$11,2,FALSE()),"OTHER"))</f>
        <v>CLSR05</v>
      </c>
      <c r="G170" s="4">
        <f>IF(A170="","",N('INPUT-SIF_Questions'!M170)+N('INPUT-SIF_Questions'!N170)+N('INPUT-SIF_Questions'!O170))</f>
        <v>1</v>
      </c>
      <c r="H170" s="4" t="str">
        <f t="shared" si="8"/>
        <v>PASS</v>
      </c>
      <c r="I170" s="4" t="str">
        <f t="shared" si="9"/>
        <v>PASS</v>
      </c>
      <c r="J170" s="4" t="str">
        <f>IF(A170="","",IF(AND('INPUT-SIF_Questions'!S170&lt;&gt;"",'INPUT-SIF_Questions'!V170&lt;&gt;"",'INPUT-SIF_Questions'!W170&lt;&gt;""),"PASS","WARNING"))</f>
        <v>PASS</v>
      </c>
      <c r="K170" s="4" t="str">
        <f t="shared" si="10"/>
        <v>PASS</v>
      </c>
      <c r="L170" s="4" t="str">
        <f t="shared" si="11"/>
        <v/>
      </c>
    </row>
    <row r="171" spans="1:12" ht="14.25" customHeight="1" x14ac:dyDescent="0.45">
      <c r="A171" s="4">
        <f>IF('INPUT-SIF_Questions'!A171="","",ROW())</f>
        <v>171</v>
      </c>
      <c r="B171" s="4" t="str">
        <f>IF(A171="","",'INPUT-SIF_Questions'!A171)</f>
        <v>OBS-023</v>
      </c>
      <c r="C171" s="4" t="str">
        <f>IF(A171="","",'INPUT-SIF_Questions'!J171)</f>
        <v>E</v>
      </c>
      <c r="D171" s="4" t="str">
        <f>IF(A171="","",'INPUT-SIF_Questions'!H171)</f>
        <v>IHE</v>
      </c>
      <c r="E171" s="4" t="str">
        <f>IF(A171="","",'INPUT-SIF_Questions'!K171)</f>
        <v>CLSR05-E</v>
      </c>
      <c r="F171" s="4" t="str">
        <f>IF(D171="","",IFERROR(VLOOKUP(D171,Helper_Protocol_Map!$A$2:$B$11,2,FALSE()),"OTHER"))</f>
        <v>CLSR05</v>
      </c>
      <c r="G171" s="4">
        <f>IF(A171="","",N('INPUT-SIF_Questions'!M171)+N('INPUT-SIF_Questions'!N171)+N('INPUT-SIF_Questions'!O171))</f>
        <v>1</v>
      </c>
      <c r="H171" s="4" t="str">
        <f t="shared" si="8"/>
        <v>PASS</v>
      </c>
      <c r="I171" s="4" t="str">
        <f t="shared" si="9"/>
        <v>PASS</v>
      </c>
      <c r="J171" s="4" t="str">
        <f>IF(A171="","",IF(AND('INPUT-SIF_Questions'!S171&lt;&gt;"",'INPUT-SIF_Questions'!V171&lt;&gt;"",'INPUT-SIF_Questions'!W171&lt;&gt;""),"PASS","WARNING"))</f>
        <v>PASS</v>
      </c>
      <c r="K171" s="4" t="str">
        <f t="shared" si="10"/>
        <v>PASS</v>
      </c>
      <c r="L171" s="4" t="str">
        <f t="shared" si="11"/>
        <v/>
      </c>
    </row>
    <row r="172" spans="1:12" ht="14.25" customHeight="1" x14ac:dyDescent="0.45">
      <c r="A172" s="4">
        <f>IF('INPUT-SIF_Questions'!A172="","",ROW())</f>
        <v>172</v>
      </c>
      <c r="B172" s="4" t="str">
        <f>IF(A172="","",'INPUT-SIF_Questions'!A172)</f>
        <v>OBS-023</v>
      </c>
      <c r="C172" s="4" t="str">
        <f>IF(A172="","",'INPUT-SIF_Questions'!J172)</f>
        <v>F</v>
      </c>
      <c r="D172" s="4" t="str">
        <f>IF(A172="","",'INPUT-SIF_Questions'!H172)</f>
        <v>IHE</v>
      </c>
      <c r="E172" s="4" t="str">
        <f>IF(A172="","",'INPUT-SIF_Questions'!K172)</f>
        <v>CLSR05-F</v>
      </c>
      <c r="F172" s="4" t="str">
        <f>IF(D172="","",IFERROR(VLOOKUP(D172,Helper_Protocol_Map!$A$2:$B$11,2,FALSE()),"OTHER"))</f>
        <v>CLSR05</v>
      </c>
      <c r="G172" s="4">
        <f>IF(A172="","",N('INPUT-SIF_Questions'!M172)+N('INPUT-SIF_Questions'!N172)+N('INPUT-SIF_Questions'!O172))</f>
        <v>1</v>
      </c>
      <c r="H172" s="4" t="str">
        <f t="shared" si="8"/>
        <v>PASS</v>
      </c>
      <c r="I172" s="4" t="str">
        <f t="shared" si="9"/>
        <v>PASS</v>
      </c>
      <c r="J172" s="4" t="str">
        <f>IF(A172="","",IF(AND('INPUT-SIF_Questions'!S172&lt;&gt;"",'INPUT-SIF_Questions'!V172&lt;&gt;"",'INPUT-SIF_Questions'!W172&lt;&gt;""),"PASS","WARNING"))</f>
        <v>PASS</v>
      </c>
      <c r="K172" s="4" t="str">
        <f t="shared" si="10"/>
        <v>PASS</v>
      </c>
      <c r="L172" s="4" t="str">
        <f t="shared" si="11"/>
        <v/>
      </c>
    </row>
    <row r="173" spans="1:12" ht="14.25" customHeight="1" x14ac:dyDescent="0.45">
      <c r="A173" s="4">
        <f>IF('INPUT-SIF_Questions'!A173="","",ROW())</f>
        <v>173</v>
      </c>
      <c r="B173" s="4" t="str">
        <f>IF(A173="","",'INPUT-SIF_Questions'!A173)</f>
        <v>OBS-023</v>
      </c>
      <c r="C173" s="4" t="str">
        <f>IF(A173="","",'INPUT-SIF_Questions'!J173)</f>
        <v>G</v>
      </c>
      <c r="D173" s="4" t="str">
        <f>IF(A173="","",'INPUT-SIF_Questions'!H173)</f>
        <v>IHE</v>
      </c>
      <c r="E173" s="4" t="str">
        <f>IF(A173="","",'INPUT-SIF_Questions'!K173)</f>
        <v>CLSR05-G</v>
      </c>
      <c r="F173" s="4" t="str">
        <f>IF(D173="","",IFERROR(VLOOKUP(D173,Helper_Protocol_Map!$A$2:$B$11,2,FALSE()),"OTHER"))</f>
        <v>CLSR05</v>
      </c>
      <c r="G173" s="4">
        <f>IF(A173="","",N('INPUT-SIF_Questions'!M173)+N('INPUT-SIF_Questions'!N173)+N('INPUT-SIF_Questions'!O173))</f>
        <v>1</v>
      </c>
      <c r="H173" s="4" t="str">
        <f t="shared" si="8"/>
        <v>PASS</v>
      </c>
      <c r="I173" s="4" t="str">
        <f t="shared" si="9"/>
        <v>PASS</v>
      </c>
      <c r="J173" s="4" t="str">
        <f>IF(A173="","",IF(AND('INPUT-SIF_Questions'!S173&lt;&gt;"",'INPUT-SIF_Questions'!V173&lt;&gt;"",'INPUT-SIF_Questions'!W173&lt;&gt;""),"PASS","WARNING"))</f>
        <v>PASS</v>
      </c>
      <c r="K173" s="4" t="str">
        <f t="shared" si="10"/>
        <v>PASS</v>
      </c>
      <c r="L173" s="4" t="str">
        <f t="shared" si="11"/>
        <v/>
      </c>
    </row>
    <row r="174" spans="1:12" ht="14.25" customHeight="1" x14ac:dyDescent="0.45">
      <c r="A174" s="4">
        <f>IF('INPUT-SIF_Questions'!A174="","",ROW())</f>
        <v>174</v>
      </c>
      <c r="B174" s="4" t="str">
        <f>IF(A174="","",'INPUT-SIF_Questions'!A174)</f>
        <v>OBS-023</v>
      </c>
      <c r="C174" s="4" t="str">
        <f>IF(A174="","",'INPUT-SIF_Questions'!J174)</f>
        <v>H</v>
      </c>
      <c r="D174" s="4" t="str">
        <f>IF(A174="","",'INPUT-SIF_Questions'!H174)</f>
        <v>IHE</v>
      </c>
      <c r="E174" s="4" t="str">
        <f>IF(A174="","",'INPUT-SIF_Questions'!K174)</f>
        <v>CLSR05-H</v>
      </c>
      <c r="F174" s="4" t="str">
        <f>IF(D174="","",IFERROR(VLOOKUP(D174,Helper_Protocol_Map!$A$2:$B$11,2,FALSE()),"OTHER"))</f>
        <v>CLSR05</v>
      </c>
      <c r="G174" s="4">
        <f>IF(A174="","",N('INPUT-SIF_Questions'!M174)+N('INPUT-SIF_Questions'!N174)+N('INPUT-SIF_Questions'!O174))</f>
        <v>1</v>
      </c>
      <c r="H174" s="4" t="str">
        <f t="shared" si="8"/>
        <v>PASS</v>
      </c>
      <c r="I174" s="4" t="str">
        <f t="shared" si="9"/>
        <v>PASS</v>
      </c>
      <c r="J174" s="4" t="str">
        <f>IF(A174="","",IF(AND('INPUT-SIF_Questions'!S174&lt;&gt;"",'INPUT-SIF_Questions'!V174&lt;&gt;"",'INPUT-SIF_Questions'!W174&lt;&gt;""),"PASS","WARNING"))</f>
        <v>PASS</v>
      </c>
      <c r="K174" s="4" t="str">
        <f t="shared" si="10"/>
        <v>PASS</v>
      </c>
      <c r="L174" s="4" t="str">
        <f t="shared" si="11"/>
        <v/>
      </c>
    </row>
    <row r="175" spans="1:12" ht="14.25" customHeight="1" x14ac:dyDescent="0.45">
      <c r="A175" s="4">
        <f>IF('INPUT-SIF_Questions'!A175="","",ROW())</f>
        <v>175</v>
      </c>
      <c r="B175" s="4" t="str">
        <f>IF(A175="","",'INPUT-SIF_Questions'!A175)</f>
        <v>OBS-023</v>
      </c>
      <c r="C175" s="4" t="str">
        <f>IF(A175="","",'INPUT-SIF_Questions'!J175)</f>
        <v>I</v>
      </c>
      <c r="D175" s="4" t="str">
        <f>IF(A175="","",'INPUT-SIF_Questions'!H175)</f>
        <v>IHE</v>
      </c>
      <c r="E175" s="4" t="str">
        <f>IF(A175="","",'INPUT-SIF_Questions'!K175)</f>
        <v>CLSR05-I</v>
      </c>
      <c r="F175" s="4" t="str">
        <f>IF(D175="","",IFERROR(VLOOKUP(D175,Helper_Protocol_Map!$A$2:$B$11,2,FALSE()),"OTHER"))</f>
        <v>CLSR05</v>
      </c>
      <c r="G175" s="4">
        <f>IF(A175="","",N('INPUT-SIF_Questions'!M175)+N('INPUT-SIF_Questions'!N175)+N('INPUT-SIF_Questions'!O175))</f>
        <v>1</v>
      </c>
      <c r="H175" s="4" t="str">
        <f t="shared" si="8"/>
        <v>PASS</v>
      </c>
      <c r="I175" s="4" t="str">
        <f t="shared" si="9"/>
        <v>PASS</v>
      </c>
      <c r="J175" s="4" t="str">
        <f>IF(A175="","",IF(AND('INPUT-SIF_Questions'!S175&lt;&gt;"",'INPUT-SIF_Questions'!V175&lt;&gt;"",'INPUT-SIF_Questions'!W175&lt;&gt;""),"PASS","WARNING"))</f>
        <v>PASS</v>
      </c>
      <c r="K175" s="4" t="str">
        <f t="shared" si="10"/>
        <v>PASS</v>
      </c>
      <c r="L175" s="4" t="str">
        <f t="shared" si="11"/>
        <v/>
      </c>
    </row>
    <row r="176" spans="1:12" ht="14.25" customHeight="1" x14ac:dyDescent="0.45">
      <c r="A176" s="4" t="str">
        <f>IF('INPUT-SIF_Questions'!A176="","",ROW())</f>
        <v/>
      </c>
      <c r="B176" s="4" t="str">
        <f>IF(A176="","",'INPUT-SIF_Questions'!A176)</f>
        <v/>
      </c>
      <c r="C176" s="4" t="str">
        <f>IF(A176="","",'INPUT-SIF_Questions'!J176)</f>
        <v/>
      </c>
      <c r="D176" s="4" t="str">
        <f>IF(A176="","",'INPUT-SIF_Questions'!H176)</f>
        <v/>
      </c>
      <c r="E176" s="4" t="str">
        <f>IF(A176="","",'INPUT-SIF_Questions'!K176)</f>
        <v/>
      </c>
      <c r="F176" s="4" t="str">
        <f>IF(D176="","",IFERROR(VLOOKUP(D176,Helper_Protocol_Map!$A$2:$B$11,2,FALSE()),"OTHER"))</f>
        <v/>
      </c>
      <c r="G176" s="4" t="str">
        <f>IF(A176="","",N('INPUT-SIF_Questions'!M176)+N('INPUT-SIF_Questions'!N176)+N('INPUT-SIF_Questions'!O176))</f>
        <v/>
      </c>
      <c r="H176" s="4" t="str">
        <f t="shared" si="8"/>
        <v/>
      </c>
      <c r="I176" s="4" t="str">
        <f t="shared" si="9"/>
        <v/>
      </c>
      <c r="J176" s="4" t="str">
        <f>IF(A176="","",IF(AND('INPUT-SIF_Questions'!S176&lt;&gt;"",'INPUT-SIF_Questions'!V176&lt;&gt;"",'INPUT-SIF_Questions'!W176&lt;&gt;""),"PASS","WARNING"))</f>
        <v/>
      </c>
      <c r="K176" s="4" t="str">
        <f t="shared" si="10"/>
        <v/>
      </c>
      <c r="L176" s="4" t="str">
        <f t="shared" si="11"/>
        <v/>
      </c>
    </row>
    <row r="177" spans="1:12" ht="14.25" customHeight="1" x14ac:dyDescent="0.45">
      <c r="A177" s="4" t="str">
        <f>IF('INPUT-SIF_Questions'!A177="","",ROW())</f>
        <v/>
      </c>
      <c r="B177" s="4" t="str">
        <f>IF(A177="","",'INPUT-SIF_Questions'!A177)</f>
        <v/>
      </c>
      <c r="C177" s="4" t="str">
        <f>IF(A177="","",'INPUT-SIF_Questions'!J177)</f>
        <v/>
      </c>
      <c r="D177" s="4" t="str">
        <f>IF(A177="","",'INPUT-SIF_Questions'!H177)</f>
        <v/>
      </c>
      <c r="E177" s="4" t="str">
        <f>IF(A177="","",'INPUT-SIF_Questions'!K177)</f>
        <v/>
      </c>
      <c r="F177" s="4" t="str">
        <f>IF(D177="","",IFERROR(VLOOKUP(D177,Helper_Protocol_Map!$A$2:$B$11,2,FALSE()),"OTHER"))</f>
        <v/>
      </c>
      <c r="G177" s="4" t="str">
        <f>IF(A177="","",N('INPUT-SIF_Questions'!M177)+N('INPUT-SIF_Questions'!N177)+N('INPUT-SIF_Questions'!O177))</f>
        <v/>
      </c>
      <c r="H177" s="4" t="str">
        <f t="shared" si="8"/>
        <v/>
      </c>
      <c r="I177" s="4" t="str">
        <f t="shared" si="9"/>
        <v/>
      </c>
      <c r="J177" s="4" t="str">
        <f>IF(A177="","",IF(AND('INPUT-SIF_Questions'!S177&lt;&gt;"",'INPUT-SIF_Questions'!V177&lt;&gt;"",'INPUT-SIF_Questions'!W177&lt;&gt;""),"PASS","WARNING"))</f>
        <v/>
      </c>
      <c r="K177" s="4" t="str">
        <f t="shared" si="10"/>
        <v/>
      </c>
      <c r="L177" s="4" t="str">
        <f t="shared" si="11"/>
        <v/>
      </c>
    </row>
    <row r="178" spans="1:12" ht="14.25" customHeight="1" x14ac:dyDescent="0.45">
      <c r="A178" s="4" t="str">
        <f>IF('INPUT-SIF_Questions'!A178="","",ROW())</f>
        <v/>
      </c>
      <c r="B178" s="4" t="str">
        <f>IF(A178="","",'INPUT-SIF_Questions'!A178)</f>
        <v/>
      </c>
      <c r="C178" s="4" t="str">
        <f>IF(A178="","",'INPUT-SIF_Questions'!J178)</f>
        <v/>
      </c>
      <c r="D178" s="4" t="str">
        <f>IF(A178="","",'INPUT-SIF_Questions'!H178)</f>
        <v/>
      </c>
      <c r="E178" s="4" t="str">
        <f>IF(A178="","",'INPUT-SIF_Questions'!K178)</f>
        <v/>
      </c>
      <c r="F178" s="4" t="str">
        <f>IF(D178="","",IFERROR(VLOOKUP(D178,Helper_Protocol_Map!$A$2:$B$11,2,FALSE()),"OTHER"))</f>
        <v/>
      </c>
      <c r="G178" s="4" t="str">
        <f>IF(A178="","",N('INPUT-SIF_Questions'!M178)+N('INPUT-SIF_Questions'!N178)+N('INPUT-SIF_Questions'!O178))</f>
        <v/>
      </c>
      <c r="H178" s="4" t="str">
        <f t="shared" si="8"/>
        <v/>
      </c>
      <c r="I178" s="4" t="str">
        <f t="shared" si="9"/>
        <v/>
      </c>
      <c r="J178" s="4" t="str">
        <f>IF(A178="","",IF(AND('INPUT-SIF_Questions'!S178&lt;&gt;"",'INPUT-SIF_Questions'!V178&lt;&gt;"",'INPUT-SIF_Questions'!W178&lt;&gt;""),"PASS","WARNING"))</f>
        <v/>
      </c>
      <c r="K178" s="4" t="str">
        <f t="shared" si="10"/>
        <v/>
      </c>
      <c r="L178" s="4" t="str">
        <f t="shared" si="11"/>
        <v/>
      </c>
    </row>
    <row r="179" spans="1:12" ht="14.25" customHeight="1" x14ac:dyDescent="0.45">
      <c r="A179" s="4" t="str">
        <f>IF('INPUT-SIF_Questions'!A179="","",ROW())</f>
        <v/>
      </c>
      <c r="B179" s="4" t="str">
        <f>IF(A179="","",'INPUT-SIF_Questions'!A179)</f>
        <v/>
      </c>
      <c r="C179" s="4" t="str">
        <f>IF(A179="","",'INPUT-SIF_Questions'!J179)</f>
        <v/>
      </c>
      <c r="D179" s="4" t="str">
        <f>IF(A179="","",'INPUT-SIF_Questions'!H179)</f>
        <v/>
      </c>
      <c r="E179" s="4" t="str">
        <f>IF(A179="","",'INPUT-SIF_Questions'!K179)</f>
        <v/>
      </c>
      <c r="F179" s="4" t="str">
        <f>IF(D179="","",IFERROR(VLOOKUP(D179,Helper_Protocol_Map!$A$2:$B$11,2,FALSE()),"OTHER"))</f>
        <v/>
      </c>
      <c r="G179" s="4" t="str">
        <f>IF(A179="","",N('INPUT-SIF_Questions'!M179)+N('INPUT-SIF_Questions'!N179)+N('INPUT-SIF_Questions'!O179))</f>
        <v/>
      </c>
      <c r="H179" s="4" t="str">
        <f t="shared" si="8"/>
        <v/>
      </c>
      <c r="I179" s="4" t="str">
        <f t="shared" si="9"/>
        <v/>
      </c>
      <c r="J179" s="4" t="str">
        <f>IF(A179="","",IF(AND('INPUT-SIF_Questions'!S179&lt;&gt;"",'INPUT-SIF_Questions'!V179&lt;&gt;"",'INPUT-SIF_Questions'!W179&lt;&gt;""),"PASS","WARNING"))</f>
        <v/>
      </c>
      <c r="K179" s="4" t="str">
        <f t="shared" si="10"/>
        <v/>
      </c>
      <c r="L179" s="4" t="str">
        <f t="shared" si="11"/>
        <v/>
      </c>
    </row>
    <row r="180" spans="1:12" ht="14.25" customHeight="1" x14ac:dyDescent="0.45">
      <c r="A180" s="4" t="str">
        <f>IF('INPUT-SIF_Questions'!A180="","",ROW())</f>
        <v/>
      </c>
      <c r="B180" s="4" t="str">
        <f>IF(A180="","",'INPUT-SIF_Questions'!A180)</f>
        <v/>
      </c>
      <c r="C180" s="4" t="str">
        <f>IF(A180="","",'INPUT-SIF_Questions'!J180)</f>
        <v/>
      </c>
      <c r="D180" s="4" t="str">
        <f>IF(A180="","",'INPUT-SIF_Questions'!H180)</f>
        <v/>
      </c>
      <c r="E180" s="4" t="str">
        <f>IF(A180="","",'INPUT-SIF_Questions'!K180)</f>
        <v/>
      </c>
      <c r="F180" s="4" t="str">
        <f>IF(D180="","",IFERROR(VLOOKUP(D180,Helper_Protocol_Map!$A$2:$B$11,2,FALSE()),"OTHER"))</f>
        <v/>
      </c>
      <c r="G180" s="4" t="str">
        <f>IF(A180="","",N('INPUT-SIF_Questions'!M180)+N('INPUT-SIF_Questions'!N180)+N('INPUT-SIF_Questions'!O180))</f>
        <v/>
      </c>
      <c r="H180" s="4" t="str">
        <f t="shared" si="8"/>
        <v/>
      </c>
      <c r="I180" s="4" t="str">
        <f t="shared" si="9"/>
        <v/>
      </c>
      <c r="J180" s="4" t="str">
        <f>IF(A180="","",IF(AND('INPUT-SIF_Questions'!S180&lt;&gt;"",'INPUT-SIF_Questions'!V180&lt;&gt;"",'INPUT-SIF_Questions'!W180&lt;&gt;""),"PASS","WARNING"))</f>
        <v/>
      </c>
      <c r="K180" s="4" t="str">
        <f t="shared" si="10"/>
        <v/>
      </c>
      <c r="L180" s="4" t="str">
        <f t="shared" si="11"/>
        <v/>
      </c>
    </row>
    <row r="181" spans="1:12" ht="14.25" customHeight="1" x14ac:dyDescent="0.45">
      <c r="A181" s="4" t="str">
        <f>IF('INPUT-SIF_Questions'!A181="","",ROW())</f>
        <v/>
      </c>
      <c r="B181" s="4" t="str">
        <f>IF(A181="","",'INPUT-SIF_Questions'!A181)</f>
        <v/>
      </c>
      <c r="C181" s="4" t="str">
        <f>IF(A181="","",'INPUT-SIF_Questions'!J181)</f>
        <v/>
      </c>
      <c r="D181" s="4" t="str">
        <f>IF(A181="","",'INPUT-SIF_Questions'!H181)</f>
        <v/>
      </c>
      <c r="E181" s="4" t="str">
        <f>IF(A181="","",'INPUT-SIF_Questions'!K181)</f>
        <v/>
      </c>
      <c r="F181" s="4" t="str">
        <f>IF(D181="","",IFERROR(VLOOKUP(D181,Helper_Protocol_Map!$A$2:$B$11,2,FALSE()),"OTHER"))</f>
        <v/>
      </c>
      <c r="G181" s="4" t="str">
        <f>IF(A181="","",N('INPUT-SIF_Questions'!M181)+N('INPUT-SIF_Questions'!N181)+N('INPUT-SIF_Questions'!O181))</f>
        <v/>
      </c>
      <c r="H181" s="4" t="str">
        <f t="shared" si="8"/>
        <v/>
      </c>
      <c r="I181" s="4" t="str">
        <f t="shared" si="9"/>
        <v/>
      </c>
      <c r="J181" s="4" t="str">
        <f>IF(A181="","",IF(AND('INPUT-SIF_Questions'!S181&lt;&gt;"",'INPUT-SIF_Questions'!V181&lt;&gt;"",'INPUT-SIF_Questions'!W181&lt;&gt;""),"PASS","WARNING"))</f>
        <v/>
      </c>
      <c r="K181" s="4" t="str">
        <f t="shared" si="10"/>
        <v/>
      </c>
      <c r="L181" s="4" t="str">
        <f t="shared" si="11"/>
        <v/>
      </c>
    </row>
    <row r="182" spans="1:12" ht="14.25" customHeight="1" x14ac:dyDescent="0.45">
      <c r="A182" s="4" t="str">
        <f>IF('INPUT-SIF_Questions'!A182="","",ROW())</f>
        <v/>
      </c>
      <c r="B182" s="4" t="str">
        <f>IF(A182="","",'INPUT-SIF_Questions'!A182)</f>
        <v/>
      </c>
      <c r="C182" s="4" t="str">
        <f>IF(A182="","",'INPUT-SIF_Questions'!J182)</f>
        <v/>
      </c>
      <c r="D182" s="4" t="str">
        <f>IF(A182="","",'INPUT-SIF_Questions'!H182)</f>
        <v/>
      </c>
      <c r="E182" s="4" t="str">
        <f>IF(A182="","",'INPUT-SIF_Questions'!K182)</f>
        <v/>
      </c>
      <c r="F182" s="4" t="str">
        <f>IF(D182="","",IFERROR(VLOOKUP(D182,Helper_Protocol_Map!$A$2:$B$11,2,FALSE()),"OTHER"))</f>
        <v/>
      </c>
      <c r="G182" s="4" t="str">
        <f>IF(A182="","",N('INPUT-SIF_Questions'!M182)+N('INPUT-SIF_Questions'!N182)+N('INPUT-SIF_Questions'!O182))</f>
        <v/>
      </c>
      <c r="H182" s="4" t="str">
        <f t="shared" si="8"/>
        <v/>
      </c>
      <c r="I182" s="4" t="str">
        <f t="shared" si="9"/>
        <v/>
      </c>
      <c r="J182" s="4" t="str">
        <f>IF(A182="","",IF(AND('INPUT-SIF_Questions'!S182&lt;&gt;"",'INPUT-SIF_Questions'!V182&lt;&gt;"",'INPUT-SIF_Questions'!W182&lt;&gt;""),"PASS","WARNING"))</f>
        <v/>
      </c>
      <c r="K182" s="4" t="str">
        <f t="shared" si="10"/>
        <v/>
      </c>
      <c r="L182" s="4" t="str">
        <f t="shared" si="11"/>
        <v/>
      </c>
    </row>
    <row r="183" spans="1:12" ht="14.25" customHeight="1" x14ac:dyDescent="0.45">
      <c r="A183" s="4" t="str">
        <f>IF('INPUT-SIF_Questions'!A183="","",ROW())</f>
        <v/>
      </c>
      <c r="B183" s="4" t="str">
        <f>IF(A183="","",'INPUT-SIF_Questions'!A183)</f>
        <v/>
      </c>
      <c r="C183" s="4" t="str">
        <f>IF(A183="","",'INPUT-SIF_Questions'!J183)</f>
        <v/>
      </c>
      <c r="D183" s="4" t="str">
        <f>IF(A183="","",'INPUT-SIF_Questions'!H183)</f>
        <v/>
      </c>
      <c r="E183" s="4" t="str">
        <f>IF(A183="","",'INPUT-SIF_Questions'!K183)</f>
        <v/>
      </c>
      <c r="F183" s="4" t="str">
        <f>IF(D183="","",IFERROR(VLOOKUP(D183,Helper_Protocol_Map!$A$2:$B$11,2,FALSE()),"OTHER"))</f>
        <v/>
      </c>
      <c r="G183" s="4" t="str">
        <f>IF(A183="","",N('INPUT-SIF_Questions'!M183)+N('INPUT-SIF_Questions'!N183)+N('INPUT-SIF_Questions'!O183))</f>
        <v/>
      </c>
      <c r="H183" s="4" t="str">
        <f t="shared" si="8"/>
        <v/>
      </c>
      <c r="I183" s="4" t="str">
        <f t="shared" si="9"/>
        <v/>
      </c>
      <c r="J183" s="4" t="str">
        <f>IF(A183="","",IF(AND('INPUT-SIF_Questions'!S183&lt;&gt;"",'INPUT-SIF_Questions'!V183&lt;&gt;"",'INPUT-SIF_Questions'!W183&lt;&gt;""),"PASS","WARNING"))</f>
        <v/>
      </c>
      <c r="K183" s="4" t="str">
        <f t="shared" si="10"/>
        <v/>
      </c>
      <c r="L183" s="4" t="str">
        <f t="shared" si="11"/>
        <v/>
      </c>
    </row>
    <row r="184" spans="1:12" ht="14.25" customHeight="1" x14ac:dyDescent="0.45">
      <c r="A184" s="4" t="str">
        <f>IF('INPUT-SIF_Questions'!A184="","",ROW())</f>
        <v/>
      </c>
      <c r="B184" s="4" t="str">
        <f>IF(A184="","",'INPUT-SIF_Questions'!A184)</f>
        <v/>
      </c>
      <c r="C184" s="4" t="str">
        <f>IF(A184="","",'INPUT-SIF_Questions'!J184)</f>
        <v/>
      </c>
      <c r="D184" s="4" t="str">
        <f>IF(A184="","",'INPUT-SIF_Questions'!H184)</f>
        <v/>
      </c>
      <c r="E184" s="4" t="str">
        <f>IF(A184="","",'INPUT-SIF_Questions'!K184)</f>
        <v/>
      </c>
      <c r="F184" s="4" t="str">
        <f>IF(D184="","",IFERROR(VLOOKUP(D184,Helper_Protocol_Map!$A$2:$B$11,2,FALSE()),"OTHER"))</f>
        <v/>
      </c>
      <c r="G184" s="4" t="str">
        <f>IF(A184="","",N('INPUT-SIF_Questions'!M184)+N('INPUT-SIF_Questions'!N184)+N('INPUT-SIF_Questions'!O184))</f>
        <v/>
      </c>
      <c r="H184" s="4" t="str">
        <f t="shared" si="8"/>
        <v/>
      </c>
      <c r="I184" s="4" t="str">
        <f t="shared" si="9"/>
        <v/>
      </c>
      <c r="J184" s="4" t="str">
        <f>IF(A184="","",IF(AND('INPUT-SIF_Questions'!S184&lt;&gt;"",'INPUT-SIF_Questions'!V184&lt;&gt;"",'INPUT-SIF_Questions'!W184&lt;&gt;""),"PASS","WARNING"))</f>
        <v/>
      </c>
      <c r="K184" s="4" t="str">
        <f t="shared" si="10"/>
        <v/>
      </c>
      <c r="L184" s="4" t="str">
        <f t="shared" si="11"/>
        <v/>
      </c>
    </row>
    <row r="185" spans="1:12" ht="14.25" customHeight="1" x14ac:dyDescent="0.45">
      <c r="A185" s="4" t="str">
        <f>IF('INPUT-SIF_Questions'!A185="","",ROW())</f>
        <v/>
      </c>
      <c r="B185" s="4" t="str">
        <f>IF(A185="","",'INPUT-SIF_Questions'!A185)</f>
        <v/>
      </c>
      <c r="C185" s="4" t="str">
        <f>IF(A185="","",'INPUT-SIF_Questions'!J185)</f>
        <v/>
      </c>
      <c r="D185" s="4" t="str">
        <f>IF(A185="","",'INPUT-SIF_Questions'!H185)</f>
        <v/>
      </c>
      <c r="E185" s="4" t="str">
        <f>IF(A185="","",'INPUT-SIF_Questions'!K185)</f>
        <v/>
      </c>
      <c r="F185" s="4" t="str">
        <f>IF(D185="","",IFERROR(VLOOKUP(D185,Helper_Protocol_Map!$A$2:$B$11,2,FALSE()),"OTHER"))</f>
        <v/>
      </c>
      <c r="G185" s="4" t="str">
        <f>IF(A185="","",N('INPUT-SIF_Questions'!M185)+N('INPUT-SIF_Questions'!N185)+N('INPUT-SIF_Questions'!O185))</f>
        <v/>
      </c>
      <c r="H185" s="4" t="str">
        <f t="shared" si="8"/>
        <v/>
      </c>
      <c r="I185" s="4" t="str">
        <f t="shared" si="9"/>
        <v/>
      </c>
      <c r="J185" s="4" t="str">
        <f>IF(A185="","",IF(AND('INPUT-SIF_Questions'!S185&lt;&gt;"",'INPUT-SIF_Questions'!V185&lt;&gt;"",'INPUT-SIF_Questions'!W185&lt;&gt;""),"PASS","WARNING"))</f>
        <v/>
      </c>
      <c r="K185" s="4" t="str">
        <f t="shared" si="10"/>
        <v/>
      </c>
      <c r="L185" s="4" t="str">
        <f t="shared" si="11"/>
        <v/>
      </c>
    </row>
    <row r="186" spans="1:12" ht="14.25" customHeight="1" x14ac:dyDescent="0.45">
      <c r="A186" s="4" t="str">
        <f>IF('INPUT-SIF_Questions'!A186="","",ROW())</f>
        <v/>
      </c>
      <c r="B186" s="4" t="str">
        <f>IF(A186="","",'INPUT-SIF_Questions'!A186)</f>
        <v/>
      </c>
      <c r="C186" s="4" t="str">
        <f>IF(A186="","",'INPUT-SIF_Questions'!J186)</f>
        <v/>
      </c>
      <c r="D186" s="4" t="str">
        <f>IF(A186="","",'INPUT-SIF_Questions'!H186)</f>
        <v/>
      </c>
      <c r="E186" s="4" t="str">
        <f>IF(A186="","",'INPUT-SIF_Questions'!K186)</f>
        <v/>
      </c>
      <c r="F186" s="4" t="str">
        <f>IF(D186="","",IFERROR(VLOOKUP(D186,Helper_Protocol_Map!$A$2:$B$11,2,FALSE()),"OTHER"))</f>
        <v/>
      </c>
      <c r="G186" s="4" t="str">
        <f>IF(A186="","",N('INPUT-SIF_Questions'!M186)+N('INPUT-SIF_Questions'!N186)+N('INPUT-SIF_Questions'!O186))</f>
        <v/>
      </c>
      <c r="H186" s="4" t="str">
        <f t="shared" si="8"/>
        <v/>
      </c>
      <c r="I186" s="4" t="str">
        <f t="shared" si="9"/>
        <v/>
      </c>
      <c r="J186" s="4" t="str">
        <f>IF(A186="","",IF(AND('INPUT-SIF_Questions'!S186&lt;&gt;"",'INPUT-SIF_Questions'!V186&lt;&gt;"",'INPUT-SIF_Questions'!W186&lt;&gt;""),"PASS","WARNING"))</f>
        <v/>
      </c>
      <c r="K186" s="4" t="str">
        <f t="shared" si="10"/>
        <v/>
      </c>
      <c r="L186" s="4" t="str">
        <f t="shared" si="11"/>
        <v/>
      </c>
    </row>
    <row r="187" spans="1:12" ht="14.25" customHeight="1" x14ac:dyDescent="0.45">
      <c r="A187" s="4" t="str">
        <f>IF('INPUT-SIF_Questions'!A187="","",ROW())</f>
        <v/>
      </c>
      <c r="B187" s="4" t="str">
        <f>IF(A187="","",'INPUT-SIF_Questions'!A187)</f>
        <v/>
      </c>
      <c r="C187" s="4" t="str">
        <f>IF(A187="","",'INPUT-SIF_Questions'!J187)</f>
        <v/>
      </c>
      <c r="D187" s="4" t="str">
        <f>IF(A187="","",'INPUT-SIF_Questions'!H187)</f>
        <v/>
      </c>
      <c r="E187" s="4" t="str">
        <f>IF(A187="","",'INPUT-SIF_Questions'!K187)</f>
        <v/>
      </c>
      <c r="F187" s="4" t="str">
        <f>IF(D187="","",IFERROR(VLOOKUP(D187,Helper_Protocol_Map!$A$2:$B$11,2,FALSE()),"OTHER"))</f>
        <v/>
      </c>
      <c r="G187" s="4" t="str">
        <f>IF(A187="","",N('INPUT-SIF_Questions'!M187)+N('INPUT-SIF_Questions'!N187)+N('INPUT-SIF_Questions'!O187))</f>
        <v/>
      </c>
      <c r="H187" s="4" t="str">
        <f t="shared" si="8"/>
        <v/>
      </c>
      <c r="I187" s="4" t="str">
        <f t="shared" si="9"/>
        <v/>
      </c>
      <c r="J187" s="4" t="str">
        <f>IF(A187="","",IF(AND('INPUT-SIF_Questions'!S187&lt;&gt;"",'INPUT-SIF_Questions'!V187&lt;&gt;"",'INPUT-SIF_Questions'!W187&lt;&gt;""),"PASS","WARNING"))</f>
        <v/>
      </c>
      <c r="K187" s="4" t="str">
        <f t="shared" si="10"/>
        <v/>
      </c>
      <c r="L187" s="4" t="str">
        <f t="shared" si="11"/>
        <v/>
      </c>
    </row>
    <row r="188" spans="1:12" ht="14.25" customHeight="1" x14ac:dyDescent="0.45">
      <c r="A188" s="4" t="str">
        <f>IF('INPUT-SIF_Questions'!A188="","",ROW())</f>
        <v/>
      </c>
      <c r="B188" s="4" t="str">
        <f>IF(A188="","",'INPUT-SIF_Questions'!A188)</f>
        <v/>
      </c>
      <c r="C188" s="4" t="str">
        <f>IF(A188="","",'INPUT-SIF_Questions'!J188)</f>
        <v/>
      </c>
      <c r="D188" s="4" t="str">
        <f>IF(A188="","",'INPUT-SIF_Questions'!H188)</f>
        <v/>
      </c>
      <c r="E188" s="4" t="str">
        <f>IF(A188="","",'INPUT-SIF_Questions'!K188)</f>
        <v/>
      </c>
      <c r="F188" s="4" t="str">
        <f>IF(D188="","",IFERROR(VLOOKUP(D188,Helper_Protocol_Map!$A$2:$B$11,2,FALSE()),"OTHER"))</f>
        <v/>
      </c>
      <c r="G188" s="4" t="str">
        <f>IF(A188="","",N('INPUT-SIF_Questions'!M188)+N('INPUT-SIF_Questions'!N188)+N('INPUT-SIF_Questions'!O188))</f>
        <v/>
      </c>
      <c r="H188" s="4" t="str">
        <f t="shared" si="8"/>
        <v/>
      </c>
      <c r="I188" s="4" t="str">
        <f t="shared" si="9"/>
        <v/>
      </c>
      <c r="J188" s="4" t="str">
        <f>IF(A188="","",IF(AND('INPUT-SIF_Questions'!S188&lt;&gt;"",'INPUT-SIF_Questions'!V188&lt;&gt;"",'INPUT-SIF_Questions'!W188&lt;&gt;""),"PASS","WARNING"))</f>
        <v/>
      </c>
      <c r="K188" s="4" t="str">
        <f t="shared" si="10"/>
        <v/>
      </c>
      <c r="L188" s="4" t="str">
        <f t="shared" si="11"/>
        <v/>
      </c>
    </row>
    <row r="189" spans="1:12" ht="14.25" customHeight="1" x14ac:dyDescent="0.45">
      <c r="A189" s="4" t="str">
        <f>IF('INPUT-SIF_Questions'!A189="","",ROW())</f>
        <v/>
      </c>
      <c r="B189" s="4" t="str">
        <f>IF(A189="","",'INPUT-SIF_Questions'!A189)</f>
        <v/>
      </c>
      <c r="C189" s="4" t="str">
        <f>IF(A189="","",'INPUT-SIF_Questions'!J189)</f>
        <v/>
      </c>
      <c r="D189" s="4" t="str">
        <f>IF(A189="","",'INPUT-SIF_Questions'!H189)</f>
        <v/>
      </c>
      <c r="E189" s="4" t="str">
        <f>IF(A189="","",'INPUT-SIF_Questions'!K189)</f>
        <v/>
      </c>
      <c r="F189" s="4" t="str">
        <f>IF(D189="","",IFERROR(VLOOKUP(D189,Helper_Protocol_Map!$A$2:$B$11,2,FALSE()),"OTHER"))</f>
        <v/>
      </c>
      <c r="G189" s="4" t="str">
        <f>IF(A189="","",N('INPUT-SIF_Questions'!M189)+N('INPUT-SIF_Questions'!N189)+N('INPUT-SIF_Questions'!O189))</f>
        <v/>
      </c>
      <c r="H189" s="4" t="str">
        <f t="shared" si="8"/>
        <v/>
      </c>
      <c r="I189" s="4" t="str">
        <f t="shared" si="9"/>
        <v/>
      </c>
      <c r="J189" s="4" t="str">
        <f>IF(A189="","",IF(AND('INPUT-SIF_Questions'!S189&lt;&gt;"",'INPUT-SIF_Questions'!V189&lt;&gt;"",'INPUT-SIF_Questions'!W189&lt;&gt;""),"PASS","WARNING"))</f>
        <v/>
      </c>
      <c r="K189" s="4" t="str">
        <f t="shared" si="10"/>
        <v/>
      </c>
      <c r="L189" s="4" t="str">
        <f t="shared" si="11"/>
        <v/>
      </c>
    </row>
    <row r="190" spans="1:12" ht="14.25" customHeight="1" x14ac:dyDescent="0.45">
      <c r="A190" s="4" t="str">
        <f>IF('INPUT-SIF_Questions'!A190="","",ROW())</f>
        <v/>
      </c>
      <c r="B190" s="4" t="str">
        <f>IF(A190="","",'INPUT-SIF_Questions'!A190)</f>
        <v/>
      </c>
      <c r="C190" s="4" t="str">
        <f>IF(A190="","",'INPUT-SIF_Questions'!J190)</f>
        <v/>
      </c>
      <c r="D190" s="4" t="str">
        <f>IF(A190="","",'INPUT-SIF_Questions'!H190)</f>
        <v/>
      </c>
      <c r="E190" s="4" t="str">
        <f>IF(A190="","",'INPUT-SIF_Questions'!K190)</f>
        <v/>
      </c>
      <c r="F190" s="4" t="str">
        <f>IF(D190="","",IFERROR(VLOOKUP(D190,Helper_Protocol_Map!$A$2:$B$11,2,FALSE()),"OTHER"))</f>
        <v/>
      </c>
      <c r="G190" s="4" t="str">
        <f>IF(A190="","",N('INPUT-SIF_Questions'!M190)+N('INPUT-SIF_Questions'!N190)+N('INPUT-SIF_Questions'!O190))</f>
        <v/>
      </c>
      <c r="H190" s="4" t="str">
        <f t="shared" si="8"/>
        <v/>
      </c>
      <c r="I190" s="4" t="str">
        <f t="shared" si="9"/>
        <v/>
      </c>
      <c r="J190" s="4" t="str">
        <f>IF(A190="","",IF(AND('INPUT-SIF_Questions'!S190&lt;&gt;"",'INPUT-SIF_Questions'!V190&lt;&gt;"",'INPUT-SIF_Questions'!W190&lt;&gt;""),"PASS","WARNING"))</f>
        <v/>
      </c>
      <c r="K190" s="4" t="str">
        <f t="shared" si="10"/>
        <v/>
      </c>
      <c r="L190" s="4" t="str">
        <f t="shared" si="11"/>
        <v/>
      </c>
    </row>
    <row r="191" spans="1:12" ht="14.25" customHeight="1" x14ac:dyDescent="0.45">
      <c r="A191" s="4" t="str">
        <f>IF('INPUT-SIF_Questions'!A191="","",ROW())</f>
        <v/>
      </c>
      <c r="B191" s="4" t="str">
        <f>IF(A191="","",'INPUT-SIF_Questions'!A191)</f>
        <v/>
      </c>
      <c r="C191" s="4" t="str">
        <f>IF(A191="","",'INPUT-SIF_Questions'!J191)</f>
        <v/>
      </c>
      <c r="D191" s="4" t="str">
        <f>IF(A191="","",'INPUT-SIF_Questions'!H191)</f>
        <v/>
      </c>
      <c r="E191" s="4" t="str">
        <f>IF(A191="","",'INPUT-SIF_Questions'!K191)</f>
        <v/>
      </c>
      <c r="F191" s="4" t="str">
        <f>IF(D191="","",IFERROR(VLOOKUP(D191,Helper_Protocol_Map!$A$2:$B$11,2,FALSE()),"OTHER"))</f>
        <v/>
      </c>
      <c r="G191" s="4" t="str">
        <f>IF(A191="","",N('INPUT-SIF_Questions'!M191)+N('INPUT-SIF_Questions'!N191)+N('INPUT-SIF_Questions'!O191))</f>
        <v/>
      </c>
      <c r="H191" s="4" t="str">
        <f t="shared" si="8"/>
        <v/>
      </c>
      <c r="I191" s="4" t="str">
        <f t="shared" si="9"/>
        <v/>
      </c>
      <c r="J191" s="4" t="str">
        <f>IF(A191="","",IF(AND('INPUT-SIF_Questions'!S191&lt;&gt;"",'INPUT-SIF_Questions'!V191&lt;&gt;"",'INPUT-SIF_Questions'!W191&lt;&gt;""),"PASS","WARNING"))</f>
        <v/>
      </c>
      <c r="K191" s="4" t="str">
        <f t="shared" si="10"/>
        <v/>
      </c>
      <c r="L191" s="4" t="str">
        <f t="shared" si="11"/>
        <v/>
      </c>
    </row>
    <row r="192" spans="1:12" ht="14.25" customHeight="1" x14ac:dyDescent="0.45">
      <c r="A192" s="4" t="str">
        <f>IF('INPUT-SIF_Questions'!A192="","",ROW())</f>
        <v/>
      </c>
      <c r="B192" s="4" t="str">
        <f>IF(A192="","",'INPUT-SIF_Questions'!A192)</f>
        <v/>
      </c>
      <c r="C192" s="4" t="str">
        <f>IF(A192="","",'INPUT-SIF_Questions'!J192)</f>
        <v/>
      </c>
      <c r="D192" s="4" t="str">
        <f>IF(A192="","",'INPUT-SIF_Questions'!H192)</f>
        <v/>
      </c>
      <c r="E192" s="4" t="str">
        <f>IF(A192="","",'INPUT-SIF_Questions'!K192)</f>
        <v/>
      </c>
      <c r="F192" s="4" t="str">
        <f>IF(D192="","",IFERROR(VLOOKUP(D192,Helper_Protocol_Map!$A$2:$B$11,2,FALSE()),"OTHER"))</f>
        <v/>
      </c>
      <c r="G192" s="4" t="str">
        <f>IF(A192="","",N('INPUT-SIF_Questions'!M192)+N('INPUT-SIF_Questions'!N192)+N('INPUT-SIF_Questions'!O192))</f>
        <v/>
      </c>
      <c r="H192" s="4" t="str">
        <f t="shared" si="8"/>
        <v/>
      </c>
      <c r="I192" s="4" t="str">
        <f t="shared" si="9"/>
        <v/>
      </c>
      <c r="J192" s="4" t="str">
        <f>IF(A192="","",IF(AND('INPUT-SIF_Questions'!S192&lt;&gt;"",'INPUT-SIF_Questions'!V192&lt;&gt;"",'INPUT-SIF_Questions'!W192&lt;&gt;""),"PASS","WARNING"))</f>
        <v/>
      </c>
      <c r="K192" s="4" t="str">
        <f t="shared" si="10"/>
        <v/>
      </c>
      <c r="L192" s="4" t="str">
        <f t="shared" si="11"/>
        <v/>
      </c>
    </row>
    <row r="193" spans="1:12" ht="14.25" customHeight="1" x14ac:dyDescent="0.45">
      <c r="A193" s="4" t="str">
        <f>IF('INPUT-SIF_Questions'!A193="","",ROW())</f>
        <v/>
      </c>
      <c r="B193" s="4" t="str">
        <f>IF(A193="","",'INPUT-SIF_Questions'!A193)</f>
        <v/>
      </c>
      <c r="C193" s="4" t="str">
        <f>IF(A193="","",'INPUT-SIF_Questions'!J193)</f>
        <v/>
      </c>
      <c r="D193" s="4" t="str">
        <f>IF(A193="","",'INPUT-SIF_Questions'!H193)</f>
        <v/>
      </c>
      <c r="E193" s="4" t="str">
        <f>IF(A193="","",'INPUT-SIF_Questions'!K193)</f>
        <v/>
      </c>
      <c r="F193" s="4" t="str">
        <f>IF(D193="","",IFERROR(VLOOKUP(D193,Helper_Protocol_Map!$A$2:$B$11,2,FALSE()),"OTHER"))</f>
        <v/>
      </c>
      <c r="G193" s="4" t="str">
        <f>IF(A193="","",N('INPUT-SIF_Questions'!M193)+N('INPUT-SIF_Questions'!N193)+N('INPUT-SIF_Questions'!O193))</f>
        <v/>
      </c>
      <c r="H193" s="4" t="str">
        <f t="shared" si="8"/>
        <v/>
      </c>
      <c r="I193" s="4" t="str">
        <f t="shared" si="9"/>
        <v/>
      </c>
      <c r="J193" s="4" t="str">
        <f>IF(A193="","",IF(AND('INPUT-SIF_Questions'!S193&lt;&gt;"",'INPUT-SIF_Questions'!V193&lt;&gt;"",'INPUT-SIF_Questions'!W193&lt;&gt;""),"PASS","WARNING"))</f>
        <v/>
      </c>
      <c r="K193" s="4" t="str">
        <f t="shared" si="10"/>
        <v/>
      </c>
      <c r="L193" s="4" t="str">
        <f t="shared" si="11"/>
        <v/>
      </c>
    </row>
    <row r="194" spans="1:12" ht="14.25" customHeight="1" x14ac:dyDescent="0.45">
      <c r="A194" s="4" t="str">
        <f>IF('INPUT-SIF_Questions'!A194="","",ROW())</f>
        <v/>
      </c>
      <c r="B194" s="4" t="str">
        <f>IF(A194="","",'INPUT-SIF_Questions'!A194)</f>
        <v/>
      </c>
      <c r="C194" s="4" t="str">
        <f>IF(A194="","",'INPUT-SIF_Questions'!J194)</f>
        <v/>
      </c>
      <c r="D194" s="4" t="str">
        <f>IF(A194="","",'INPUT-SIF_Questions'!H194)</f>
        <v/>
      </c>
      <c r="E194" s="4" t="str">
        <f>IF(A194="","",'INPUT-SIF_Questions'!K194)</f>
        <v/>
      </c>
      <c r="F194" s="4" t="str">
        <f>IF(D194="","",IFERROR(VLOOKUP(D194,Helper_Protocol_Map!$A$2:$B$11,2,FALSE()),"OTHER"))</f>
        <v/>
      </c>
      <c r="G194" s="4" t="str">
        <f>IF(A194="","",N('INPUT-SIF_Questions'!M194)+N('INPUT-SIF_Questions'!N194)+N('INPUT-SIF_Questions'!O194))</f>
        <v/>
      </c>
      <c r="H194" s="4" t="str">
        <f t="shared" ref="H194:H250" si="12">IF(A194="","",IF(LEFT(E194,6)=F194,"PASS","FAIL"))</f>
        <v/>
      </c>
      <c r="I194" s="4" t="str">
        <f t="shared" ref="I194:I250" si="13">IF(A194="","",IF(G194=1,"PASS","FAIL"))</f>
        <v/>
      </c>
      <c r="J194" s="4" t="str">
        <f>IF(A194="","",IF(AND('INPUT-SIF_Questions'!S194&lt;&gt;"",'INPUT-SIF_Questions'!V194&lt;&gt;"",'INPUT-SIF_Questions'!W194&lt;&gt;""),"PASS","WARNING"))</f>
        <v/>
      </c>
      <c r="K194" s="4" t="str">
        <f t="shared" ref="K194:K250" si="14">IF(A194="","",IF(OR(H194="FAIL",I194="FAIL"),"FAIL",IF(J194="WARNING","WARNING","PASS")))</f>
        <v/>
      </c>
      <c r="L194" s="4" t="str">
        <f t="shared" ref="L194:L250" si="15">IF(A194="","",IF(H194="FAIL","Protocol/CCVC mismatch; ","")&amp;IF(I194="FAIL","YES/NO/NA selection invalid; ","")&amp;IF(J194="WARNING","Date/Zona/Site incomplete",""))</f>
        <v/>
      </c>
    </row>
    <row r="195" spans="1:12" ht="14.25" customHeight="1" x14ac:dyDescent="0.45">
      <c r="A195" s="4" t="str">
        <f>IF('INPUT-SIF_Questions'!A195="","",ROW())</f>
        <v/>
      </c>
      <c r="B195" s="4" t="str">
        <f>IF(A195="","",'INPUT-SIF_Questions'!A195)</f>
        <v/>
      </c>
      <c r="C195" s="4" t="str">
        <f>IF(A195="","",'INPUT-SIF_Questions'!J195)</f>
        <v/>
      </c>
      <c r="D195" s="4" t="str">
        <f>IF(A195="","",'INPUT-SIF_Questions'!H195)</f>
        <v/>
      </c>
      <c r="E195" s="4" t="str">
        <f>IF(A195="","",'INPUT-SIF_Questions'!K195)</f>
        <v/>
      </c>
      <c r="F195" s="4" t="str">
        <f>IF(D195="","",IFERROR(VLOOKUP(D195,Helper_Protocol_Map!$A$2:$B$11,2,FALSE()),"OTHER"))</f>
        <v/>
      </c>
      <c r="G195" s="4" t="str">
        <f>IF(A195="","",N('INPUT-SIF_Questions'!M195)+N('INPUT-SIF_Questions'!N195)+N('INPUT-SIF_Questions'!O195))</f>
        <v/>
      </c>
      <c r="H195" s="4" t="str">
        <f t="shared" si="12"/>
        <v/>
      </c>
      <c r="I195" s="4" t="str">
        <f t="shared" si="13"/>
        <v/>
      </c>
      <c r="J195" s="4" t="str">
        <f>IF(A195="","",IF(AND('INPUT-SIF_Questions'!S195&lt;&gt;"",'INPUT-SIF_Questions'!V195&lt;&gt;"",'INPUT-SIF_Questions'!W195&lt;&gt;""),"PASS","WARNING"))</f>
        <v/>
      </c>
      <c r="K195" s="4" t="str">
        <f t="shared" si="14"/>
        <v/>
      </c>
      <c r="L195" s="4" t="str">
        <f t="shared" si="15"/>
        <v/>
      </c>
    </row>
    <row r="196" spans="1:12" ht="14.25" customHeight="1" x14ac:dyDescent="0.45">
      <c r="A196" s="4" t="str">
        <f>IF('INPUT-SIF_Questions'!A196="","",ROW())</f>
        <v/>
      </c>
      <c r="B196" s="4" t="str">
        <f>IF(A196="","",'INPUT-SIF_Questions'!A196)</f>
        <v/>
      </c>
      <c r="C196" s="4" t="str">
        <f>IF(A196="","",'INPUT-SIF_Questions'!J196)</f>
        <v/>
      </c>
      <c r="D196" s="4" t="str">
        <f>IF(A196="","",'INPUT-SIF_Questions'!H196)</f>
        <v/>
      </c>
      <c r="E196" s="4" t="str">
        <f>IF(A196="","",'INPUT-SIF_Questions'!K196)</f>
        <v/>
      </c>
      <c r="F196" s="4" t="str">
        <f>IF(D196="","",IFERROR(VLOOKUP(D196,Helper_Protocol_Map!$A$2:$B$11,2,FALSE()),"OTHER"))</f>
        <v/>
      </c>
      <c r="G196" s="4" t="str">
        <f>IF(A196="","",N('INPUT-SIF_Questions'!M196)+N('INPUT-SIF_Questions'!N196)+N('INPUT-SIF_Questions'!O196))</f>
        <v/>
      </c>
      <c r="H196" s="4" t="str">
        <f t="shared" si="12"/>
        <v/>
      </c>
      <c r="I196" s="4" t="str">
        <f t="shared" si="13"/>
        <v/>
      </c>
      <c r="J196" s="4" t="str">
        <f>IF(A196="","",IF(AND('INPUT-SIF_Questions'!S196&lt;&gt;"",'INPUT-SIF_Questions'!V196&lt;&gt;"",'INPUT-SIF_Questions'!W196&lt;&gt;""),"PASS","WARNING"))</f>
        <v/>
      </c>
      <c r="K196" s="4" t="str">
        <f t="shared" si="14"/>
        <v/>
      </c>
      <c r="L196" s="4" t="str">
        <f t="shared" si="15"/>
        <v/>
      </c>
    </row>
    <row r="197" spans="1:12" ht="14.25" customHeight="1" x14ac:dyDescent="0.45">
      <c r="A197" s="4" t="str">
        <f>IF('INPUT-SIF_Questions'!A197="","",ROW())</f>
        <v/>
      </c>
      <c r="B197" s="4" t="str">
        <f>IF(A197="","",'INPUT-SIF_Questions'!A197)</f>
        <v/>
      </c>
      <c r="C197" s="4" t="str">
        <f>IF(A197="","",'INPUT-SIF_Questions'!J197)</f>
        <v/>
      </c>
      <c r="D197" s="4" t="str">
        <f>IF(A197="","",'INPUT-SIF_Questions'!H197)</f>
        <v/>
      </c>
      <c r="E197" s="4" t="str">
        <f>IF(A197="","",'INPUT-SIF_Questions'!K197)</f>
        <v/>
      </c>
      <c r="F197" s="4" t="str">
        <f>IF(D197="","",IFERROR(VLOOKUP(D197,Helper_Protocol_Map!$A$2:$B$11,2,FALSE()),"OTHER"))</f>
        <v/>
      </c>
      <c r="G197" s="4" t="str">
        <f>IF(A197="","",N('INPUT-SIF_Questions'!M197)+N('INPUT-SIF_Questions'!N197)+N('INPUT-SIF_Questions'!O197))</f>
        <v/>
      </c>
      <c r="H197" s="4" t="str">
        <f t="shared" si="12"/>
        <v/>
      </c>
      <c r="I197" s="4" t="str">
        <f t="shared" si="13"/>
        <v/>
      </c>
      <c r="J197" s="4" t="str">
        <f>IF(A197="","",IF(AND('INPUT-SIF_Questions'!S197&lt;&gt;"",'INPUT-SIF_Questions'!V197&lt;&gt;"",'INPUT-SIF_Questions'!W197&lt;&gt;""),"PASS","WARNING"))</f>
        <v/>
      </c>
      <c r="K197" s="4" t="str">
        <f t="shared" si="14"/>
        <v/>
      </c>
      <c r="L197" s="4" t="str">
        <f t="shared" si="15"/>
        <v/>
      </c>
    </row>
    <row r="198" spans="1:12" ht="14.25" customHeight="1" x14ac:dyDescent="0.45">
      <c r="A198" s="4" t="str">
        <f>IF('INPUT-SIF_Questions'!A198="","",ROW())</f>
        <v/>
      </c>
      <c r="B198" s="4" t="str">
        <f>IF(A198="","",'INPUT-SIF_Questions'!A198)</f>
        <v/>
      </c>
      <c r="C198" s="4" t="str">
        <f>IF(A198="","",'INPUT-SIF_Questions'!J198)</f>
        <v/>
      </c>
      <c r="D198" s="4" t="str">
        <f>IF(A198="","",'INPUT-SIF_Questions'!H198)</f>
        <v/>
      </c>
      <c r="E198" s="4" t="str">
        <f>IF(A198="","",'INPUT-SIF_Questions'!K198)</f>
        <v/>
      </c>
      <c r="F198" s="4" t="str">
        <f>IF(D198="","",IFERROR(VLOOKUP(D198,Helper_Protocol_Map!$A$2:$B$11,2,FALSE()),"OTHER"))</f>
        <v/>
      </c>
      <c r="G198" s="4" t="str">
        <f>IF(A198="","",N('INPUT-SIF_Questions'!M198)+N('INPUT-SIF_Questions'!N198)+N('INPUT-SIF_Questions'!O198))</f>
        <v/>
      </c>
      <c r="H198" s="4" t="str">
        <f t="shared" si="12"/>
        <v/>
      </c>
      <c r="I198" s="4" t="str">
        <f t="shared" si="13"/>
        <v/>
      </c>
      <c r="J198" s="4" t="str">
        <f>IF(A198="","",IF(AND('INPUT-SIF_Questions'!S198&lt;&gt;"",'INPUT-SIF_Questions'!V198&lt;&gt;"",'INPUT-SIF_Questions'!W198&lt;&gt;""),"PASS","WARNING"))</f>
        <v/>
      </c>
      <c r="K198" s="4" t="str">
        <f t="shared" si="14"/>
        <v/>
      </c>
      <c r="L198" s="4" t="str">
        <f t="shared" si="15"/>
        <v/>
      </c>
    </row>
    <row r="199" spans="1:12" ht="14.25" customHeight="1" x14ac:dyDescent="0.45">
      <c r="A199" s="4" t="str">
        <f>IF('INPUT-SIF_Questions'!A199="","",ROW())</f>
        <v/>
      </c>
      <c r="B199" s="4" t="str">
        <f>IF(A199="","",'INPUT-SIF_Questions'!A199)</f>
        <v/>
      </c>
      <c r="C199" s="4" t="str">
        <f>IF(A199="","",'INPUT-SIF_Questions'!J199)</f>
        <v/>
      </c>
      <c r="D199" s="4" t="str">
        <f>IF(A199="","",'INPUT-SIF_Questions'!H199)</f>
        <v/>
      </c>
      <c r="E199" s="4" t="str">
        <f>IF(A199="","",'INPUT-SIF_Questions'!K199)</f>
        <v/>
      </c>
      <c r="F199" s="4" t="str">
        <f>IF(D199="","",IFERROR(VLOOKUP(D199,Helper_Protocol_Map!$A$2:$B$11,2,FALSE()),"OTHER"))</f>
        <v/>
      </c>
      <c r="G199" s="4" t="str">
        <f>IF(A199="","",N('INPUT-SIF_Questions'!M199)+N('INPUT-SIF_Questions'!N199)+N('INPUT-SIF_Questions'!O199))</f>
        <v/>
      </c>
      <c r="H199" s="4" t="str">
        <f t="shared" si="12"/>
        <v/>
      </c>
      <c r="I199" s="4" t="str">
        <f t="shared" si="13"/>
        <v/>
      </c>
      <c r="J199" s="4" t="str">
        <f>IF(A199="","",IF(AND('INPUT-SIF_Questions'!S199&lt;&gt;"",'INPUT-SIF_Questions'!V199&lt;&gt;"",'INPUT-SIF_Questions'!W199&lt;&gt;""),"PASS","WARNING"))</f>
        <v/>
      </c>
      <c r="K199" s="4" t="str">
        <f t="shared" si="14"/>
        <v/>
      </c>
      <c r="L199" s="4" t="str">
        <f t="shared" si="15"/>
        <v/>
      </c>
    </row>
    <row r="200" spans="1:12" ht="14.25" customHeight="1" x14ac:dyDescent="0.45">
      <c r="A200" s="4" t="str">
        <f>IF('INPUT-SIF_Questions'!A200="","",ROW())</f>
        <v/>
      </c>
      <c r="B200" s="4" t="str">
        <f>IF(A200="","",'INPUT-SIF_Questions'!A200)</f>
        <v/>
      </c>
      <c r="C200" s="4" t="str">
        <f>IF(A200="","",'INPUT-SIF_Questions'!J200)</f>
        <v/>
      </c>
      <c r="D200" s="4" t="str">
        <f>IF(A200="","",'INPUT-SIF_Questions'!H200)</f>
        <v/>
      </c>
      <c r="E200" s="4" t="str">
        <f>IF(A200="","",'INPUT-SIF_Questions'!K200)</f>
        <v/>
      </c>
      <c r="F200" s="4" t="str">
        <f>IF(D200="","",IFERROR(VLOOKUP(D200,Helper_Protocol_Map!$A$2:$B$11,2,FALSE()),"OTHER"))</f>
        <v/>
      </c>
      <c r="G200" s="4" t="str">
        <f>IF(A200="","",N('INPUT-SIF_Questions'!M200)+N('INPUT-SIF_Questions'!N200)+N('INPUT-SIF_Questions'!O200))</f>
        <v/>
      </c>
      <c r="H200" s="4" t="str">
        <f t="shared" si="12"/>
        <v/>
      </c>
      <c r="I200" s="4" t="str">
        <f t="shared" si="13"/>
        <v/>
      </c>
      <c r="J200" s="4" t="str">
        <f>IF(A200="","",IF(AND('INPUT-SIF_Questions'!S200&lt;&gt;"",'INPUT-SIF_Questions'!V200&lt;&gt;"",'INPUT-SIF_Questions'!W200&lt;&gt;""),"PASS","WARNING"))</f>
        <v/>
      </c>
      <c r="K200" s="4" t="str">
        <f t="shared" si="14"/>
        <v/>
      </c>
      <c r="L200" s="4" t="str">
        <f t="shared" si="15"/>
        <v/>
      </c>
    </row>
    <row r="201" spans="1:12" ht="14.25" customHeight="1" x14ac:dyDescent="0.45">
      <c r="A201" s="4" t="str">
        <f>IF('INPUT-SIF_Questions'!A201="","",ROW())</f>
        <v/>
      </c>
      <c r="B201" s="4" t="str">
        <f>IF(A201="","",'INPUT-SIF_Questions'!A201)</f>
        <v/>
      </c>
      <c r="C201" s="4" t="str">
        <f>IF(A201="","",'INPUT-SIF_Questions'!J201)</f>
        <v/>
      </c>
      <c r="D201" s="4" t="str">
        <f>IF(A201="","",'INPUT-SIF_Questions'!H201)</f>
        <v/>
      </c>
      <c r="E201" s="4" t="str">
        <f>IF(A201="","",'INPUT-SIF_Questions'!K201)</f>
        <v/>
      </c>
      <c r="F201" s="4" t="str">
        <f>IF(D201="","",IFERROR(VLOOKUP(D201,Helper_Protocol_Map!$A$2:$B$11,2,FALSE()),"OTHER"))</f>
        <v/>
      </c>
      <c r="G201" s="4" t="str">
        <f>IF(A201="","",N('INPUT-SIF_Questions'!M201)+N('INPUT-SIF_Questions'!N201)+N('INPUT-SIF_Questions'!O201))</f>
        <v/>
      </c>
      <c r="H201" s="4" t="str">
        <f t="shared" si="12"/>
        <v/>
      </c>
      <c r="I201" s="4" t="str">
        <f t="shared" si="13"/>
        <v/>
      </c>
      <c r="J201" s="4" t="str">
        <f>IF(A201="","",IF(AND('INPUT-SIF_Questions'!S201&lt;&gt;"",'INPUT-SIF_Questions'!V201&lt;&gt;"",'INPUT-SIF_Questions'!W201&lt;&gt;""),"PASS","WARNING"))</f>
        <v/>
      </c>
      <c r="K201" s="4" t="str">
        <f t="shared" si="14"/>
        <v/>
      </c>
      <c r="L201" s="4" t="str">
        <f t="shared" si="15"/>
        <v/>
      </c>
    </row>
    <row r="202" spans="1:12" ht="14.25" customHeight="1" x14ac:dyDescent="0.45">
      <c r="A202" s="4" t="str">
        <f>IF('INPUT-SIF_Questions'!A202="","",ROW())</f>
        <v/>
      </c>
      <c r="B202" s="4" t="str">
        <f>IF(A202="","",'INPUT-SIF_Questions'!A202)</f>
        <v/>
      </c>
      <c r="C202" s="4" t="str">
        <f>IF(A202="","",'INPUT-SIF_Questions'!J202)</f>
        <v/>
      </c>
      <c r="D202" s="4" t="str">
        <f>IF(A202="","",'INPUT-SIF_Questions'!H202)</f>
        <v/>
      </c>
      <c r="E202" s="4" t="str">
        <f>IF(A202="","",'INPUT-SIF_Questions'!K202)</f>
        <v/>
      </c>
      <c r="F202" s="4" t="str">
        <f>IF(D202="","",IFERROR(VLOOKUP(D202,Helper_Protocol_Map!$A$2:$B$11,2,FALSE()),"OTHER"))</f>
        <v/>
      </c>
      <c r="G202" s="4" t="str">
        <f>IF(A202="","",N('INPUT-SIF_Questions'!M202)+N('INPUT-SIF_Questions'!N202)+N('INPUT-SIF_Questions'!O202))</f>
        <v/>
      </c>
      <c r="H202" s="4" t="str">
        <f t="shared" si="12"/>
        <v/>
      </c>
      <c r="I202" s="4" t="str">
        <f t="shared" si="13"/>
        <v/>
      </c>
      <c r="J202" s="4" t="str">
        <f>IF(A202="","",IF(AND('INPUT-SIF_Questions'!S202&lt;&gt;"",'INPUT-SIF_Questions'!V202&lt;&gt;"",'INPUT-SIF_Questions'!W202&lt;&gt;""),"PASS","WARNING"))</f>
        <v/>
      </c>
      <c r="K202" s="4" t="str">
        <f t="shared" si="14"/>
        <v/>
      </c>
      <c r="L202" s="4" t="str">
        <f t="shared" si="15"/>
        <v/>
      </c>
    </row>
    <row r="203" spans="1:12" ht="14.25" customHeight="1" x14ac:dyDescent="0.45">
      <c r="A203" s="4" t="str">
        <f>IF('INPUT-SIF_Questions'!A203="","",ROW())</f>
        <v/>
      </c>
      <c r="B203" s="4" t="str">
        <f>IF(A203="","",'INPUT-SIF_Questions'!A203)</f>
        <v/>
      </c>
      <c r="C203" s="4" t="str">
        <f>IF(A203="","",'INPUT-SIF_Questions'!J203)</f>
        <v/>
      </c>
      <c r="D203" s="4" t="str">
        <f>IF(A203="","",'INPUT-SIF_Questions'!H203)</f>
        <v/>
      </c>
      <c r="E203" s="4" t="str">
        <f>IF(A203="","",'INPUT-SIF_Questions'!K203)</f>
        <v/>
      </c>
      <c r="F203" s="4" t="str">
        <f>IF(D203="","",IFERROR(VLOOKUP(D203,Helper_Protocol_Map!$A$2:$B$11,2,FALSE()),"OTHER"))</f>
        <v/>
      </c>
      <c r="G203" s="4" t="str">
        <f>IF(A203="","",N('INPUT-SIF_Questions'!M203)+N('INPUT-SIF_Questions'!N203)+N('INPUT-SIF_Questions'!O203))</f>
        <v/>
      </c>
      <c r="H203" s="4" t="str">
        <f t="shared" si="12"/>
        <v/>
      </c>
      <c r="I203" s="4" t="str">
        <f t="shared" si="13"/>
        <v/>
      </c>
      <c r="J203" s="4" t="str">
        <f>IF(A203="","",IF(AND('INPUT-SIF_Questions'!S203&lt;&gt;"",'INPUT-SIF_Questions'!V203&lt;&gt;"",'INPUT-SIF_Questions'!W203&lt;&gt;""),"PASS","WARNING"))</f>
        <v/>
      </c>
      <c r="K203" s="4" t="str">
        <f t="shared" si="14"/>
        <v/>
      </c>
      <c r="L203" s="4" t="str">
        <f t="shared" si="15"/>
        <v/>
      </c>
    </row>
    <row r="204" spans="1:12" ht="14.25" customHeight="1" x14ac:dyDescent="0.45">
      <c r="A204" s="4" t="str">
        <f>IF('INPUT-SIF_Questions'!A204="","",ROW())</f>
        <v/>
      </c>
      <c r="B204" s="4" t="str">
        <f>IF(A204="","",'INPUT-SIF_Questions'!A204)</f>
        <v/>
      </c>
      <c r="C204" s="4" t="str">
        <f>IF(A204="","",'INPUT-SIF_Questions'!J204)</f>
        <v/>
      </c>
      <c r="D204" s="4" t="str">
        <f>IF(A204="","",'INPUT-SIF_Questions'!H204)</f>
        <v/>
      </c>
      <c r="E204" s="4" t="str">
        <f>IF(A204="","",'INPUT-SIF_Questions'!K204)</f>
        <v/>
      </c>
      <c r="F204" s="4" t="str">
        <f>IF(D204="","",IFERROR(VLOOKUP(D204,Helper_Protocol_Map!$A$2:$B$11,2,FALSE()),"OTHER"))</f>
        <v/>
      </c>
      <c r="G204" s="4" t="str">
        <f>IF(A204="","",N('INPUT-SIF_Questions'!M204)+N('INPUT-SIF_Questions'!N204)+N('INPUT-SIF_Questions'!O204))</f>
        <v/>
      </c>
      <c r="H204" s="4" t="str">
        <f t="shared" si="12"/>
        <v/>
      </c>
      <c r="I204" s="4" t="str">
        <f t="shared" si="13"/>
        <v/>
      </c>
      <c r="J204" s="4" t="str">
        <f>IF(A204="","",IF(AND('INPUT-SIF_Questions'!S204&lt;&gt;"",'INPUT-SIF_Questions'!V204&lt;&gt;"",'INPUT-SIF_Questions'!W204&lt;&gt;""),"PASS","WARNING"))</f>
        <v/>
      </c>
      <c r="K204" s="4" t="str">
        <f t="shared" si="14"/>
        <v/>
      </c>
      <c r="L204" s="4" t="str">
        <f t="shared" si="15"/>
        <v/>
      </c>
    </row>
    <row r="205" spans="1:12" ht="14.25" customHeight="1" x14ac:dyDescent="0.45">
      <c r="A205" s="4" t="str">
        <f>IF('INPUT-SIF_Questions'!A205="","",ROW())</f>
        <v/>
      </c>
      <c r="B205" s="4" t="str">
        <f>IF(A205="","",'INPUT-SIF_Questions'!A205)</f>
        <v/>
      </c>
      <c r="C205" s="4" t="str">
        <f>IF(A205="","",'INPUT-SIF_Questions'!J205)</f>
        <v/>
      </c>
      <c r="D205" s="4" t="str">
        <f>IF(A205="","",'INPUT-SIF_Questions'!H205)</f>
        <v/>
      </c>
      <c r="E205" s="4" t="str">
        <f>IF(A205="","",'INPUT-SIF_Questions'!K205)</f>
        <v/>
      </c>
      <c r="F205" s="4" t="str">
        <f>IF(D205="","",IFERROR(VLOOKUP(D205,Helper_Protocol_Map!$A$2:$B$11,2,FALSE()),"OTHER"))</f>
        <v/>
      </c>
      <c r="G205" s="4" t="str">
        <f>IF(A205="","",N('INPUT-SIF_Questions'!M205)+N('INPUT-SIF_Questions'!N205)+N('INPUT-SIF_Questions'!O205))</f>
        <v/>
      </c>
      <c r="H205" s="4" t="str">
        <f t="shared" si="12"/>
        <v/>
      </c>
      <c r="I205" s="4" t="str">
        <f t="shared" si="13"/>
        <v/>
      </c>
      <c r="J205" s="4" t="str">
        <f>IF(A205="","",IF(AND('INPUT-SIF_Questions'!S205&lt;&gt;"",'INPUT-SIF_Questions'!V205&lt;&gt;"",'INPUT-SIF_Questions'!W205&lt;&gt;""),"PASS","WARNING"))</f>
        <v/>
      </c>
      <c r="K205" s="4" t="str">
        <f t="shared" si="14"/>
        <v/>
      </c>
      <c r="L205" s="4" t="str">
        <f t="shared" si="15"/>
        <v/>
      </c>
    </row>
    <row r="206" spans="1:12" ht="14.25" customHeight="1" x14ac:dyDescent="0.45">
      <c r="A206" s="4" t="str">
        <f>IF('INPUT-SIF_Questions'!A206="","",ROW())</f>
        <v/>
      </c>
      <c r="B206" s="4" t="str">
        <f>IF(A206="","",'INPUT-SIF_Questions'!A206)</f>
        <v/>
      </c>
      <c r="C206" s="4" t="str">
        <f>IF(A206="","",'INPUT-SIF_Questions'!J206)</f>
        <v/>
      </c>
      <c r="D206" s="4" t="str">
        <f>IF(A206="","",'INPUT-SIF_Questions'!H206)</f>
        <v/>
      </c>
      <c r="E206" s="4" t="str">
        <f>IF(A206="","",'INPUT-SIF_Questions'!K206)</f>
        <v/>
      </c>
      <c r="F206" s="4" t="str">
        <f>IF(D206="","",IFERROR(VLOOKUP(D206,Helper_Protocol_Map!$A$2:$B$11,2,FALSE()),"OTHER"))</f>
        <v/>
      </c>
      <c r="G206" s="4" t="str">
        <f>IF(A206="","",N('INPUT-SIF_Questions'!M206)+N('INPUT-SIF_Questions'!N206)+N('INPUT-SIF_Questions'!O206))</f>
        <v/>
      </c>
      <c r="H206" s="4" t="str">
        <f t="shared" si="12"/>
        <v/>
      </c>
      <c r="I206" s="4" t="str">
        <f t="shared" si="13"/>
        <v/>
      </c>
      <c r="J206" s="4" t="str">
        <f>IF(A206="","",IF(AND('INPUT-SIF_Questions'!S206&lt;&gt;"",'INPUT-SIF_Questions'!V206&lt;&gt;"",'INPUT-SIF_Questions'!W206&lt;&gt;""),"PASS","WARNING"))</f>
        <v/>
      </c>
      <c r="K206" s="4" t="str">
        <f t="shared" si="14"/>
        <v/>
      </c>
      <c r="L206" s="4" t="str">
        <f t="shared" si="15"/>
        <v/>
      </c>
    </row>
    <row r="207" spans="1:12" ht="14.25" customHeight="1" x14ac:dyDescent="0.45">
      <c r="A207" s="4" t="str">
        <f>IF('INPUT-SIF_Questions'!A207="","",ROW())</f>
        <v/>
      </c>
      <c r="B207" s="4" t="str">
        <f>IF(A207="","",'INPUT-SIF_Questions'!A207)</f>
        <v/>
      </c>
      <c r="C207" s="4" t="str">
        <f>IF(A207="","",'INPUT-SIF_Questions'!J207)</f>
        <v/>
      </c>
      <c r="D207" s="4" t="str">
        <f>IF(A207="","",'INPUT-SIF_Questions'!H207)</f>
        <v/>
      </c>
      <c r="E207" s="4" t="str">
        <f>IF(A207="","",'INPUT-SIF_Questions'!K207)</f>
        <v/>
      </c>
      <c r="F207" s="4" t="str">
        <f>IF(D207="","",IFERROR(VLOOKUP(D207,Helper_Protocol_Map!$A$2:$B$11,2,FALSE()),"OTHER"))</f>
        <v/>
      </c>
      <c r="G207" s="4" t="str">
        <f>IF(A207="","",N('INPUT-SIF_Questions'!M207)+N('INPUT-SIF_Questions'!N207)+N('INPUT-SIF_Questions'!O207))</f>
        <v/>
      </c>
      <c r="H207" s="4" t="str">
        <f t="shared" si="12"/>
        <v/>
      </c>
      <c r="I207" s="4" t="str">
        <f t="shared" si="13"/>
        <v/>
      </c>
      <c r="J207" s="4" t="str">
        <f>IF(A207="","",IF(AND('INPUT-SIF_Questions'!S207&lt;&gt;"",'INPUT-SIF_Questions'!V207&lt;&gt;"",'INPUT-SIF_Questions'!W207&lt;&gt;""),"PASS","WARNING"))</f>
        <v/>
      </c>
      <c r="K207" s="4" t="str">
        <f t="shared" si="14"/>
        <v/>
      </c>
      <c r="L207" s="4" t="str">
        <f t="shared" si="15"/>
        <v/>
      </c>
    </row>
    <row r="208" spans="1:12" ht="14.25" customHeight="1" x14ac:dyDescent="0.45">
      <c r="A208" s="4" t="str">
        <f>IF('INPUT-SIF_Questions'!A208="","",ROW())</f>
        <v/>
      </c>
      <c r="B208" s="4" t="str">
        <f>IF(A208="","",'INPUT-SIF_Questions'!A208)</f>
        <v/>
      </c>
      <c r="C208" s="4" t="str">
        <f>IF(A208="","",'INPUT-SIF_Questions'!J208)</f>
        <v/>
      </c>
      <c r="D208" s="4" t="str">
        <f>IF(A208="","",'INPUT-SIF_Questions'!H208)</f>
        <v/>
      </c>
      <c r="E208" s="4" t="str">
        <f>IF(A208="","",'INPUT-SIF_Questions'!K208)</f>
        <v/>
      </c>
      <c r="F208" s="4" t="str">
        <f>IF(D208="","",IFERROR(VLOOKUP(D208,Helper_Protocol_Map!$A$2:$B$11,2,FALSE()),"OTHER"))</f>
        <v/>
      </c>
      <c r="G208" s="4" t="str">
        <f>IF(A208="","",N('INPUT-SIF_Questions'!M208)+N('INPUT-SIF_Questions'!N208)+N('INPUT-SIF_Questions'!O208))</f>
        <v/>
      </c>
      <c r="H208" s="4" t="str">
        <f t="shared" si="12"/>
        <v/>
      </c>
      <c r="I208" s="4" t="str">
        <f t="shared" si="13"/>
        <v/>
      </c>
      <c r="J208" s="4" t="str">
        <f>IF(A208="","",IF(AND('INPUT-SIF_Questions'!S208&lt;&gt;"",'INPUT-SIF_Questions'!V208&lt;&gt;"",'INPUT-SIF_Questions'!W208&lt;&gt;""),"PASS","WARNING"))</f>
        <v/>
      </c>
      <c r="K208" s="4" t="str">
        <f t="shared" si="14"/>
        <v/>
      </c>
      <c r="L208" s="4" t="str">
        <f t="shared" si="15"/>
        <v/>
      </c>
    </row>
    <row r="209" spans="1:12" ht="14.25" customHeight="1" x14ac:dyDescent="0.45">
      <c r="A209" s="4" t="str">
        <f>IF('INPUT-SIF_Questions'!A209="","",ROW())</f>
        <v/>
      </c>
      <c r="B209" s="4" t="str">
        <f>IF(A209="","",'INPUT-SIF_Questions'!A209)</f>
        <v/>
      </c>
      <c r="C209" s="4" t="str">
        <f>IF(A209="","",'INPUT-SIF_Questions'!J209)</f>
        <v/>
      </c>
      <c r="D209" s="4" t="str">
        <f>IF(A209="","",'INPUT-SIF_Questions'!H209)</f>
        <v/>
      </c>
      <c r="E209" s="4" t="str">
        <f>IF(A209="","",'INPUT-SIF_Questions'!K209)</f>
        <v/>
      </c>
      <c r="F209" s="4" t="str">
        <f>IF(D209="","",IFERROR(VLOOKUP(D209,Helper_Protocol_Map!$A$2:$B$11,2,FALSE()),"OTHER"))</f>
        <v/>
      </c>
      <c r="G209" s="4" t="str">
        <f>IF(A209="","",N('INPUT-SIF_Questions'!M209)+N('INPUT-SIF_Questions'!N209)+N('INPUT-SIF_Questions'!O209))</f>
        <v/>
      </c>
      <c r="H209" s="4" t="str">
        <f t="shared" si="12"/>
        <v/>
      </c>
      <c r="I209" s="4" t="str">
        <f t="shared" si="13"/>
        <v/>
      </c>
      <c r="J209" s="4" t="str">
        <f>IF(A209="","",IF(AND('INPUT-SIF_Questions'!S209&lt;&gt;"",'INPUT-SIF_Questions'!V209&lt;&gt;"",'INPUT-SIF_Questions'!W209&lt;&gt;""),"PASS","WARNING"))</f>
        <v/>
      </c>
      <c r="K209" s="4" t="str">
        <f t="shared" si="14"/>
        <v/>
      </c>
      <c r="L209" s="4" t="str">
        <f t="shared" si="15"/>
        <v/>
      </c>
    </row>
    <row r="210" spans="1:12" ht="14.25" customHeight="1" x14ac:dyDescent="0.45">
      <c r="A210" s="4" t="str">
        <f>IF('INPUT-SIF_Questions'!A210="","",ROW())</f>
        <v/>
      </c>
      <c r="B210" s="4" t="str">
        <f>IF(A210="","",'INPUT-SIF_Questions'!A210)</f>
        <v/>
      </c>
      <c r="C210" s="4" t="str">
        <f>IF(A210="","",'INPUT-SIF_Questions'!J210)</f>
        <v/>
      </c>
      <c r="D210" s="4" t="str">
        <f>IF(A210="","",'INPUT-SIF_Questions'!H210)</f>
        <v/>
      </c>
      <c r="E210" s="4" t="str">
        <f>IF(A210="","",'INPUT-SIF_Questions'!K210)</f>
        <v/>
      </c>
      <c r="F210" s="4" t="str">
        <f>IF(D210="","",IFERROR(VLOOKUP(D210,Helper_Protocol_Map!$A$2:$B$11,2,FALSE()),"OTHER"))</f>
        <v/>
      </c>
      <c r="G210" s="4" t="str">
        <f>IF(A210="","",N('INPUT-SIF_Questions'!M210)+N('INPUT-SIF_Questions'!N210)+N('INPUT-SIF_Questions'!O210))</f>
        <v/>
      </c>
      <c r="H210" s="4" t="str">
        <f t="shared" si="12"/>
        <v/>
      </c>
      <c r="I210" s="4" t="str">
        <f t="shared" si="13"/>
        <v/>
      </c>
      <c r="J210" s="4" t="str">
        <f>IF(A210="","",IF(AND('INPUT-SIF_Questions'!S210&lt;&gt;"",'INPUT-SIF_Questions'!V210&lt;&gt;"",'INPUT-SIF_Questions'!W210&lt;&gt;""),"PASS","WARNING"))</f>
        <v/>
      </c>
      <c r="K210" s="4" t="str">
        <f t="shared" si="14"/>
        <v/>
      </c>
      <c r="L210" s="4" t="str">
        <f t="shared" si="15"/>
        <v/>
      </c>
    </row>
    <row r="211" spans="1:12" ht="14.25" customHeight="1" x14ac:dyDescent="0.45">
      <c r="A211" s="4" t="str">
        <f>IF('INPUT-SIF_Questions'!A211="","",ROW())</f>
        <v/>
      </c>
      <c r="B211" s="4" t="str">
        <f>IF(A211="","",'INPUT-SIF_Questions'!A211)</f>
        <v/>
      </c>
      <c r="C211" s="4" t="str">
        <f>IF(A211="","",'INPUT-SIF_Questions'!J211)</f>
        <v/>
      </c>
      <c r="D211" s="4" t="str">
        <f>IF(A211="","",'INPUT-SIF_Questions'!H211)</f>
        <v/>
      </c>
      <c r="E211" s="4" t="str">
        <f>IF(A211="","",'INPUT-SIF_Questions'!K211)</f>
        <v/>
      </c>
      <c r="F211" s="4" t="str">
        <f>IF(D211="","",IFERROR(VLOOKUP(D211,Helper_Protocol_Map!$A$2:$B$11,2,FALSE()),"OTHER"))</f>
        <v/>
      </c>
      <c r="G211" s="4" t="str">
        <f>IF(A211="","",N('INPUT-SIF_Questions'!M211)+N('INPUT-SIF_Questions'!N211)+N('INPUT-SIF_Questions'!O211))</f>
        <v/>
      </c>
      <c r="H211" s="4" t="str">
        <f t="shared" si="12"/>
        <v/>
      </c>
      <c r="I211" s="4" t="str">
        <f t="shared" si="13"/>
        <v/>
      </c>
      <c r="J211" s="4" t="str">
        <f>IF(A211="","",IF(AND('INPUT-SIF_Questions'!S211&lt;&gt;"",'INPUT-SIF_Questions'!V211&lt;&gt;"",'INPUT-SIF_Questions'!W211&lt;&gt;""),"PASS","WARNING"))</f>
        <v/>
      </c>
      <c r="K211" s="4" t="str">
        <f t="shared" si="14"/>
        <v/>
      </c>
      <c r="L211" s="4" t="str">
        <f t="shared" si="15"/>
        <v/>
      </c>
    </row>
    <row r="212" spans="1:12" ht="14.25" customHeight="1" x14ac:dyDescent="0.45">
      <c r="A212" s="4" t="str">
        <f>IF('INPUT-SIF_Questions'!A212="","",ROW())</f>
        <v/>
      </c>
      <c r="B212" s="4" t="str">
        <f>IF(A212="","",'INPUT-SIF_Questions'!A212)</f>
        <v/>
      </c>
      <c r="C212" s="4" t="str">
        <f>IF(A212="","",'INPUT-SIF_Questions'!J212)</f>
        <v/>
      </c>
      <c r="D212" s="4" t="str">
        <f>IF(A212="","",'INPUT-SIF_Questions'!H212)</f>
        <v/>
      </c>
      <c r="E212" s="4" t="str">
        <f>IF(A212="","",'INPUT-SIF_Questions'!K212)</f>
        <v/>
      </c>
      <c r="F212" s="4" t="str">
        <f>IF(D212="","",IFERROR(VLOOKUP(D212,Helper_Protocol_Map!$A$2:$B$11,2,FALSE()),"OTHER"))</f>
        <v/>
      </c>
      <c r="G212" s="4" t="str">
        <f>IF(A212="","",N('INPUT-SIF_Questions'!M212)+N('INPUT-SIF_Questions'!N212)+N('INPUT-SIF_Questions'!O212))</f>
        <v/>
      </c>
      <c r="H212" s="4" t="str">
        <f t="shared" si="12"/>
        <v/>
      </c>
      <c r="I212" s="4" t="str">
        <f t="shared" si="13"/>
        <v/>
      </c>
      <c r="J212" s="4" t="str">
        <f>IF(A212="","",IF(AND('INPUT-SIF_Questions'!S212&lt;&gt;"",'INPUT-SIF_Questions'!V212&lt;&gt;"",'INPUT-SIF_Questions'!W212&lt;&gt;""),"PASS","WARNING"))</f>
        <v/>
      </c>
      <c r="K212" s="4" t="str">
        <f t="shared" si="14"/>
        <v/>
      </c>
      <c r="L212" s="4" t="str">
        <f t="shared" si="15"/>
        <v/>
      </c>
    </row>
    <row r="213" spans="1:12" ht="14.25" customHeight="1" x14ac:dyDescent="0.45">
      <c r="A213" s="4" t="str">
        <f>IF('INPUT-SIF_Questions'!A213="","",ROW())</f>
        <v/>
      </c>
      <c r="B213" s="4" t="str">
        <f>IF(A213="","",'INPUT-SIF_Questions'!A213)</f>
        <v/>
      </c>
      <c r="C213" s="4" t="str">
        <f>IF(A213="","",'INPUT-SIF_Questions'!J213)</f>
        <v/>
      </c>
      <c r="D213" s="4" t="str">
        <f>IF(A213="","",'INPUT-SIF_Questions'!H213)</f>
        <v/>
      </c>
      <c r="E213" s="4" t="str">
        <f>IF(A213="","",'INPUT-SIF_Questions'!K213)</f>
        <v/>
      </c>
      <c r="F213" s="4" t="str">
        <f>IF(D213="","",IFERROR(VLOOKUP(D213,Helper_Protocol_Map!$A$2:$B$11,2,FALSE()),"OTHER"))</f>
        <v/>
      </c>
      <c r="G213" s="4" t="str">
        <f>IF(A213="","",N('INPUT-SIF_Questions'!M213)+N('INPUT-SIF_Questions'!N213)+N('INPUT-SIF_Questions'!O213))</f>
        <v/>
      </c>
      <c r="H213" s="4" t="str">
        <f t="shared" si="12"/>
        <v/>
      </c>
      <c r="I213" s="4" t="str">
        <f t="shared" si="13"/>
        <v/>
      </c>
      <c r="J213" s="4" t="str">
        <f>IF(A213="","",IF(AND('INPUT-SIF_Questions'!S213&lt;&gt;"",'INPUT-SIF_Questions'!V213&lt;&gt;"",'INPUT-SIF_Questions'!W213&lt;&gt;""),"PASS","WARNING"))</f>
        <v/>
      </c>
      <c r="K213" s="4" t="str">
        <f t="shared" si="14"/>
        <v/>
      </c>
      <c r="L213" s="4" t="str">
        <f t="shared" si="15"/>
        <v/>
      </c>
    </row>
    <row r="214" spans="1:12" ht="14.25" customHeight="1" x14ac:dyDescent="0.45">
      <c r="A214" s="4" t="str">
        <f>IF('INPUT-SIF_Questions'!A214="","",ROW())</f>
        <v/>
      </c>
      <c r="B214" s="4" t="str">
        <f>IF(A214="","",'INPUT-SIF_Questions'!A214)</f>
        <v/>
      </c>
      <c r="C214" s="4" t="str">
        <f>IF(A214="","",'INPUT-SIF_Questions'!J214)</f>
        <v/>
      </c>
      <c r="D214" s="4" t="str">
        <f>IF(A214="","",'INPUT-SIF_Questions'!H214)</f>
        <v/>
      </c>
      <c r="E214" s="4" t="str">
        <f>IF(A214="","",'INPUT-SIF_Questions'!K214)</f>
        <v/>
      </c>
      <c r="F214" s="4" t="str">
        <f>IF(D214="","",IFERROR(VLOOKUP(D214,Helper_Protocol_Map!$A$2:$B$11,2,FALSE()),"OTHER"))</f>
        <v/>
      </c>
      <c r="G214" s="4" t="str">
        <f>IF(A214="","",N('INPUT-SIF_Questions'!M214)+N('INPUT-SIF_Questions'!N214)+N('INPUT-SIF_Questions'!O214))</f>
        <v/>
      </c>
      <c r="H214" s="4" t="str">
        <f t="shared" si="12"/>
        <v/>
      </c>
      <c r="I214" s="4" t="str">
        <f t="shared" si="13"/>
        <v/>
      </c>
      <c r="J214" s="4" t="str">
        <f>IF(A214="","",IF(AND('INPUT-SIF_Questions'!S214&lt;&gt;"",'INPUT-SIF_Questions'!V214&lt;&gt;"",'INPUT-SIF_Questions'!W214&lt;&gt;""),"PASS","WARNING"))</f>
        <v/>
      </c>
      <c r="K214" s="4" t="str">
        <f t="shared" si="14"/>
        <v/>
      </c>
      <c r="L214" s="4" t="str">
        <f t="shared" si="15"/>
        <v/>
      </c>
    </row>
    <row r="215" spans="1:12" ht="14.25" customHeight="1" x14ac:dyDescent="0.45">
      <c r="A215" s="4" t="str">
        <f>IF('INPUT-SIF_Questions'!A215="","",ROW())</f>
        <v/>
      </c>
      <c r="B215" s="4" t="str">
        <f>IF(A215="","",'INPUT-SIF_Questions'!A215)</f>
        <v/>
      </c>
      <c r="C215" s="4" t="str">
        <f>IF(A215="","",'INPUT-SIF_Questions'!J215)</f>
        <v/>
      </c>
      <c r="D215" s="4" t="str">
        <f>IF(A215="","",'INPUT-SIF_Questions'!H215)</f>
        <v/>
      </c>
      <c r="E215" s="4" t="str">
        <f>IF(A215="","",'INPUT-SIF_Questions'!K215)</f>
        <v/>
      </c>
      <c r="F215" s="4" t="str">
        <f>IF(D215="","",IFERROR(VLOOKUP(D215,Helper_Protocol_Map!$A$2:$B$11,2,FALSE()),"OTHER"))</f>
        <v/>
      </c>
      <c r="G215" s="4" t="str">
        <f>IF(A215="","",N('INPUT-SIF_Questions'!M215)+N('INPUT-SIF_Questions'!N215)+N('INPUT-SIF_Questions'!O215))</f>
        <v/>
      </c>
      <c r="H215" s="4" t="str">
        <f t="shared" si="12"/>
        <v/>
      </c>
      <c r="I215" s="4" t="str">
        <f t="shared" si="13"/>
        <v/>
      </c>
      <c r="J215" s="4" t="str">
        <f>IF(A215="","",IF(AND('INPUT-SIF_Questions'!S215&lt;&gt;"",'INPUT-SIF_Questions'!V215&lt;&gt;"",'INPUT-SIF_Questions'!W215&lt;&gt;""),"PASS","WARNING"))</f>
        <v/>
      </c>
      <c r="K215" s="4" t="str">
        <f t="shared" si="14"/>
        <v/>
      </c>
      <c r="L215" s="4" t="str">
        <f t="shared" si="15"/>
        <v/>
      </c>
    </row>
    <row r="216" spans="1:12" ht="14.25" customHeight="1" x14ac:dyDescent="0.45">
      <c r="A216" s="4" t="str">
        <f>IF('INPUT-SIF_Questions'!A216="","",ROW())</f>
        <v/>
      </c>
      <c r="B216" s="4" t="str">
        <f>IF(A216="","",'INPUT-SIF_Questions'!A216)</f>
        <v/>
      </c>
      <c r="C216" s="4" t="str">
        <f>IF(A216="","",'INPUT-SIF_Questions'!J216)</f>
        <v/>
      </c>
      <c r="D216" s="4" t="str">
        <f>IF(A216="","",'INPUT-SIF_Questions'!H216)</f>
        <v/>
      </c>
      <c r="E216" s="4" t="str">
        <f>IF(A216="","",'INPUT-SIF_Questions'!K216)</f>
        <v/>
      </c>
      <c r="F216" s="4" t="str">
        <f>IF(D216="","",IFERROR(VLOOKUP(D216,Helper_Protocol_Map!$A$2:$B$11,2,FALSE()),"OTHER"))</f>
        <v/>
      </c>
      <c r="G216" s="4" t="str">
        <f>IF(A216="","",N('INPUT-SIF_Questions'!M216)+N('INPUT-SIF_Questions'!N216)+N('INPUT-SIF_Questions'!O216))</f>
        <v/>
      </c>
      <c r="H216" s="4" t="str">
        <f t="shared" si="12"/>
        <v/>
      </c>
      <c r="I216" s="4" t="str">
        <f t="shared" si="13"/>
        <v/>
      </c>
      <c r="J216" s="4" t="str">
        <f>IF(A216="","",IF(AND('INPUT-SIF_Questions'!S216&lt;&gt;"",'INPUT-SIF_Questions'!V216&lt;&gt;"",'INPUT-SIF_Questions'!W216&lt;&gt;""),"PASS","WARNING"))</f>
        <v/>
      </c>
      <c r="K216" s="4" t="str">
        <f t="shared" si="14"/>
        <v/>
      </c>
      <c r="L216" s="4" t="str">
        <f t="shared" si="15"/>
        <v/>
      </c>
    </row>
    <row r="217" spans="1:12" ht="14.25" customHeight="1" x14ac:dyDescent="0.45">
      <c r="A217" s="4" t="str">
        <f>IF('INPUT-SIF_Questions'!A217="","",ROW())</f>
        <v/>
      </c>
      <c r="B217" s="4" t="str">
        <f>IF(A217="","",'INPUT-SIF_Questions'!A217)</f>
        <v/>
      </c>
      <c r="C217" s="4" t="str">
        <f>IF(A217="","",'INPUT-SIF_Questions'!J217)</f>
        <v/>
      </c>
      <c r="D217" s="4" t="str">
        <f>IF(A217="","",'INPUT-SIF_Questions'!H217)</f>
        <v/>
      </c>
      <c r="E217" s="4" t="str">
        <f>IF(A217="","",'INPUT-SIF_Questions'!K217)</f>
        <v/>
      </c>
      <c r="F217" s="4" t="str">
        <f>IF(D217="","",IFERROR(VLOOKUP(D217,Helper_Protocol_Map!$A$2:$B$11,2,FALSE()),"OTHER"))</f>
        <v/>
      </c>
      <c r="G217" s="4" t="str">
        <f>IF(A217="","",N('INPUT-SIF_Questions'!M217)+N('INPUT-SIF_Questions'!N217)+N('INPUT-SIF_Questions'!O217))</f>
        <v/>
      </c>
      <c r="H217" s="4" t="str">
        <f t="shared" si="12"/>
        <v/>
      </c>
      <c r="I217" s="4" t="str">
        <f t="shared" si="13"/>
        <v/>
      </c>
      <c r="J217" s="4" t="str">
        <f>IF(A217="","",IF(AND('INPUT-SIF_Questions'!S217&lt;&gt;"",'INPUT-SIF_Questions'!V217&lt;&gt;"",'INPUT-SIF_Questions'!W217&lt;&gt;""),"PASS","WARNING"))</f>
        <v/>
      </c>
      <c r="K217" s="4" t="str">
        <f t="shared" si="14"/>
        <v/>
      </c>
      <c r="L217" s="4" t="str">
        <f t="shared" si="15"/>
        <v/>
      </c>
    </row>
    <row r="218" spans="1:12" ht="14.25" customHeight="1" x14ac:dyDescent="0.45">
      <c r="A218" s="4" t="str">
        <f>IF('INPUT-SIF_Questions'!A218="","",ROW())</f>
        <v/>
      </c>
      <c r="B218" s="4" t="str">
        <f>IF(A218="","",'INPUT-SIF_Questions'!A218)</f>
        <v/>
      </c>
      <c r="C218" s="4" t="str">
        <f>IF(A218="","",'INPUT-SIF_Questions'!J218)</f>
        <v/>
      </c>
      <c r="D218" s="4" t="str">
        <f>IF(A218="","",'INPUT-SIF_Questions'!H218)</f>
        <v/>
      </c>
      <c r="E218" s="4" t="str">
        <f>IF(A218="","",'INPUT-SIF_Questions'!K218)</f>
        <v/>
      </c>
      <c r="F218" s="4" t="str">
        <f>IF(D218="","",IFERROR(VLOOKUP(D218,Helper_Protocol_Map!$A$2:$B$11,2,FALSE()),"OTHER"))</f>
        <v/>
      </c>
      <c r="G218" s="4" t="str">
        <f>IF(A218="","",N('INPUT-SIF_Questions'!M218)+N('INPUT-SIF_Questions'!N218)+N('INPUT-SIF_Questions'!O218))</f>
        <v/>
      </c>
      <c r="H218" s="4" t="str">
        <f t="shared" si="12"/>
        <v/>
      </c>
      <c r="I218" s="4" t="str">
        <f t="shared" si="13"/>
        <v/>
      </c>
      <c r="J218" s="4" t="str">
        <f>IF(A218="","",IF(AND('INPUT-SIF_Questions'!S218&lt;&gt;"",'INPUT-SIF_Questions'!V218&lt;&gt;"",'INPUT-SIF_Questions'!W218&lt;&gt;""),"PASS","WARNING"))</f>
        <v/>
      </c>
      <c r="K218" s="4" t="str">
        <f t="shared" si="14"/>
        <v/>
      </c>
      <c r="L218" s="4" t="str">
        <f t="shared" si="15"/>
        <v/>
      </c>
    </row>
    <row r="219" spans="1:12" ht="14.25" customHeight="1" x14ac:dyDescent="0.45">
      <c r="A219" s="4" t="str">
        <f>IF('INPUT-SIF_Questions'!A219="","",ROW())</f>
        <v/>
      </c>
      <c r="B219" s="4" t="str">
        <f>IF(A219="","",'INPUT-SIF_Questions'!A219)</f>
        <v/>
      </c>
      <c r="C219" s="4" t="str">
        <f>IF(A219="","",'INPUT-SIF_Questions'!J219)</f>
        <v/>
      </c>
      <c r="D219" s="4" t="str">
        <f>IF(A219="","",'INPUT-SIF_Questions'!H219)</f>
        <v/>
      </c>
      <c r="E219" s="4" t="str">
        <f>IF(A219="","",'INPUT-SIF_Questions'!K219)</f>
        <v/>
      </c>
      <c r="F219" s="4" t="str">
        <f>IF(D219="","",IFERROR(VLOOKUP(D219,Helper_Protocol_Map!$A$2:$B$11,2,FALSE()),"OTHER"))</f>
        <v/>
      </c>
      <c r="G219" s="4" t="str">
        <f>IF(A219="","",N('INPUT-SIF_Questions'!M219)+N('INPUT-SIF_Questions'!N219)+N('INPUT-SIF_Questions'!O219))</f>
        <v/>
      </c>
      <c r="H219" s="4" t="str">
        <f t="shared" si="12"/>
        <v/>
      </c>
      <c r="I219" s="4" t="str">
        <f t="shared" si="13"/>
        <v/>
      </c>
      <c r="J219" s="4" t="str">
        <f>IF(A219="","",IF(AND('INPUT-SIF_Questions'!S219&lt;&gt;"",'INPUT-SIF_Questions'!V219&lt;&gt;"",'INPUT-SIF_Questions'!W219&lt;&gt;""),"PASS","WARNING"))</f>
        <v/>
      </c>
      <c r="K219" s="4" t="str">
        <f t="shared" si="14"/>
        <v/>
      </c>
      <c r="L219" s="4" t="str">
        <f t="shared" si="15"/>
        <v/>
      </c>
    </row>
    <row r="220" spans="1:12" ht="14.25" customHeight="1" x14ac:dyDescent="0.45">
      <c r="A220" s="4" t="str">
        <f>IF('INPUT-SIF_Questions'!A220="","",ROW())</f>
        <v/>
      </c>
      <c r="B220" s="4" t="str">
        <f>IF(A220="","",'INPUT-SIF_Questions'!A220)</f>
        <v/>
      </c>
      <c r="C220" s="4" t="str">
        <f>IF(A220="","",'INPUT-SIF_Questions'!J220)</f>
        <v/>
      </c>
      <c r="D220" s="4" t="str">
        <f>IF(A220="","",'INPUT-SIF_Questions'!H220)</f>
        <v/>
      </c>
      <c r="E220" s="4" t="str">
        <f>IF(A220="","",'INPUT-SIF_Questions'!K220)</f>
        <v/>
      </c>
      <c r="F220" s="4" t="str">
        <f>IF(D220="","",IFERROR(VLOOKUP(D220,Helper_Protocol_Map!$A$2:$B$11,2,FALSE()),"OTHER"))</f>
        <v/>
      </c>
      <c r="G220" s="4" t="str">
        <f>IF(A220="","",N('INPUT-SIF_Questions'!M220)+N('INPUT-SIF_Questions'!N220)+N('INPUT-SIF_Questions'!O220))</f>
        <v/>
      </c>
      <c r="H220" s="4" t="str">
        <f t="shared" si="12"/>
        <v/>
      </c>
      <c r="I220" s="4" t="str">
        <f t="shared" si="13"/>
        <v/>
      </c>
      <c r="J220" s="4" t="str">
        <f>IF(A220="","",IF(AND('INPUT-SIF_Questions'!S220&lt;&gt;"",'INPUT-SIF_Questions'!V220&lt;&gt;"",'INPUT-SIF_Questions'!W220&lt;&gt;""),"PASS","WARNING"))</f>
        <v/>
      </c>
      <c r="K220" s="4" t="str">
        <f t="shared" si="14"/>
        <v/>
      </c>
      <c r="L220" s="4" t="str">
        <f t="shared" si="15"/>
        <v/>
      </c>
    </row>
    <row r="221" spans="1:12" ht="14.25" customHeight="1" x14ac:dyDescent="0.45">
      <c r="A221" s="4" t="str">
        <f>IF('INPUT-SIF_Questions'!A221="","",ROW())</f>
        <v/>
      </c>
      <c r="B221" s="4" t="str">
        <f>IF(A221="","",'INPUT-SIF_Questions'!A221)</f>
        <v/>
      </c>
      <c r="C221" s="4" t="str">
        <f>IF(A221="","",'INPUT-SIF_Questions'!J221)</f>
        <v/>
      </c>
      <c r="D221" s="4" t="str">
        <f>IF(A221="","",'INPUT-SIF_Questions'!H221)</f>
        <v/>
      </c>
      <c r="E221" s="4" t="str">
        <f>IF(A221="","",'INPUT-SIF_Questions'!K221)</f>
        <v/>
      </c>
      <c r="F221" s="4" t="str">
        <f>IF(D221="","",IFERROR(VLOOKUP(D221,Helper_Protocol_Map!$A$2:$B$11,2,FALSE()),"OTHER"))</f>
        <v/>
      </c>
      <c r="G221" s="4" t="str">
        <f>IF(A221="","",N('INPUT-SIF_Questions'!M221)+N('INPUT-SIF_Questions'!N221)+N('INPUT-SIF_Questions'!O221))</f>
        <v/>
      </c>
      <c r="H221" s="4" t="str">
        <f t="shared" si="12"/>
        <v/>
      </c>
      <c r="I221" s="4" t="str">
        <f t="shared" si="13"/>
        <v/>
      </c>
      <c r="J221" s="4" t="str">
        <f>IF(A221="","",IF(AND('INPUT-SIF_Questions'!S221&lt;&gt;"",'INPUT-SIF_Questions'!V221&lt;&gt;"",'INPUT-SIF_Questions'!W221&lt;&gt;""),"PASS","WARNING"))</f>
        <v/>
      </c>
      <c r="K221" s="4" t="str">
        <f t="shared" si="14"/>
        <v/>
      </c>
      <c r="L221" s="4" t="str">
        <f t="shared" si="15"/>
        <v/>
      </c>
    </row>
    <row r="222" spans="1:12" ht="14.25" customHeight="1" x14ac:dyDescent="0.45">
      <c r="A222" s="4" t="str">
        <f>IF('INPUT-SIF_Questions'!A222="","",ROW())</f>
        <v/>
      </c>
      <c r="B222" s="4" t="str">
        <f>IF(A222="","",'INPUT-SIF_Questions'!A222)</f>
        <v/>
      </c>
      <c r="C222" s="4" t="str">
        <f>IF(A222="","",'INPUT-SIF_Questions'!J222)</f>
        <v/>
      </c>
      <c r="D222" s="4" t="str">
        <f>IF(A222="","",'INPUT-SIF_Questions'!H222)</f>
        <v/>
      </c>
      <c r="E222" s="4" t="str">
        <f>IF(A222="","",'INPUT-SIF_Questions'!K222)</f>
        <v/>
      </c>
      <c r="F222" s="4" t="str">
        <f>IF(D222="","",IFERROR(VLOOKUP(D222,Helper_Protocol_Map!$A$2:$B$11,2,FALSE()),"OTHER"))</f>
        <v/>
      </c>
      <c r="G222" s="4" t="str">
        <f>IF(A222="","",N('INPUT-SIF_Questions'!M222)+N('INPUT-SIF_Questions'!N222)+N('INPUT-SIF_Questions'!O222))</f>
        <v/>
      </c>
      <c r="H222" s="4" t="str">
        <f t="shared" si="12"/>
        <v/>
      </c>
      <c r="I222" s="4" t="str">
        <f t="shared" si="13"/>
        <v/>
      </c>
      <c r="J222" s="4" t="str">
        <f>IF(A222="","",IF(AND('INPUT-SIF_Questions'!S222&lt;&gt;"",'INPUT-SIF_Questions'!V222&lt;&gt;"",'INPUT-SIF_Questions'!W222&lt;&gt;""),"PASS","WARNING"))</f>
        <v/>
      </c>
      <c r="K222" s="4" t="str">
        <f t="shared" si="14"/>
        <v/>
      </c>
      <c r="L222" s="4" t="str">
        <f t="shared" si="15"/>
        <v/>
      </c>
    </row>
    <row r="223" spans="1:12" ht="14.25" customHeight="1" x14ac:dyDescent="0.45">
      <c r="A223" s="4" t="str">
        <f>IF('INPUT-SIF_Questions'!A223="","",ROW())</f>
        <v/>
      </c>
      <c r="B223" s="4" t="str">
        <f>IF(A223="","",'INPUT-SIF_Questions'!A223)</f>
        <v/>
      </c>
      <c r="C223" s="4" t="str">
        <f>IF(A223="","",'INPUT-SIF_Questions'!J223)</f>
        <v/>
      </c>
      <c r="D223" s="4" t="str">
        <f>IF(A223="","",'INPUT-SIF_Questions'!H223)</f>
        <v/>
      </c>
      <c r="E223" s="4" t="str">
        <f>IF(A223="","",'INPUT-SIF_Questions'!K223)</f>
        <v/>
      </c>
      <c r="F223" s="4" t="str">
        <f>IF(D223="","",IFERROR(VLOOKUP(D223,Helper_Protocol_Map!$A$2:$B$11,2,FALSE()),"OTHER"))</f>
        <v/>
      </c>
      <c r="G223" s="4" t="str">
        <f>IF(A223="","",N('INPUT-SIF_Questions'!M223)+N('INPUT-SIF_Questions'!N223)+N('INPUT-SIF_Questions'!O223))</f>
        <v/>
      </c>
      <c r="H223" s="4" t="str">
        <f t="shared" si="12"/>
        <v/>
      </c>
      <c r="I223" s="4" t="str">
        <f t="shared" si="13"/>
        <v/>
      </c>
      <c r="J223" s="4" t="str">
        <f>IF(A223="","",IF(AND('INPUT-SIF_Questions'!S223&lt;&gt;"",'INPUT-SIF_Questions'!V223&lt;&gt;"",'INPUT-SIF_Questions'!W223&lt;&gt;""),"PASS","WARNING"))</f>
        <v/>
      </c>
      <c r="K223" s="4" t="str">
        <f t="shared" si="14"/>
        <v/>
      </c>
      <c r="L223" s="4" t="str">
        <f t="shared" si="15"/>
        <v/>
      </c>
    </row>
    <row r="224" spans="1:12" ht="14.25" customHeight="1" x14ac:dyDescent="0.45">
      <c r="A224" s="4" t="str">
        <f>IF('INPUT-SIF_Questions'!A224="","",ROW())</f>
        <v/>
      </c>
      <c r="B224" s="4" t="str">
        <f>IF(A224="","",'INPUT-SIF_Questions'!A224)</f>
        <v/>
      </c>
      <c r="C224" s="4" t="str">
        <f>IF(A224="","",'INPUT-SIF_Questions'!J224)</f>
        <v/>
      </c>
      <c r="D224" s="4" t="str">
        <f>IF(A224="","",'INPUT-SIF_Questions'!H224)</f>
        <v/>
      </c>
      <c r="E224" s="4" t="str">
        <f>IF(A224="","",'INPUT-SIF_Questions'!K224)</f>
        <v/>
      </c>
      <c r="F224" s="4" t="str">
        <f>IF(D224="","",IFERROR(VLOOKUP(D224,Helper_Protocol_Map!$A$2:$B$11,2,FALSE()),"OTHER"))</f>
        <v/>
      </c>
      <c r="G224" s="4" t="str">
        <f>IF(A224="","",N('INPUT-SIF_Questions'!M224)+N('INPUT-SIF_Questions'!N224)+N('INPUT-SIF_Questions'!O224))</f>
        <v/>
      </c>
      <c r="H224" s="4" t="str">
        <f t="shared" si="12"/>
        <v/>
      </c>
      <c r="I224" s="4" t="str">
        <f t="shared" si="13"/>
        <v/>
      </c>
      <c r="J224" s="4" t="str">
        <f>IF(A224="","",IF(AND('INPUT-SIF_Questions'!S224&lt;&gt;"",'INPUT-SIF_Questions'!V224&lt;&gt;"",'INPUT-SIF_Questions'!W224&lt;&gt;""),"PASS","WARNING"))</f>
        <v/>
      </c>
      <c r="K224" s="4" t="str">
        <f t="shared" si="14"/>
        <v/>
      </c>
      <c r="L224" s="4" t="str">
        <f t="shared" si="15"/>
        <v/>
      </c>
    </row>
    <row r="225" spans="1:12" ht="14.25" customHeight="1" x14ac:dyDescent="0.45">
      <c r="A225" s="4" t="str">
        <f>IF('INPUT-SIF_Questions'!A225="","",ROW())</f>
        <v/>
      </c>
      <c r="B225" s="4" t="str">
        <f>IF(A225="","",'INPUT-SIF_Questions'!A225)</f>
        <v/>
      </c>
      <c r="C225" s="4" t="str">
        <f>IF(A225="","",'INPUT-SIF_Questions'!J225)</f>
        <v/>
      </c>
      <c r="D225" s="4" t="str">
        <f>IF(A225="","",'INPUT-SIF_Questions'!H225)</f>
        <v/>
      </c>
      <c r="E225" s="4" t="str">
        <f>IF(A225="","",'INPUT-SIF_Questions'!K225)</f>
        <v/>
      </c>
      <c r="F225" s="4" t="str">
        <f>IF(D225="","",IFERROR(VLOOKUP(D225,Helper_Protocol_Map!$A$2:$B$11,2,FALSE()),"OTHER"))</f>
        <v/>
      </c>
      <c r="G225" s="4" t="str">
        <f>IF(A225="","",N('INPUT-SIF_Questions'!M225)+N('INPUT-SIF_Questions'!N225)+N('INPUT-SIF_Questions'!O225))</f>
        <v/>
      </c>
      <c r="H225" s="4" t="str">
        <f t="shared" si="12"/>
        <v/>
      </c>
      <c r="I225" s="4" t="str">
        <f t="shared" si="13"/>
        <v/>
      </c>
      <c r="J225" s="4" t="str">
        <f>IF(A225="","",IF(AND('INPUT-SIF_Questions'!S225&lt;&gt;"",'INPUT-SIF_Questions'!V225&lt;&gt;"",'INPUT-SIF_Questions'!W225&lt;&gt;""),"PASS","WARNING"))</f>
        <v/>
      </c>
      <c r="K225" s="4" t="str">
        <f t="shared" si="14"/>
        <v/>
      </c>
      <c r="L225" s="4" t="str">
        <f t="shared" si="15"/>
        <v/>
      </c>
    </row>
    <row r="226" spans="1:12" ht="14.25" customHeight="1" x14ac:dyDescent="0.45">
      <c r="A226" s="4" t="str">
        <f>IF('INPUT-SIF_Questions'!A226="","",ROW())</f>
        <v/>
      </c>
      <c r="B226" s="4" t="str">
        <f>IF(A226="","",'INPUT-SIF_Questions'!A226)</f>
        <v/>
      </c>
      <c r="C226" s="4" t="str">
        <f>IF(A226="","",'INPUT-SIF_Questions'!J226)</f>
        <v/>
      </c>
      <c r="D226" s="4" t="str">
        <f>IF(A226="","",'INPUT-SIF_Questions'!H226)</f>
        <v/>
      </c>
      <c r="E226" s="4" t="str">
        <f>IF(A226="","",'INPUT-SIF_Questions'!K226)</f>
        <v/>
      </c>
      <c r="F226" s="4" t="str">
        <f>IF(D226="","",IFERROR(VLOOKUP(D226,Helper_Protocol_Map!$A$2:$B$11,2,FALSE()),"OTHER"))</f>
        <v/>
      </c>
      <c r="G226" s="4" t="str">
        <f>IF(A226="","",N('INPUT-SIF_Questions'!M226)+N('INPUT-SIF_Questions'!N226)+N('INPUT-SIF_Questions'!O226))</f>
        <v/>
      </c>
      <c r="H226" s="4" t="str">
        <f t="shared" si="12"/>
        <v/>
      </c>
      <c r="I226" s="4" t="str">
        <f t="shared" si="13"/>
        <v/>
      </c>
      <c r="J226" s="4" t="str">
        <f>IF(A226="","",IF(AND('INPUT-SIF_Questions'!S226&lt;&gt;"",'INPUT-SIF_Questions'!V226&lt;&gt;"",'INPUT-SIF_Questions'!W226&lt;&gt;""),"PASS","WARNING"))</f>
        <v/>
      </c>
      <c r="K226" s="4" t="str">
        <f t="shared" si="14"/>
        <v/>
      </c>
      <c r="L226" s="4" t="str">
        <f t="shared" si="15"/>
        <v/>
      </c>
    </row>
    <row r="227" spans="1:12" ht="14.25" customHeight="1" x14ac:dyDescent="0.45">
      <c r="A227" s="4" t="str">
        <f>IF('INPUT-SIF_Questions'!A227="","",ROW())</f>
        <v/>
      </c>
      <c r="B227" s="4" t="str">
        <f>IF(A227="","",'INPUT-SIF_Questions'!A227)</f>
        <v/>
      </c>
      <c r="C227" s="4" t="str">
        <f>IF(A227="","",'INPUT-SIF_Questions'!J227)</f>
        <v/>
      </c>
      <c r="D227" s="4" t="str">
        <f>IF(A227="","",'INPUT-SIF_Questions'!H227)</f>
        <v/>
      </c>
      <c r="E227" s="4" t="str">
        <f>IF(A227="","",'INPUT-SIF_Questions'!K227)</f>
        <v/>
      </c>
      <c r="F227" s="4" t="str">
        <f>IF(D227="","",IFERROR(VLOOKUP(D227,Helper_Protocol_Map!$A$2:$B$11,2,FALSE()),"OTHER"))</f>
        <v/>
      </c>
      <c r="G227" s="4" t="str">
        <f>IF(A227="","",N('INPUT-SIF_Questions'!M227)+N('INPUT-SIF_Questions'!N227)+N('INPUT-SIF_Questions'!O227))</f>
        <v/>
      </c>
      <c r="H227" s="4" t="str">
        <f t="shared" si="12"/>
        <v/>
      </c>
      <c r="I227" s="4" t="str">
        <f t="shared" si="13"/>
        <v/>
      </c>
      <c r="J227" s="4" t="str">
        <f>IF(A227="","",IF(AND('INPUT-SIF_Questions'!S227&lt;&gt;"",'INPUT-SIF_Questions'!V227&lt;&gt;"",'INPUT-SIF_Questions'!W227&lt;&gt;""),"PASS","WARNING"))</f>
        <v/>
      </c>
      <c r="K227" s="4" t="str">
        <f t="shared" si="14"/>
        <v/>
      </c>
      <c r="L227" s="4" t="str">
        <f t="shared" si="15"/>
        <v/>
      </c>
    </row>
    <row r="228" spans="1:12" ht="14.25" customHeight="1" x14ac:dyDescent="0.45">
      <c r="A228" s="4" t="str">
        <f>IF('INPUT-SIF_Questions'!A228="","",ROW())</f>
        <v/>
      </c>
      <c r="B228" s="4" t="str">
        <f>IF(A228="","",'INPUT-SIF_Questions'!A228)</f>
        <v/>
      </c>
      <c r="C228" s="4" t="str">
        <f>IF(A228="","",'INPUT-SIF_Questions'!J228)</f>
        <v/>
      </c>
      <c r="D228" s="4" t="str">
        <f>IF(A228="","",'INPUT-SIF_Questions'!H228)</f>
        <v/>
      </c>
      <c r="E228" s="4" t="str">
        <f>IF(A228="","",'INPUT-SIF_Questions'!K228)</f>
        <v/>
      </c>
      <c r="F228" s="4" t="str">
        <f>IF(D228="","",IFERROR(VLOOKUP(D228,Helper_Protocol_Map!$A$2:$B$11,2,FALSE()),"OTHER"))</f>
        <v/>
      </c>
      <c r="G228" s="4" t="str">
        <f>IF(A228="","",N('INPUT-SIF_Questions'!M228)+N('INPUT-SIF_Questions'!N228)+N('INPUT-SIF_Questions'!O228))</f>
        <v/>
      </c>
      <c r="H228" s="4" t="str">
        <f t="shared" si="12"/>
        <v/>
      </c>
      <c r="I228" s="4" t="str">
        <f t="shared" si="13"/>
        <v/>
      </c>
      <c r="J228" s="4" t="str">
        <f>IF(A228="","",IF(AND('INPUT-SIF_Questions'!S228&lt;&gt;"",'INPUT-SIF_Questions'!V228&lt;&gt;"",'INPUT-SIF_Questions'!W228&lt;&gt;""),"PASS","WARNING"))</f>
        <v/>
      </c>
      <c r="K228" s="4" t="str">
        <f t="shared" si="14"/>
        <v/>
      </c>
      <c r="L228" s="4" t="str">
        <f t="shared" si="15"/>
        <v/>
      </c>
    </row>
    <row r="229" spans="1:12" ht="14.25" customHeight="1" x14ac:dyDescent="0.45">
      <c r="A229" s="4" t="str">
        <f>IF('INPUT-SIF_Questions'!A229="","",ROW())</f>
        <v/>
      </c>
      <c r="B229" s="4" t="str">
        <f>IF(A229="","",'INPUT-SIF_Questions'!A229)</f>
        <v/>
      </c>
      <c r="C229" s="4" t="str">
        <f>IF(A229="","",'INPUT-SIF_Questions'!J229)</f>
        <v/>
      </c>
      <c r="D229" s="4" t="str">
        <f>IF(A229="","",'INPUT-SIF_Questions'!H229)</f>
        <v/>
      </c>
      <c r="E229" s="4" t="str">
        <f>IF(A229="","",'INPUT-SIF_Questions'!K229)</f>
        <v/>
      </c>
      <c r="F229" s="4" t="str">
        <f>IF(D229="","",IFERROR(VLOOKUP(D229,Helper_Protocol_Map!$A$2:$B$11,2,FALSE()),"OTHER"))</f>
        <v/>
      </c>
      <c r="G229" s="4" t="str">
        <f>IF(A229="","",N('INPUT-SIF_Questions'!M229)+N('INPUT-SIF_Questions'!N229)+N('INPUT-SIF_Questions'!O229))</f>
        <v/>
      </c>
      <c r="H229" s="4" t="str">
        <f t="shared" si="12"/>
        <v/>
      </c>
      <c r="I229" s="4" t="str">
        <f t="shared" si="13"/>
        <v/>
      </c>
      <c r="J229" s="4" t="str">
        <f>IF(A229="","",IF(AND('INPUT-SIF_Questions'!S229&lt;&gt;"",'INPUT-SIF_Questions'!V229&lt;&gt;"",'INPUT-SIF_Questions'!W229&lt;&gt;""),"PASS","WARNING"))</f>
        <v/>
      </c>
      <c r="K229" s="4" t="str">
        <f t="shared" si="14"/>
        <v/>
      </c>
      <c r="L229" s="4" t="str">
        <f t="shared" si="15"/>
        <v/>
      </c>
    </row>
    <row r="230" spans="1:12" ht="14.25" customHeight="1" x14ac:dyDescent="0.45">
      <c r="A230" s="4" t="str">
        <f>IF('INPUT-SIF_Questions'!A230="","",ROW())</f>
        <v/>
      </c>
      <c r="B230" s="4" t="str">
        <f>IF(A230="","",'INPUT-SIF_Questions'!A230)</f>
        <v/>
      </c>
      <c r="C230" s="4" t="str">
        <f>IF(A230="","",'INPUT-SIF_Questions'!J230)</f>
        <v/>
      </c>
      <c r="D230" s="4" t="str">
        <f>IF(A230="","",'INPUT-SIF_Questions'!H230)</f>
        <v/>
      </c>
      <c r="E230" s="4" t="str">
        <f>IF(A230="","",'INPUT-SIF_Questions'!K230)</f>
        <v/>
      </c>
      <c r="F230" s="4" t="str">
        <f>IF(D230="","",IFERROR(VLOOKUP(D230,Helper_Protocol_Map!$A$2:$B$11,2,FALSE()),"OTHER"))</f>
        <v/>
      </c>
      <c r="G230" s="4" t="str">
        <f>IF(A230="","",N('INPUT-SIF_Questions'!M230)+N('INPUT-SIF_Questions'!N230)+N('INPUT-SIF_Questions'!O230))</f>
        <v/>
      </c>
      <c r="H230" s="4" t="str">
        <f t="shared" si="12"/>
        <v/>
      </c>
      <c r="I230" s="4" t="str">
        <f t="shared" si="13"/>
        <v/>
      </c>
      <c r="J230" s="4" t="str">
        <f>IF(A230="","",IF(AND('INPUT-SIF_Questions'!S230&lt;&gt;"",'INPUT-SIF_Questions'!V230&lt;&gt;"",'INPUT-SIF_Questions'!W230&lt;&gt;""),"PASS","WARNING"))</f>
        <v/>
      </c>
      <c r="K230" s="4" t="str">
        <f t="shared" si="14"/>
        <v/>
      </c>
      <c r="L230" s="4" t="str">
        <f t="shared" si="15"/>
        <v/>
      </c>
    </row>
    <row r="231" spans="1:12" ht="14.25" customHeight="1" x14ac:dyDescent="0.45">
      <c r="A231" s="4" t="str">
        <f>IF('INPUT-SIF_Questions'!A231="","",ROW())</f>
        <v/>
      </c>
      <c r="B231" s="4" t="str">
        <f>IF(A231="","",'INPUT-SIF_Questions'!A231)</f>
        <v/>
      </c>
      <c r="C231" s="4" t="str">
        <f>IF(A231="","",'INPUT-SIF_Questions'!J231)</f>
        <v/>
      </c>
      <c r="D231" s="4" t="str">
        <f>IF(A231="","",'INPUT-SIF_Questions'!H231)</f>
        <v/>
      </c>
      <c r="E231" s="4" t="str">
        <f>IF(A231="","",'INPUT-SIF_Questions'!K231)</f>
        <v/>
      </c>
      <c r="F231" s="4" t="str">
        <f>IF(D231="","",IFERROR(VLOOKUP(D231,Helper_Protocol_Map!$A$2:$B$11,2,FALSE()),"OTHER"))</f>
        <v/>
      </c>
      <c r="G231" s="4" t="str">
        <f>IF(A231="","",N('INPUT-SIF_Questions'!M231)+N('INPUT-SIF_Questions'!N231)+N('INPUT-SIF_Questions'!O231))</f>
        <v/>
      </c>
      <c r="H231" s="4" t="str">
        <f t="shared" si="12"/>
        <v/>
      </c>
      <c r="I231" s="4" t="str">
        <f t="shared" si="13"/>
        <v/>
      </c>
      <c r="J231" s="4" t="str">
        <f>IF(A231="","",IF(AND('INPUT-SIF_Questions'!S231&lt;&gt;"",'INPUT-SIF_Questions'!V231&lt;&gt;"",'INPUT-SIF_Questions'!W231&lt;&gt;""),"PASS","WARNING"))</f>
        <v/>
      </c>
      <c r="K231" s="4" t="str">
        <f t="shared" si="14"/>
        <v/>
      </c>
      <c r="L231" s="4" t="str">
        <f t="shared" si="15"/>
        <v/>
      </c>
    </row>
    <row r="232" spans="1:12" ht="14.25" customHeight="1" x14ac:dyDescent="0.45">
      <c r="A232" s="4" t="str">
        <f>IF('INPUT-SIF_Questions'!A232="","",ROW())</f>
        <v/>
      </c>
      <c r="B232" s="4" t="str">
        <f>IF(A232="","",'INPUT-SIF_Questions'!A232)</f>
        <v/>
      </c>
      <c r="C232" s="4" t="str">
        <f>IF(A232="","",'INPUT-SIF_Questions'!J232)</f>
        <v/>
      </c>
      <c r="D232" s="4" t="str">
        <f>IF(A232="","",'INPUT-SIF_Questions'!H232)</f>
        <v/>
      </c>
      <c r="E232" s="4" t="str">
        <f>IF(A232="","",'INPUT-SIF_Questions'!K232)</f>
        <v/>
      </c>
      <c r="F232" s="4" t="str">
        <f>IF(D232="","",IFERROR(VLOOKUP(D232,Helper_Protocol_Map!$A$2:$B$11,2,FALSE()),"OTHER"))</f>
        <v/>
      </c>
      <c r="G232" s="4" t="str">
        <f>IF(A232="","",N('INPUT-SIF_Questions'!M232)+N('INPUT-SIF_Questions'!N232)+N('INPUT-SIF_Questions'!O232))</f>
        <v/>
      </c>
      <c r="H232" s="4" t="str">
        <f t="shared" si="12"/>
        <v/>
      </c>
      <c r="I232" s="4" t="str">
        <f t="shared" si="13"/>
        <v/>
      </c>
      <c r="J232" s="4" t="str">
        <f>IF(A232="","",IF(AND('INPUT-SIF_Questions'!S232&lt;&gt;"",'INPUT-SIF_Questions'!V232&lt;&gt;"",'INPUT-SIF_Questions'!W232&lt;&gt;""),"PASS","WARNING"))</f>
        <v/>
      </c>
      <c r="K232" s="4" t="str">
        <f t="shared" si="14"/>
        <v/>
      </c>
      <c r="L232" s="4" t="str">
        <f t="shared" si="15"/>
        <v/>
      </c>
    </row>
    <row r="233" spans="1:12" ht="14.25" customHeight="1" x14ac:dyDescent="0.45">
      <c r="A233" s="4" t="str">
        <f>IF('INPUT-SIF_Questions'!A233="","",ROW())</f>
        <v/>
      </c>
      <c r="B233" s="4" t="str">
        <f>IF(A233="","",'INPUT-SIF_Questions'!A233)</f>
        <v/>
      </c>
      <c r="C233" s="4" t="str">
        <f>IF(A233="","",'INPUT-SIF_Questions'!J233)</f>
        <v/>
      </c>
      <c r="D233" s="4" t="str">
        <f>IF(A233="","",'INPUT-SIF_Questions'!H233)</f>
        <v/>
      </c>
      <c r="E233" s="4" t="str">
        <f>IF(A233="","",'INPUT-SIF_Questions'!K233)</f>
        <v/>
      </c>
      <c r="F233" s="4" t="str">
        <f>IF(D233="","",IFERROR(VLOOKUP(D233,Helper_Protocol_Map!$A$2:$B$11,2,FALSE()),"OTHER"))</f>
        <v/>
      </c>
      <c r="G233" s="4" t="str">
        <f>IF(A233="","",N('INPUT-SIF_Questions'!M233)+N('INPUT-SIF_Questions'!N233)+N('INPUT-SIF_Questions'!O233))</f>
        <v/>
      </c>
      <c r="H233" s="4" t="str">
        <f t="shared" si="12"/>
        <v/>
      </c>
      <c r="I233" s="4" t="str">
        <f t="shared" si="13"/>
        <v/>
      </c>
      <c r="J233" s="4" t="str">
        <f>IF(A233="","",IF(AND('INPUT-SIF_Questions'!S233&lt;&gt;"",'INPUT-SIF_Questions'!V233&lt;&gt;"",'INPUT-SIF_Questions'!W233&lt;&gt;""),"PASS","WARNING"))</f>
        <v/>
      </c>
      <c r="K233" s="4" t="str">
        <f t="shared" si="14"/>
        <v/>
      </c>
      <c r="L233" s="4" t="str">
        <f t="shared" si="15"/>
        <v/>
      </c>
    </row>
    <row r="234" spans="1:12" ht="14.25" customHeight="1" x14ac:dyDescent="0.45">
      <c r="A234" s="4" t="str">
        <f>IF('INPUT-SIF_Questions'!A234="","",ROW())</f>
        <v/>
      </c>
      <c r="B234" s="4" t="str">
        <f>IF(A234="","",'INPUT-SIF_Questions'!A234)</f>
        <v/>
      </c>
      <c r="C234" s="4" t="str">
        <f>IF(A234="","",'INPUT-SIF_Questions'!J234)</f>
        <v/>
      </c>
      <c r="D234" s="4" t="str">
        <f>IF(A234="","",'INPUT-SIF_Questions'!H234)</f>
        <v/>
      </c>
      <c r="E234" s="4" t="str">
        <f>IF(A234="","",'INPUT-SIF_Questions'!K234)</f>
        <v/>
      </c>
      <c r="F234" s="4" t="str">
        <f>IF(D234="","",IFERROR(VLOOKUP(D234,Helper_Protocol_Map!$A$2:$B$11,2,FALSE()),"OTHER"))</f>
        <v/>
      </c>
      <c r="G234" s="4" t="str">
        <f>IF(A234="","",N('INPUT-SIF_Questions'!M234)+N('INPUT-SIF_Questions'!N234)+N('INPUT-SIF_Questions'!O234))</f>
        <v/>
      </c>
      <c r="H234" s="4" t="str">
        <f t="shared" si="12"/>
        <v/>
      </c>
      <c r="I234" s="4" t="str">
        <f t="shared" si="13"/>
        <v/>
      </c>
      <c r="J234" s="4" t="str">
        <f>IF(A234="","",IF(AND('INPUT-SIF_Questions'!S234&lt;&gt;"",'INPUT-SIF_Questions'!V234&lt;&gt;"",'INPUT-SIF_Questions'!W234&lt;&gt;""),"PASS","WARNING"))</f>
        <v/>
      </c>
      <c r="K234" s="4" t="str">
        <f t="shared" si="14"/>
        <v/>
      </c>
      <c r="L234" s="4" t="str">
        <f t="shared" si="15"/>
        <v/>
      </c>
    </row>
    <row r="235" spans="1:12" ht="14.25" customHeight="1" x14ac:dyDescent="0.45">
      <c r="A235" s="4" t="str">
        <f>IF('INPUT-SIF_Questions'!A235="","",ROW())</f>
        <v/>
      </c>
      <c r="B235" s="4" t="str">
        <f>IF(A235="","",'INPUT-SIF_Questions'!A235)</f>
        <v/>
      </c>
      <c r="C235" s="4" t="str">
        <f>IF(A235="","",'INPUT-SIF_Questions'!J235)</f>
        <v/>
      </c>
      <c r="D235" s="4" t="str">
        <f>IF(A235="","",'INPUT-SIF_Questions'!H235)</f>
        <v/>
      </c>
      <c r="E235" s="4" t="str">
        <f>IF(A235="","",'INPUT-SIF_Questions'!K235)</f>
        <v/>
      </c>
      <c r="F235" s="4" t="str">
        <f>IF(D235="","",IFERROR(VLOOKUP(D235,Helper_Protocol_Map!$A$2:$B$11,2,FALSE()),"OTHER"))</f>
        <v/>
      </c>
      <c r="G235" s="4" t="str">
        <f>IF(A235="","",N('INPUT-SIF_Questions'!M235)+N('INPUT-SIF_Questions'!N235)+N('INPUT-SIF_Questions'!O235))</f>
        <v/>
      </c>
      <c r="H235" s="4" t="str">
        <f t="shared" si="12"/>
        <v/>
      </c>
      <c r="I235" s="4" t="str">
        <f t="shared" si="13"/>
        <v/>
      </c>
      <c r="J235" s="4" t="str">
        <f>IF(A235="","",IF(AND('INPUT-SIF_Questions'!S235&lt;&gt;"",'INPUT-SIF_Questions'!V235&lt;&gt;"",'INPUT-SIF_Questions'!W235&lt;&gt;""),"PASS","WARNING"))</f>
        <v/>
      </c>
      <c r="K235" s="4" t="str">
        <f t="shared" si="14"/>
        <v/>
      </c>
      <c r="L235" s="4" t="str">
        <f t="shared" si="15"/>
        <v/>
      </c>
    </row>
    <row r="236" spans="1:12" ht="14.25" customHeight="1" x14ac:dyDescent="0.45">
      <c r="A236" s="4" t="str">
        <f>IF('INPUT-SIF_Questions'!A236="","",ROW())</f>
        <v/>
      </c>
      <c r="B236" s="4" t="str">
        <f>IF(A236="","",'INPUT-SIF_Questions'!A236)</f>
        <v/>
      </c>
      <c r="C236" s="4" t="str">
        <f>IF(A236="","",'INPUT-SIF_Questions'!J236)</f>
        <v/>
      </c>
      <c r="D236" s="4" t="str">
        <f>IF(A236="","",'INPUT-SIF_Questions'!H236)</f>
        <v/>
      </c>
      <c r="E236" s="4" t="str">
        <f>IF(A236="","",'INPUT-SIF_Questions'!K236)</f>
        <v/>
      </c>
      <c r="F236" s="4" t="str">
        <f>IF(D236="","",IFERROR(VLOOKUP(D236,Helper_Protocol_Map!$A$2:$B$11,2,FALSE()),"OTHER"))</f>
        <v/>
      </c>
      <c r="G236" s="4" t="str">
        <f>IF(A236="","",N('INPUT-SIF_Questions'!M236)+N('INPUT-SIF_Questions'!N236)+N('INPUT-SIF_Questions'!O236))</f>
        <v/>
      </c>
      <c r="H236" s="4" t="str">
        <f t="shared" si="12"/>
        <v/>
      </c>
      <c r="I236" s="4" t="str">
        <f t="shared" si="13"/>
        <v/>
      </c>
      <c r="J236" s="4" t="str">
        <f>IF(A236="","",IF(AND('INPUT-SIF_Questions'!S236&lt;&gt;"",'INPUT-SIF_Questions'!V236&lt;&gt;"",'INPUT-SIF_Questions'!W236&lt;&gt;""),"PASS","WARNING"))</f>
        <v/>
      </c>
      <c r="K236" s="4" t="str">
        <f t="shared" si="14"/>
        <v/>
      </c>
      <c r="L236" s="4" t="str">
        <f t="shared" si="15"/>
        <v/>
      </c>
    </row>
    <row r="237" spans="1:12" ht="14.25" customHeight="1" x14ac:dyDescent="0.45">
      <c r="A237" s="4" t="str">
        <f>IF('INPUT-SIF_Questions'!A237="","",ROW())</f>
        <v/>
      </c>
      <c r="B237" s="4" t="str">
        <f>IF(A237="","",'INPUT-SIF_Questions'!A237)</f>
        <v/>
      </c>
      <c r="C237" s="4" t="str">
        <f>IF(A237="","",'INPUT-SIF_Questions'!J237)</f>
        <v/>
      </c>
      <c r="D237" s="4" t="str">
        <f>IF(A237="","",'INPUT-SIF_Questions'!H237)</f>
        <v/>
      </c>
      <c r="E237" s="4" t="str">
        <f>IF(A237="","",'INPUT-SIF_Questions'!K237)</f>
        <v/>
      </c>
      <c r="F237" s="4" t="str">
        <f>IF(D237="","",IFERROR(VLOOKUP(D237,Helper_Protocol_Map!$A$2:$B$11,2,FALSE()),"OTHER"))</f>
        <v/>
      </c>
      <c r="G237" s="4" t="str">
        <f>IF(A237="","",N('INPUT-SIF_Questions'!M237)+N('INPUT-SIF_Questions'!N237)+N('INPUT-SIF_Questions'!O237))</f>
        <v/>
      </c>
      <c r="H237" s="4" t="str">
        <f t="shared" si="12"/>
        <v/>
      </c>
      <c r="I237" s="4" t="str">
        <f t="shared" si="13"/>
        <v/>
      </c>
      <c r="J237" s="4" t="str">
        <f>IF(A237="","",IF(AND('INPUT-SIF_Questions'!S237&lt;&gt;"",'INPUT-SIF_Questions'!V237&lt;&gt;"",'INPUT-SIF_Questions'!W237&lt;&gt;""),"PASS","WARNING"))</f>
        <v/>
      </c>
      <c r="K237" s="4" t="str">
        <f t="shared" si="14"/>
        <v/>
      </c>
      <c r="L237" s="4" t="str">
        <f t="shared" si="15"/>
        <v/>
      </c>
    </row>
    <row r="238" spans="1:12" ht="14.25" customHeight="1" x14ac:dyDescent="0.45">
      <c r="A238" s="4" t="str">
        <f>IF('INPUT-SIF_Questions'!A238="","",ROW())</f>
        <v/>
      </c>
      <c r="B238" s="4" t="str">
        <f>IF(A238="","",'INPUT-SIF_Questions'!A238)</f>
        <v/>
      </c>
      <c r="C238" s="4" t="str">
        <f>IF(A238="","",'INPUT-SIF_Questions'!J238)</f>
        <v/>
      </c>
      <c r="D238" s="4" t="str">
        <f>IF(A238="","",'INPUT-SIF_Questions'!H238)</f>
        <v/>
      </c>
      <c r="E238" s="4" t="str">
        <f>IF(A238="","",'INPUT-SIF_Questions'!K238)</f>
        <v/>
      </c>
      <c r="F238" s="4" t="str">
        <f>IF(D238="","",IFERROR(VLOOKUP(D238,Helper_Protocol_Map!$A$2:$B$11,2,FALSE()),"OTHER"))</f>
        <v/>
      </c>
      <c r="G238" s="4" t="str">
        <f>IF(A238="","",N('INPUT-SIF_Questions'!M238)+N('INPUT-SIF_Questions'!N238)+N('INPUT-SIF_Questions'!O238))</f>
        <v/>
      </c>
      <c r="H238" s="4" t="str">
        <f t="shared" si="12"/>
        <v/>
      </c>
      <c r="I238" s="4" t="str">
        <f t="shared" si="13"/>
        <v/>
      </c>
      <c r="J238" s="4" t="str">
        <f>IF(A238="","",IF(AND('INPUT-SIF_Questions'!S238&lt;&gt;"",'INPUT-SIF_Questions'!V238&lt;&gt;"",'INPUT-SIF_Questions'!W238&lt;&gt;""),"PASS","WARNING"))</f>
        <v/>
      </c>
      <c r="K238" s="4" t="str">
        <f t="shared" si="14"/>
        <v/>
      </c>
      <c r="L238" s="4" t="str">
        <f t="shared" si="15"/>
        <v/>
      </c>
    </row>
    <row r="239" spans="1:12" ht="14.25" customHeight="1" x14ac:dyDescent="0.45">
      <c r="A239" s="4" t="str">
        <f>IF('INPUT-SIF_Questions'!A239="","",ROW())</f>
        <v/>
      </c>
      <c r="B239" s="4" t="str">
        <f>IF(A239="","",'INPUT-SIF_Questions'!A239)</f>
        <v/>
      </c>
      <c r="C239" s="4" t="str">
        <f>IF(A239="","",'INPUT-SIF_Questions'!J239)</f>
        <v/>
      </c>
      <c r="D239" s="4" t="str">
        <f>IF(A239="","",'INPUT-SIF_Questions'!H239)</f>
        <v/>
      </c>
      <c r="E239" s="4" t="str">
        <f>IF(A239="","",'INPUT-SIF_Questions'!K239)</f>
        <v/>
      </c>
      <c r="F239" s="4" t="str">
        <f>IF(D239="","",IFERROR(VLOOKUP(D239,Helper_Protocol_Map!$A$2:$B$11,2,FALSE()),"OTHER"))</f>
        <v/>
      </c>
      <c r="G239" s="4" t="str">
        <f>IF(A239="","",N('INPUT-SIF_Questions'!M239)+N('INPUT-SIF_Questions'!N239)+N('INPUT-SIF_Questions'!O239))</f>
        <v/>
      </c>
      <c r="H239" s="4" t="str">
        <f t="shared" si="12"/>
        <v/>
      </c>
      <c r="I239" s="4" t="str">
        <f t="shared" si="13"/>
        <v/>
      </c>
      <c r="J239" s="4" t="str">
        <f>IF(A239="","",IF(AND('INPUT-SIF_Questions'!S239&lt;&gt;"",'INPUT-SIF_Questions'!V239&lt;&gt;"",'INPUT-SIF_Questions'!W239&lt;&gt;""),"PASS","WARNING"))</f>
        <v/>
      </c>
      <c r="K239" s="4" t="str">
        <f t="shared" si="14"/>
        <v/>
      </c>
      <c r="L239" s="4" t="str">
        <f t="shared" si="15"/>
        <v/>
      </c>
    </row>
    <row r="240" spans="1:12" ht="14.25" customHeight="1" x14ac:dyDescent="0.45">
      <c r="A240" s="4" t="str">
        <f>IF('INPUT-SIF_Questions'!A240="","",ROW())</f>
        <v/>
      </c>
      <c r="B240" s="4" t="str">
        <f>IF(A240="","",'INPUT-SIF_Questions'!A240)</f>
        <v/>
      </c>
      <c r="C240" s="4" t="str">
        <f>IF(A240="","",'INPUT-SIF_Questions'!J240)</f>
        <v/>
      </c>
      <c r="D240" s="4" t="str">
        <f>IF(A240="","",'INPUT-SIF_Questions'!H240)</f>
        <v/>
      </c>
      <c r="E240" s="4" t="str">
        <f>IF(A240="","",'INPUT-SIF_Questions'!K240)</f>
        <v/>
      </c>
      <c r="F240" s="4" t="str">
        <f>IF(D240="","",IFERROR(VLOOKUP(D240,Helper_Protocol_Map!$A$2:$B$11,2,FALSE()),"OTHER"))</f>
        <v/>
      </c>
      <c r="G240" s="4" t="str">
        <f>IF(A240="","",N('INPUT-SIF_Questions'!M240)+N('INPUT-SIF_Questions'!N240)+N('INPUT-SIF_Questions'!O240))</f>
        <v/>
      </c>
      <c r="H240" s="4" t="str">
        <f t="shared" si="12"/>
        <v/>
      </c>
      <c r="I240" s="4" t="str">
        <f t="shared" si="13"/>
        <v/>
      </c>
      <c r="J240" s="4" t="str">
        <f>IF(A240="","",IF(AND('INPUT-SIF_Questions'!S240&lt;&gt;"",'INPUT-SIF_Questions'!V240&lt;&gt;"",'INPUT-SIF_Questions'!W240&lt;&gt;""),"PASS","WARNING"))</f>
        <v/>
      </c>
      <c r="K240" s="4" t="str">
        <f t="shared" si="14"/>
        <v/>
      </c>
      <c r="L240" s="4" t="str">
        <f t="shared" si="15"/>
        <v/>
      </c>
    </row>
    <row r="241" spans="1:12" ht="14.25" customHeight="1" x14ac:dyDescent="0.45">
      <c r="A241" s="4" t="str">
        <f>IF('INPUT-SIF_Questions'!A241="","",ROW())</f>
        <v/>
      </c>
      <c r="B241" s="4" t="str">
        <f>IF(A241="","",'INPUT-SIF_Questions'!A241)</f>
        <v/>
      </c>
      <c r="C241" s="4" t="str">
        <f>IF(A241="","",'INPUT-SIF_Questions'!J241)</f>
        <v/>
      </c>
      <c r="D241" s="4" t="str">
        <f>IF(A241="","",'INPUT-SIF_Questions'!H241)</f>
        <v/>
      </c>
      <c r="E241" s="4" t="str">
        <f>IF(A241="","",'INPUT-SIF_Questions'!K241)</f>
        <v/>
      </c>
      <c r="F241" s="4" t="str">
        <f>IF(D241="","",IFERROR(VLOOKUP(D241,Helper_Protocol_Map!$A$2:$B$11,2,FALSE()),"OTHER"))</f>
        <v/>
      </c>
      <c r="G241" s="4" t="str">
        <f>IF(A241="","",N('INPUT-SIF_Questions'!M241)+N('INPUT-SIF_Questions'!N241)+N('INPUT-SIF_Questions'!O241))</f>
        <v/>
      </c>
      <c r="H241" s="4" t="str">
        <f t="shared" si="12"/>
        <v/>
      </c>
      <c r="I241" s="4" t="str">
        <f t="shared" si="13"/>
        <v/>
      </c>
      <c r="J241" s="4" t="str">
        <f>IF(A241="","",IF(AND('INPUT-SIF_Questions'!S241&lt;&gt;"",'INPUT-SIF_Questions'!V241&lt;&gt;"",'INPUT-SIF_Questions'!W241&lt;&gt;""),"PASS","WARNING"))</f>
        <v/>
      </c>
      <c r="K241" s="4" t="str">
        <f t="shared" si="14"/>
        <v/>
      </c>
      <c r="L241" s="4" t="str">
        <f t="shared" si="15"/>
        <v/>
      </c>
    </row>
    <row r="242" spans="1:12" ht="14.25" customHeight="1" x14ac:dyDescent="0.45">
      <c r="A242" s="4" t="str">
        <f>IF('INPUT-SIF_Questions'!A242="","",ROW())</f>
        <v/>
      </c>
      <c r="B242" s="4" t="str">
        <f>IF(A242="","",'INPUT-SIF_Questions'!A242)</f>
        <v/>
      </c>
      <c r="C242" s="4" t="str">
        <f>IF(A242="","",'INPUT-SIF_Questions'!J242)</f>
        <v/>
      </c>
      <c r="D242" s="4" t="str">
        <f>IF(A242="","",'INPUT-SIF_Questions'!H242)</f>
        <v/>
      </c>
      <c r="E242" s="4" t="str">
        <f>IF(A242="","",'INPUT-SIF_Questions'!K242)</f>
        <v/>
      </c>
      <c r="F242" s="4" t="str">
        <f>IF(D242="","",IFERROR(VLOOKUP(D242,Helper_Protocol_Map!$A$2:$B$11,2,FALSE()),"OTHER"))</f>
        <v/>
      </c>
      <c r="G242" s="4" t="str">
        <f>IF(A242="","",N('INPUT-SIF_Questions'!M242)+N('INPUT-SIF_Questions'!N242)+N('INPUT-SIF_Questions'!O242))</f>
        <v/>
      </c>
      <c r="H242" s="4" t="str">
        <f t="shared" si="12"/>
        <v/>
      </c>
      <c r="I242" s="4" t="str">
        <f t="shared" si="13"/>
        <v/>
      </c>
      <c r="J242" s="4" t="str">
        <f>IF(A242="","",IF(AND('INPUT-SIF_Questions'!S242&lt;&gt;"",'INPUT-SIF_Questions'!V242&lt;&gt;"",'INPUT-SIF_Questions'!W242&lt;&gt;""),"PASS","WARNING"))</f>
        <v/>
      </c>
      <c r="K242" s="4" t="str">
        <f t="shared" si="14"/>
        <v/>
      </c>
      <c r="L242" s="4" t="str">
        <f t="shared" si="15"/>
        <v/>
      </c>
    </row>
    <row r="243" spans="1:12" ht="14.25" customHeight="1" x14ac:dyDescent="0.45">
      <c r="A243" s="4" t="str">
        <f>IF('INPUT-SIF_Questions'!A243="","",ROW())</f>
        <v/>
      </c>
      <c r="B243" s="4" t="str">
        <f>IF(A243="","",'INPUT-SIF_Questions'!A243)</f>
        <v/>
      </c>
      <c r="C243" s="4" t="str">
        <f>IF(A243="","",'INPUT-SIF_Questions'!J243)</f>
        <v/>
      </c>
      <c r="D243" s="4" t="str">
        <f>IF(A243="","",'INPUT-SIF_Questions'!H243)</f>
        <v/>
      </c>
      <c r="E243" s="4" t="str">
        <f>IF(A243="","",'INPUT-SIF_Questions'!K243)</f>
        <v/>
      </c>
      <c r="F243" s="4" t="str">
        <f>IF(D243="","",IFERROR(VLOOKUP(D243,Helper_Protocol_Map!$A$2:$B$11,2,FALSE()),"OTHER"))</f>
        <v/>
      </c>
      <c r="G243" s="4" t="str">
        <f>IF(A243="","",N('INPUT-SIF_Questions'!M243)+N('INPUT-SIF_Questions'!N243)+N('INPUT-SIF_Questions'!O243))</f>
        <v/>
      </c>
      <c r="H243" s="4" t="str">
        <f t="shared" si="12"/>
        <v/>
      </c>
      <c r="I243" s="4" t="str">
        <f t="shared" si="13"/>
        <v/>
      </c>
      <c r="J243" s="4" t="str">
        <f>IF(A243="","",IF(AND('INPUT-SIF_Questions'!S243&lt;&gt;"",'INPUT-SIF_Questions'!V243&lt;&gt;"",'INPUT-SIF_Questions'!W243&lt;&gt;""),"PASS","WARNING"))</f>
        <v/>
      </c>
      <c r="K243" s="4" t="str">
        <f t="shared" si="14"/>
        <v/>
      </c>
      <c r="L243" s="4" t="str">
        <f t="shared" si="15"/>
        <v/>
      </c>
    </row>
    <row r="244" spans="1:12" ht="14.25" customHeight="1" x14ac:dyDescent="0.45">
      <c r="A244" s="4" t="str">
        <f>IF('INPUT-SIF_Questions'!A244="","",ROW())</f>
        <v/>
      </c>
      <c r="B244" s="4" t="str">
        <f>IF(A244="","",'INPUT-SIF_Questions'!A244)</f>
        <v/>
      </c>
      <c r="C244" s="4" t="str">
        <f>IF(A244="","",'INPUT-SIF_Questions'!J244)</f>
        <v/>
      </c>
      <c r="D244" s="4" t="str">
        <f>IF(A244="","",'INPUT-SIF_Questions'!H244)</f>
        <v/>
      </c>
      <c r="E244" s="4" t="str">
        <f>IF(A244="","",'INPUT-SIF_Questions'!K244)</f>
        <v/>
      </c>
      <c r="F244" s="4" t="str">
        <f>IF(D244="","",IFERROR(VLOOKUP(D244,Helper_Protocol_Map!$A$2:$B$11,2,FALSE()),"OTHER"))</f>
        <v/>
      </c>
      <c r="G244" s="4" t="str">
        <f>IF(A244="","",N('INPUT-SIF_Questions'!M244)+N('INPUT-SIF_Questions'!N244)+N('INPUT-SIF_Questions'!O244))</f>
        <v/>
      </c>
      <c r="H244" s="4" t="str">
        <f t="shared" si="12"/>
        <v/>
      </c>
      <c r="I244" s="4" t="str">
        <f t="shared" si="13"/>
        <v/>
      </c>
      <c r="J244" s="4" t="str">
        <f>IF(A244="","",IF(AND('INPUT-SIF_Questions'!S244&lt;&gt;"",'INPUT-SIF_Questions'!V244&lt;&gt;"",'INPUT-SIF_Questions'!W244&lt;&gt;""),"PASS","WARNING"))</f>
        <v/>
      </c>
      <c r="K244" s="4" t="str">
        <f t="shared" si="14"/>
        <v/>
      </c>
      <c r="L244" s="4" t="str">
        <f t="shared" si="15"/>
        <v/>
      </c>
    </row>
    <row r="245" spans="1:12" ht="14.25" customHeight="1" x14ac:dyDescent="0.45">
      <c r="A245" s="4" t="str">
        <f>IF('INPUT-SIF_Questions'!A245="","",ROW())</f>
        <v/>
      </c>
      <c r="B245" s="4" t="str">
        <f>IF(A245="","",'INPUT-SIF_Questions'!A245)</f>
        <v/>
      </c>
      <c r="C245" s="4" t="str">
        <f>IF(A245="","",'INPUT-SIF_Questions'!J245)</f>
        <v/>
      </c>
      <c r="D245" s="4" t="str">
        <f>IF(A245="","",'INPUT-SIF_Questions'!H245)</f>
        <v/>
      </c>
      <c r="E245" s="4" t="str">
        <f>IF(A245="","",'INPUT-SIF_Questions'!K245)</f>
        <v/>
      </c>
      <c r="F245" s="4" t="str">
        <f>IF(D245="","",IFERROR(VLOOKUP(D245,Helper_Protocol_Map!$A$2:$B$11,2,FALSE()),"OTHER"))</f>
        <v/>
      </c>
      <c r="G245" s="4" t="str">
        <f>IF(A245="","",N('INPUT-SIF_Questions'!M245)+N('INPUT-SIF_Questions'!N245)+N('INPUT-SIF_Questions'!O245))</f>
        <v/>
      </c>
      <c r="H245" s="4" t="str">
        <f t="shared" si="12"/>
        <v/>
      </c>
      <c r="I245" s="4" t="str">
        <f t="shared" si="13"/>
        <v/>
      </c>
      <c r="J245" s="4" t="str">
        <f>IF(A245="","",IF(AND('INPUT-SIF_Questions'!S245&lt;&gt;"",'INPUT-SIF_Questions'!V245&lt;&gt;"",'INPUT-SIF_Questions'!W245&lt;&gt;""),"PASS","WARNING"))</f>
        <v/>
      </c>
      <c r="K245" s="4" t="str">
        <f t="shared" si="14"/>
        <v/>
      </c>
      <c r="L245" s="4" t="str">
        <f t="shared" si="15"/>
        <v/>
      </c>
    </row>
    <row r="246" spans="1:12" ht="14.25" customHeight="1" x14ac:dyDescent="0.45">
      <c r="A246" s="4" t="str">
        <f>IF('INPUT-SIF_Questions'!A246="","",ROW())</f>
        <v/>
      </c>
      <c r="B246" s="4" t="str">
        <f>IF(A246="","",'INPUT-SIF_Questions'!A246)</f>
        <v/>
      </c>
      <c r="C246" s="4" t="str">
        <f>IF(A246="","",'INPUT-SIF_Questions'!J246)</f>
        <v/>
      </c>
      <c r="D246" s="4" t="str">
        <f>IF(A246="","",'INPUT-SIF_Questions'!H246)</f>
        <v/>
      </c>
      <c r="E246" s="4" t="str">
        <f>IF(A246="","",'INPUT-SIF_Questions'!K246)</f>
        <v/>
      </c>
      <c r="F246" s="4" t="str">
        <f>IF(D246="","",IFERROR(VLOOKUP(D246,Helper_Protocol_Map!$A$2:$B$11,2,FALSE()),"OTHER"))</f>
        <v/>
      </c>
      <c r="G246" s="4" t="str">
        <f>IF(A246="","",N('INPUT-SIF_Questions'!M246)+N('INPUT-SIF_Questions'!N246)+N('INPUT-SIF_Questions'!O246))</f>
        <v/>
      </c>
      <c r="H246" s="4" t="str">
        <f t="shared" si="12"/>
        <v/>
      </c>
      <c r="I246" s="4" t="str">
        <f t="shared" si="13"/>
        <v/>
      </c>
      <c r="J246" s="4" t="str">
        <f>IF(A246="","",IF(AND('INPUT-SIF_Questions'!S246&lt;&gt;"",'INPUT-SIF_Questions'!V246&lt;&gt;"",'INPUT-SIF_Questions'!W246&lt;&gt;""),"PASS","WARNING"))</f>
        <v/>
      </c>
      <c r="K246" s="4" t="str">
        <f t="shared" si="14"/>
        <v/>
      </c>
      <c r="L246" s="4" t="str">
        <f t="shared" si="15"/>
        <v/>
      </c>
    </row>
    <row r="247" spans="1:12" ht="14.25" customHeight="1" x14ac:dyDescent="0.45">
      <c r="A247" s="4" t="str">
        <f>IF('INPUT-SIF_Questions'!A247="","",ROW())</f>
        <v/>
      </c>
      <c r="B247" s="4" t="str">
        <f>IF(A247="","",'INPUT-SIF_Questions'!A247)</f>
        <v/>
      </c>
      <c r="C247" s="4" t="str">
        <f>IF(A247="","",'INPUT-SIF_Questions'!J247)</f>
        <v/>
      </c>
      <c r="D247" s="4" t="str">
        <f>IF(A247="","",'INPUT-SIF_Questions'!H247)</f>
        <v/>
      </c>
      <c r="E247" s="4" t="str">
        <f>IF(A247="","",'INPUT-SIF_Questions'!K247)</f>
        <v/>
      </c>
      <c r="F247" s="4" t="str">
        <f>IF(D247="","",IFERROR(VLOOKUP(D247,Helper_Protocol_Map!$A$2:$B$11,2,FALSE()),"OTHER"))</f>
        <v/>
      </c>
      <c r="G247" s="4" t="str">
        <f>IF(A247="","",N('INPUT-SIF_Questions'!M247)+N('INPUT-SIF_Questions'!N247)+N('INPUT-SIF_Questions'!O247))</f>
        <v/>
      </c>
      <c r="H247" s="4" t="str">
        <f t="shared" si="12"/>
        <v/>
      </c>
      <c r="I247" s="4" t="str">
        <f t="shared" si="13"/>
        <v/>
      </c>
      <c r="J247" s="4" t="str">
        <f>IF(A247="","",IF(AND('INPUT-SIF_Questions'!S247&lt;&gt;"",'INPUT-SIF_Questions'!V247&lt;&gt;"",'INPUT-SIF_Questions'!W247&lt;&gt;""),"PASS","WARNING"))</f>
        <v/>
      </c>
      <c r="K247" s="4" t="str">
        <f t="shared" si="14"/>
        <v/>
      </c>
      <c r="L247" s="4" t="str">
        <f t="shared" si="15"/>
        <v/>
      </c>
    </row>
    <row r="248" spans="1:12" ht="14.25" customHeight="1" x14ac:dyDescent="0.45">
      <c r="A248" s="4" t="str">
        <f>IF('INPUT-SIF_Questions'!A248="","",ROW())</f>
        <v/>
      </c>
      <c r="B248" s="4" t="str">
        <f>IF(A248="","",'INPUT-SIF_Questions'!A248)</f>
        <v/>
      </c>
      <c r="C248" s="4" t="str">
        <f>IF(A248="","",'INPUT-SIF_Questions'!J248)</f>
        <v/>
      </c>
      <c r="D248" s="4" t="str">
        <f>IF(A248="","",'INPUT-SIF_Questions'!H248)</f>
        <v/>
      </c>
      <c r="E248" s="4" t="str">
        <f>IF(A248="","",'INPUT-SIF_Questions'!K248)</f>
        <v/>
      </c>
      <c r="F248" s="4" t="str">
        <f>IF(D248="","",IFERROR(VLOOKUP(D248,Helper_Protocol_Map!$A$2:$B$11,2,FALSE()),"OTHER"))</f>
        <v/>
      </c>
      <c r="G248" s="4" t="str">
        <f>IF(A248="","",N('INPUT-SIF_Questions'!M248)+N('INPUT-SIF_Questions'!N248)+N('INPUT-SIF_Questions'!O248))</f>
        <v/>
      </c>
      <c r="H248" s="4" t="str">
        <f t="shared" si="12"/>
        <v/>
      </c>
      <c r="I248" s="4" t="str">
        <f t="shared" si="13"/>
        <v/>
      </c>
      <c r="J248" s="4" t="str">
        <f>IF(A248="","",IF(AND('INPUT-SIF_Questions'!S248&lt;&gt;"",'INPUT-SIF_Questions'!V248&lt;&gt;"",'INPUT-SIF_Questions'!W248&lt;&gt;""),"PASS","WARNING"))</f>
        <v/>
      </c>
      <c r="K248" s="4" t="str">
        <f t="shared" si="14"/>
        <v/>
      </c>
      <c r="L248" s="4" t="str">
        <f t="shared" si="15"/>
        <v/>
      </c>
    </row>
    <row r="249" spans="1:12" ht="14.25" customHeight="1" x14ac:dyDescent="0.45">
      <c r="A249" s="4" t="str">
        <f>IF('INPUT-SIF_Questions'!A249="","",ROW())</f>
        <v/>
      </c>
      <c r="B249" s="4" t="str">
        <f>IF(A249="","",'INPUT-SIF_Questions'!A249)</f>
        <v/>
      </c>
      <c r="C249" s="4" t="str">
        <f>IF(A249="","",'INPUT-SIF_Questions'!J249)</f>
        <v/>
      </c>
      <c r="D249" s="4" t="str">
        <f>IF(A249="","",'INPUT-SIF_Questions'!H249)</f>
        <v/>
      </c>
      <c r="E249" s="4" t="str">
        <f>IF(A249="","",'INPUT-SIF_Questions'!K249)</f>
        <v/>
      </c>
      <c r="F249" s="4" t="str">
        <f>IF(D249="","",IFERROR(VLOOKUP(D249,Helper_Protocol_Map!$A$2:$B$11,2,FALSE()),"OTHER"))</f>
        <v/>
      </c>
      <c r="G249" s="4" t="str">
        <f>IF(A249="","",N('INPUT-SIF_Questions'!M249)+N('INPUT-SIF_Questions'!N249)+N('INPUT-SIF_Questions'!O249))</f>
        <v/>
      </c>
      <c r="H249" s="4" t="str">
        <f t="shared" si="12"/>
        <v/>
      </c>
      <c r="I249" s="4" t="str">
        <f t="shared" si="13"/>
        <v/>
      </c>
      <c r="J249" s="4" t="str">
        <f>IF(A249="","",IF(AND('INPUT-SIF_Questions'!S249&lt;&gt;"",'INPUT-SIF_Questions'!V249&lt;&gt;"",'INPUT-SIF_Questions'!W249&lt;&gt;""),"PASS","WARNING"))</f>
        <v/>
      </c>
      <c r="K249" s="4" t="str">
        <f t="shared" si="14"/>
        <v/>
      </c>
      <c r="L249" s="4" t="str">
        <f t="shared" si="15"/>
        <v/>
      </c>
    </row>
    <row r="250" spans="1:12" ht="14.25" customHeight="1" x14ac:dyDescent="0.45">
      <c r="A250" s="4" t="str">
        <f>IF('INPUT-SIF_Questions'!A250="","",ROW())</f>
        <v/>
      </c>
      <c r="B250" s="4" t="str">
        <f>IF(A250="","",'INPUT-SIF_Questions'!A250)</f>
        <v/>
      </c>
      <c r="C250" s="4" t="str">
        <f>IF(A250="","",'INPUT-SIF_Questions'!J250)</f>
        <v/>
      </c>
      <c r="D250" s="4" t="str">
        <f>IF(A250="","",'INPUT-SIF_Questions'!H250)</f>
        <v/>
      </c>
      <c r="E250" s="4" t="str">
        <f>IF(A250="","",'INPUT-SIF_Questions'!K250)</f>
        <v/>
      </c>
      <c r="F250" s="4" t="str">
        <f>IF(D250="","",IFERROR(VLOOKUP(D250,Helper_Protocol_Map!$A$2:$B$11,2,FALSE()),"OTHER"))</f>
        <v/>
      </c>
      <c r="G250" s="4" t="str">
        <f>IF(A250="","",N('INPUT-SIF_Questions'!M250)+N('INPUT-SIF_Questions'!N250)+N('INPUT-SIF_Questions'!O250))</f>
        <v/>
      </c>
      <c r="H250" s="4" t="str">
        <f t="shared" si="12"/>
        <v/>
      </c>
      <c r="I250" s="4" t="str">
        <f t="shared" si="13"/>
        <v/>
      </c>
      <c r="J250" s="4" t="str">
        <f>IF(A250="","",IF(AND('INPUT-SIF_Questions'!S250&lt;&gt;"",'INPUT-SIF_Questions'!V250&lt;&gt;"",'INPUT-SIF_Questions'!W250&lt;&gt;""),"PASS","WARNING"))</f>
        <v/>
      </c>
      <c r="K250" s="4" t="str">
        <f t="shared" si="14"/>
        <v/>
      </c>
      <c r="L250" s="4" t="str">
        <f t="shared" si="15"/>
        <v/>
      </c>
    </row>
  </sheetData>
  <conditionalFormatting sqref="K2:K250">
    <cfRule type="expression" dxfId="2" priority="2">
      <formula>K2="PASS"</formula>
    </cfRule>
    <cfRule type="expression" dxfId="1" priority="3">
      <formula>K2="WARNING"</formula>
    </cfRule>
    <cfRule type="expression" dxfId="0" priority="4">
      <formula>K2="FAIL"</formula>
    </cfRule>
  </conditionalFormatting>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1"/>
  <sheetViews>
    <sheetView zoomScaleNormal="100" workbookViewId="0"/>
  </sheetViews>
  <sheetFormatPr defaultColWidth="8.6640625" defaultRowHeight="14.25" customHeight="1" x14ac:dyDescent="0.45"/>
  <sheetData>
    <row r="1" spans="1:2" ht="14.25" customHeight="1" x14ac:dyDescent="0.45">
      <c r="A1" s="4" t="s">
        <v>1951</v>
      </c>
      <c r="B1" s="4" t="s">
        <v>2156</v>
      </c>
    </row>
    <row r="2" spans="1:2" ht="14.25" customHeight="1" x14ac:dyDescent="0.45">
      <c r="A2" s="4" t="s">
        <v>423</v>
      </c>
      <c r="B2" s="4" t="s">
        <v>996</v>
      </c>
    </row>
    <row r="3" spans="1:2" ht="14.25" customHeight="1" x14ac:dyDescent="0.45">
      <c r="A3" s="4" t="s">
        <v>410</v>
      </c>
      <c r="B3" s="4" t="s">
        <v>1002</v>
      </c>
    </row>
    <row r="4" spans="1:2" ht="14.25" customHeight="1" x14ac:dyDescent="0.45">
      <c r="A4" s="4" t="s">
        <v>292</v>
      </c>
      <c r="B4" s="4" t="s">
        <v>1007</v>
      </c>
    </row>
    <row r="5" spans="1:2" ht="14.25" customHeight="1" x14ac:dyDescent="0.45">
      <c r="A5" s="4" t="s">
        <v>207</v>
      </c>
      <c r="B5" s="4" t="s">
        <v>1016</v>
      </c>
    </row>
    <row r="6" spans="1:2" ht="14.25" customHeight="1" x14ac:dyDescent="0.45">
      <c r="A6" s="4" t="s">
        <v>92</v>
      </c>
      <c r="B6" s="4" t="s">
        <v>1025</v>
      </c>
    </row>
    <row r="7" spans="1:2" ht="14.25" customHeight="1" x14ac:dyDescent="0.45">
      <c r="A7" s="4" t="s">
        <v>1938</v>
      </c>
      <c r="B7" s="4" t="s">
        <v>1036</v>
      </c>
    </row>
    <row r="8" spans="1:2" ht="14.25" customHeight="1" x14ac:dyDescent="0.45">
      <c r="A8" s="4" t="s">
        <v>34</v>
      </c>
      <c r="B8" s="4" t="s">
        <v>1068</v>
      </c>
    </row>
    <row r="9" spans="1:2" ht="14.25" customHeight="1" x14ac:dyDescent="0.45">
      <c r="A9" s="4" t="s">
        <v>143</v>
      </c>
      <c r="B9" s="4" t="s">
        <v>1079</v>
      </c>
    </row>
    <row r="10" spans="1:2" ht="14.25" customHeight="1" x14ac:dyDescent="0.45">
      <c r="A10" s="4" t="s">
        <v>1941</v>
      </c>
      <c r="B10" s="4" t="s">
        <v>1086</v>
      </c>
    </row>
    <row r="11" spans="1:2" ht="14.25" customHeight="1" x14ac:dyDescent="0.45">
      <c r="A11" s="4" t="s">
        <v>1942</v>
      </c>
      <c r="B11" s="4" t="s">
        <v>2011</v>
      </c>
    </row>
  </sheetData>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7"/>
  <sheetViews>
    <sheetView zoomScaleNormal="100" workbookViewId="0"/>
  </sheetViews>
  <sheetFormatPr defaultColWidth="8.6640625" defaultRowHeight="15" customHeight="1" x14ac:dyDescent="0.45"/>
  <cols>
    <col min="1" max="1" width="30" style="4" customWidth="1"/>
    <col min="2" max="2" width="52" style="4" customWidth="1"/>
    <col min="3" max="3" width="28" style="4" customWidth="1"/>
  </cols>
  <sheetData>
    <row r="1" spans="1:3" ht="15" customHeight="1" x14ac:dyDescent="0.45">
      <c r="A1" s="26" t="s">
        <v>2162</v>
      </c>
      <c r="B1" s="26" t="s">
        <v>2163</v>
      </c>
      <c r="C1" s="26" t="s">
        <v>2164</v>
      </c>
    </row>
    <row r="2" spans="1:3" ht="15" customHeight="1" x14ac:dyDescent="0.45">
      <c r="A2" s="4" t="s">
        <v>2165</v>
      </c>
      <c r="B2" s="4" t="s">
        <v>2166</v>
      </c>
      <c r="C2" s="60">
        <f>'ANALYZE-EXECUTIVE_MEASURES'!E5</f>
        <v>0.51875000000000004</v>
      </c>
    </row>
    <row r="3" spans="1:3" ht="15" customHeight="1" x14ac:dyDescent="0.45">
      <c r="A3" s="4" t="s">
        <v>2167</v>
      </c>
      <c r="B3" s="4" t="s">
        <v>2168</v>
      </c>
      <c r="C3" s="4">
        <f>COUNTIF('INPUT-Drift_Conditions'!K2:K300,"Y")</f>
        <v>139</v>
      </c>
    </row>
    <row r="4" spans="1:3" ht="15" customHeight="1" x14ac:dyDescent="0.45">
      <c r="A4" s="4" t="s">
        <v>2169</v>
      </c>
      <c r="B4" s="4" t="s">
        <v>2168</v>
      </c>
      <c r="C4" s="4">
        <f>COUNTIF('INPUT-Latent_Conditions'!M2:M300,"Y")</f>
        <v>156</v>
      </c>
    </row>
    <row r="5" spans="1:3" ht="15" customHeight="1" x14ac:dyDescent="0.45">
      <c r="A5" s="4" t="s">
        <v>2170</v>
      </c>
      <c r="B5" s="4" t="s">
        <v>2171</v>
      </c>
      <c r="C5" s="4">
        <f>COUNTIF('INPUT-SIF_Questions'!G2:G300,"N")</f>
        <v>0</v>
      </c>
    </row>
    <row r="6" spans="1:3" ht="15" customHeight="1" x14ac:dyDescent="0.45">
      <c r="A6" s="4" t="s">
        <v>2172</v>
      </c>
      <c r="B6" s="4" t="s">
        <v>2173</v>
      </c>
      <c r="C6" s="4">
        <f>COUNTIF('INPUT-SIF_Questions'!F2:F300,"Reverification")</f>
        <v>0</v>
      </c>
    </row>
    <row r="7" spans="1:3" ht="15" customHeight="1" x14ac:dyDescent="0.45">
      <c r="A7" s="4" t="s">
        <v>2174</v>
      </c>
      <c r="B7" s="4" t="s">
        <v>2175</v>
      </c>
      <c r="C7" s="4">
        <f>COUNTIF('INPUT-SIF_Questions'!E2:E300,"&lt;&gt;" )</f>
        <v>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25</vt:i4>
      </vt:variant>
    </vt:vector>
  </HeadingPairs>
  <TitlesOfParts>
    <vt:vector size="50" baseType="lpstr">
      <vt:lpstr>INPUT-SIF_Questions</vt:lpstr>
      <vt:lpstr>INPUT-Error_Traps</vt:lpstr>
      <vt:lpstr>INPUT-HP_Tools</vt:lpstr>
      <vt:lpstr>INPUT-Drift_Conditions</vt:lpstr>
      <vt:lpstr>INPUT-Latent_Conditions</vt:lpstr>
      <vt:lpstr>DATABASE_PSEC_CCVC</vt:lpstr>
      <vt:lpstr>DATABASE-DRIFT_LATENT_HP_ERROR</vt:lpstr>
      <vt:lpstr>ANALYZE-CONFORMANCE_SCORE</vt:lpstr>
      <vt:lpstr>ANALYZE-EXECUTIVE_MEASURES</vt:lpstr>
      <vt:lpstr>ANALYZE-QUICK_FACTS</vt:lpstr>
      <vt:lpstr>ANALYZE-CLSR_HEALTH_MAP</vt:lpstr>
      <vt:lpstr>ANALYZE-TOP5</vt:lpstr>
      <vt:lpstr>ANALYZE-TREND_ZONE</vt:lpstr>
      <vt:lpstr>ANALYZE-IMPROVEMENT_INITIATIVES</vt:lpstr>
      <vt:lpstr>CONFIG-DASHBOARD_TEXT</vt:lpstr>
      <vt:lpstr>ReadMe</vt:lpstr>
      <vt:lpstr>Helper_Drift</vt:lpstr>
      <vt:lpstr>Helper_Latent</vt:lpstr>
      <vt:lpstr>SOURCE_OBS06_10</vt:lpstr>
      <vt:lpstr>AUDIT_OBS013_023</vt:lpstr>
      <vt:lpstr>Helper_Exposure</vt:lpstr>
      <vt:lpstr>Helper_Gaps</vt:lpstr>
      <vt:lpstr>AUDIT-DATA_QUALITY</vt:lpstr>
      <vt:lpstr>Helper_Protocol_Map</vt:lpstr>
      <vt:lpstr>AUDIT-ACTIVE_LINKAGE</vt:lpstr>
      <vt:lpstr>Drift.1</vt:lpstr>
      <vt:lpstr>Drift.10</vt:lpstr>
      <vt:lpstr>Drift.2</vt:lpstr>
      <vt:lpstr>Drift.3</vt:lpstr>
      <vt:lpstr>Drift.4</vt:lpstr>
      <vt:lpstr>Drift.5</vt:lpstr>
      <vt:lpstr>Drift.6</vt:lpstr>
      <vt:lpstr>Drift.7</vt:lpstr>
      <vt:lpstr>Drift.8</vt:lpstr>
      <vt:lpstr>Drift.9</vt:lpstr>
      <vt:lpstr>Drift.Code</vt:lpstr>
      <vt:lpstr>DRIFT_LEVEL_1</vt:lpstr>
      <vt:lpstr>Error_Traps.L1</vt:lpstr>
      <vt:lpstr>ErrorTrap.1</vt:lpstr>
      <vt:lpstr>ErrorTrap.2</vt:lpstr>
      <vt:lpstr>ErrorTrap.3</vt:lpstr>
      <vt:lpstr>ErrorTrap.4</vt:lpstr>
      <vt:lpstr>HP.tools</vt:lpstr>
      <vt:lpstr>Latent.1</vt:lpstr>
      <vt:lpstr>Latent.2</vt:lpstr>
      <vt:lpstr>Latent.3</vt:lpstr>
      <vt:lpstr>Latent.4</vt:lpstr>
      <vt:lpstr>Latent.5</vt:lpstr>
      <vt:lpstr>Latent_Level.1</vt:lpstr>
      <vt:lpstr>VV_Protocols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Iman Sudirman</dc:creator>
  <cp:lastModifiedBy>Iman Sudirman</cp:lastModifiedBy>
  <dcterms:created xsi:type="dcterms:W3CDTF">2026-07-11T00:42:06Z</dcterms:created>
  <dcterms:modified xsi:type="dcterms:W3CDTF">2026-07-11T00:56:17Z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2026-07-10T07:26:15Z</dcterms:created>
  <dc:creator>openpyxl</dc:creator>
  <dc:description/>
  <dc:language>en-US</dc:language>
  <cp:lastModifiedBy>Iman Sudirman</cp:lastModifiedBy>
  <dcterms:modified xsi:type="dcterms:W3CDTF">2026-07-10T22:34:50Z</dcterms:modified>
  <cp:revision>0</cp:revision>
  <dc:subject/>
  <dc:title/>
</cp:coreProperties>
</file>